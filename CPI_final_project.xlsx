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https://d.docs.live.net/947dc7b62ae5005f/Documents/"/>
    </mc:Choice>
  </mc:AlternateContent>
  <xr:revisionPtr revIDLastSave="0" documentId="8_{79F205CA-0B3F-4B4B-AB76-71C02E5B4C28}" xr6:coauthVersionLast="47" xr6:coauthVersionMax="47" xr10:uidLastSave="{00000000-0000-0000-0000-000000000000}"/>
  <bookViews>
    <workbookView xWindow="-108" yWindow="-108" windowWidth="23256" windowHeight="12456" activeTab="4" xr2:uid="{00000000-000D-0000-FFFF-FFFF00000000}"/>
  </bookViews>
  <sheets>
    <sheet name="Raw_data" sheetId="1" r:id="rId1"/>
    <sheet name="clean_data" sheetId="2" r:id="rId2"/>
    <sheet name="Pivot_table" sheetId="5" r:id="rId3"/>
    <sheet name="Dashboard" sheetId="6" r:id="rId4"/>
    <sheet name="Business insight Report" sheetId="7" r:id="rId5"/>
  </sheets>
  <definedNames>
    <definedName name="Slicer_Area">#N/A</definedName>
    <definedName name="Slicer_Area1">#N/A</definedName>
    <definedName name="Slicer_Category">#N/A</definedName>
    <definedName name="Slicer_Category1">#N/A</definedName>
    <definedName name="Slicer_Month">#N/A</definedName>
    <definedName name="Slicer_Year">#N/A</definedName>
    <definedName name="Slicer_Year_Month">#N/A</definedName>
    <definedName name="Slicer_Year1">#N/A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H2" i="2"/>
  <c r="H3" i="2"/>
  <c r="H4" i="2"/>
  <c r="H5" i="2"/>
  <c r="H6" i="2"/>
  <c r="H7" i="2"/>
  <c r="H8" i="2"/>
  <c r="H9" i="2"/>
  <c r="H10" i="2"/>
  <c r="H11" i="2"/>
  <c r="H12" i="2"/>
  <c r="I12" i="2" s="1"/>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I50" i="2" s="1"/>
  <c r="H51" i="2"/>
  <c r="H52" i="2"/>
  <c r="H53" i="2"/>
  <c r="H54" i="2"/>
  <c r="H55" i="2"/>
  <c r="H56" i="2"/>
  <c r="H57" i="2"/>
  <c r="H58" i="2"/>
  <c r="H59" i="2"/>
  <c r="I59" i="2" s="1"/>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I239" i="2" s="1"/>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I275" i="2" s="1"/>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I314" i="2" s="1"/>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I349" i="2" s="1"/>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I385" i="2" s="1"/>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I420" i="2" s="1"/>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I624" i="2" s="1"/>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I660" i="2" s="1"/>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I721" i="2" s="1"/>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I776" i="2" s="1"/>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I805" i="2" s="1"/>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I973" i="2" s="1"/>
  <c r="H974" i="2"/>
  <c r="H975" i="2"/>
  <c r="H976" i="2"/>
  <c r="H977" i="2"/>
  <c r="H978" i="2"/>
  <c r="H979" i="2"/>
  <c r="H980" i="2"/>
  <c r="H981" i="2"/>
  <c r="H982" i="2"/>
  <c r="H983" i="2"/>
  <c r="H984" i="2"/>
  <c r="H985" i="2"/>
  <c r="H986" i="2"/>
  <c r="H987" i="2"/>
  <c r="H988" i="2"/>
  <c r="H989" i="2"/>
  <c r="H990" i="2"/>
  <c r="H991" i="2"/>
  <c r="H992" i="2"/>
  <c r="H993" i="2"/>
  <c r="H994" i="2"/>
  <c r="H995" i="2"/>
  <c r="H996" i="2"/>
  <c r="H997" i="2"/>
  <c r="I997" i="2" s="1"/>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I1021" i="2" s="1"/>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I1045" i="2" s="1"/>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I1069" i="2" s="1"/>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I1093" i="2" s="1"/>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J1176" i="2" s="1"/>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I1213" i="2" s="1"/>
  <c r="H1214" i="2"/>
  <c r="H1215" i="2"/>
  <c r="H1216" i="2"/>
  <c r="H1217" i="2"/>
  <c r="H1218" i="2"/>
  <c r="H1219" i="2"/>
  <c r="H1220" i="2"/>
  <c r="H1221" i="2"/>
  <c r="H1222" i="2"/>
  <c r="H1223" i="2"/>
  <c r="H1224" i="2"/>
  <c r="H1225" i="2"/>
  <c r="H1226" i="2"/>
  <c r="H1227" i="2"/>
  <c r="H1228" i="2"/>
  <c r="H1229" i="2"/>
  <c r="H1230" i="2"/>
  <c r="H1231" i="2"/>
  <c r="I1231" i="2" s="1"/>
  <c r="H1232" i="2"/>
  <c r="H1233" i="2"/>
  <c r="H1234" i="2"/>
  <c r="H1235" i="2"/>
  <c r="H1236" i="2"/>
  <c r="H1237" i="2"/>
  <c r="I1237" i="2" s="1"/>
  <c r="H1238" i="2"/>
  <c r="H1239" i="2"/>
  <c r="H1240" i="2"/>
  <c r="H1241" i="2"/>
  <c r="H1242" i="2"/>
  <c r="H1243" i="2"/>
  <c r="H1244" i="2"/>
  <c r="H1245" i="2"/>
  <c r="H1246" i="2"/>
  <c r="H1247" i="2"/>
  <c r="H1248" i="2"/>
  <c r="H1249" i="2"/>
  <c r="I1249" i="2" s="1"/>
  <c r="H1250" i="2"/>
  <c r="H1251" i="2"/>
  <c r="H1252" i="2"/>
  <c r="H1253" i="2"/>
  <c r="H1254" i="2"/>
  <c r="H1255" i="2"/>
  <c r="I1255" i="2" s="1"/>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I1319" i="2" s="1"/>
  <c r="H1320" i="2"/>
  <c r="H1321" i="2"/>
  <c r="H1322" i="2"/>
  <c r="H1323" i="2"/>
  <c r="H1324" i="2"/>
  <c r="H1325" i="2"/>
  <c r="H1326" i="2"/>
  <c r="H1327" i="2"/>
  <c r="H1328" i="2"/>
  <c r="H1329" i="2"/>
  <c r="H1330" i="2"/>
  <c r="H1331" i="2"/>
  <c r="H1332" i="2"/>
  <c r="H1333" i="2"/>
  <c r="I1333" i="2" s="1"/>
  <c r="H1334" i="2"/>
  <c r="H1335" i="2"/>
  <c r="H1336" i="2"/>
  <c r="H1337" i="2"/>
  <c r="H1338" i="2"/>
  <c r="H1339" i="2"/>
  <c r="H1340" i="2"/>
  <c r="H1341" i="2"/>
  <c r="H1342" i="2"/>
  <c r="H1343" i="2"/>
  <c r="H1344" i="2"/>
  <c r="H1345" i="2"/>
  <c r="H1346" i="2"/>
  <c r="H1347" i="2"/>
  <c r="H1348" i="2"/>
  <c r="I1348" i="2" s="1"/>
  <c r="H1349" i="2"/>
  <c r="H1350" i="2"/>
  <c r="H1351" i="2"/>
  <c r="H1352" i="2"/>
  <c r="I1352" i="2" s="1"/>
  <c r="H1353" i="2"/>
  <c r="H1354" i="2"/>
  <c r="H1355" i="2"/>
  <c r="H1356" i="2"/>
  <c r="H1357" i="2"/>
  <c r="H1358" i="2"/>
  <c r="H1359" i="2"/>
  <c r="H1360" i="2"/>
  <c r="H1361" i="2"/>
  <c r="J1361" i="2" s="1"/>
  <c r="H1362" i="2"/>
  <c r="H1363" i="2"/>
  <c r="H1364" i="2"/>
  <c r="H1365" i="2"/>
  <c r="H1366" i="2"/>
  <c r="H1367" i="2"/>
  <c r="I1367" i="2" s="1"/>
  <c r="H1368" i="2"/>
  <c r="H1369" i="2"/>
  <c r="H1370" i="2"/>
  <c r="H1371" i="2"/>
  <c r="H1372" i="2"/>
  <c r="H1373" i="2"/>
  <c r="H1374" i="2"/>
  <c r="H1375" i="2"/>
  <c r="H1376" i="2"/>
  <c r="I1376" i="2" s="1"/>
  <c r="H1377" i="2"/>
  <c r="H1378" i="2"/>
  <c r="H1379" i="2"/>
  <c r="H1380" i="2"/>
  <c r="I1380" i="2" s="1"/>
  <c r="H1381" i="2"/>
  <c r="H1382" i="2"/>
  <c r="H1383" i="2"/>
  <c r="H1384" i="2"/>
  <c r="H1385" i="2"/>
  <c r="H1386" i="2"/>
  <c r="H1387" i="2"/>
  <c r="H1388" i="2"/>
  <c r="H1389" i="2"/>
  <c r="H1390" i="2"/>
  <c r="H1391" i="2"/>
  <c r="I1391" i="2" s="1"/>
  <c r="H1392" i="2"/>
  <c r="H1393" i="2"/>
  <c r="H1394" i="2"/>
  <c r="I1394" i="2" s="1"/>
  <c r="H1395" i="2"/>
  <c r="H1396" i="2"/>
  <c r="I1396" i="2" s="1"/>
  <c r="H1397" i="2"/>
  <c r="H1398" i="2"/>
  <c r="H1399" i="2"/>
  <c r="H1400" i="2"/>
  <c r="H1401" i="2"/>
  <c r="H1402" i="2"/>
  <c r="H1403" i="2"/>
  <c r="H1404" i="2"/>
  <c r="H1405" i="2"/>
  <c r="I1405" i="2" s="1"/>
  <c r="H1406" i="2"/>
  <c r="H1407" i="2"/>
  <c r="H1408" i="2"/>
  <c r="H1409" i="2"/>
  <c r="I1409" i="2" s="1"/>
  <c r="H1410" i="2"/>
  <c r="I1410" i="2" s="1"/>
  <c r="H1411" i="2"/>
  <c r="H1412" i="2"/>
  <c r="H1413" i="2"/>
  <c r="H1414" i="2"/>
  <c r="H1415" i="2"/>
  <c r="H1416" i="2"/>
  <c r="H1417" i="2"/>
  <c r="H1418" i="2"/>
  <c r="H1419" i="2"/>
  <c r="H1420" i="2"/>
  <c r="H1421" i="2"/>
  <c r="H1422" i="2"/>
  <c r="H1423" i="2"/>
  <c r="H1424" i="2"/>
  <c r="I1424" i="2" s="1"/>
  <c r="H1425" i="2"/>
  <c r="H1426" i="2"/>
  <c r="H1427" i="2"/>
  <c r="H1428" i="2"/>
  <c r="H1429" i="2"/>
  <c r="H1430" i="2"/>
  <c r="H1431" i="2"/>
  <c r="H1432" i="2"/>
  <c r="H1433" i="2"/>
  <c r="H1434" i="2"/>
  <c r="H1435" i="2"/>
  <c r="H1436" i="2"/>
  <c r="J1436" i="2" s="1"/>
  <c r="H1437" i="2"/>
  <c r="H1438" i="2"/>
  <c r="I1438" i="2" s="1"/>
  <c r="H1439" i="2"/>
  <c r="I1439" i="2" s="1"/>
  <c r="H1440" i="2"/>
  <c r="H1441" i="2"/>
  <c r="H1442" i="2"/>
  <c r="H1443" i="2"/>
  <c r="H1444" i="2"/>
  <c r="H1445" i="2"/>
  <c r="H1446" i="2"/>
  <c r="H1447" i="2"/>
  <c r="H1448" i="2"/>
  <c r="I1448" i="2" s="1"/>
  <c r="H1449" i="2"/>
  <c r="H1450" i="2"/>
  <c r="H1451" i="2"/>
  <c r="H1452" i="2"/>
  <c r="I1452" i="2" s="1"/>
  <c r="H1453" i="2"/>
  <c r="I1453" i="2" s="1"/>
  <c r="H1454" i="2"/>
  <c r="H1455" i="2"/>
  <c r="H1456" i="2"/>
  <c r="H1457" i="2"/>
  <c r="H1458" i="2"/>
  <c r="H1459" i="2"/>
  <c r="H1460" i="2"/>
  <c r="H1461" i="2"/>
  <c r="H1462" i="2"/>
  <c r="H1463" i="2"/>
  <c r="I1463" i="2" s="1"/>
  <c r="H1464" i="2"/>
  <c r="H1465" i="2"/>
  <c r="H1466" i="2"/>
  <c r="I1466" i="2" s="1"/>
  <c r="H1467" i="2"/>
  <c r="H1468" i="2"/>
  <c r="I1468" i="2" s="1"/>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I1496" i="2" s="1"/>
  <c r="H1497" i="2"/>
  <c r="H1498" i="2"/>
  <c r="H1499" i="2"/>
  <c r="H1500" i="2"/>
  <c r="H1501" i="2"/>
  <c r="H1502" i="2"/>
  <c r="H1503" i="2"/>
  <c r="H1504" i="2"/>
  <c r="H1505" i="2"/>
  <c r="H1506" i="2"/>
  <c r="H1507" i="2"/>
  <c r="H1508" i="2"/>
  <c r="H1509" i="2"/>
  <c r="H1510" i="2"/>
  <c r="I1510" i="2" s="1"/>
  <c r="H1511" i="2"/>
  <c r="I1511" i="2" s="1"/>
  <c r="H1512" i="2"/>
  <c r="H1513" i="2"/>
  <c r="H1514" i="2"/>
  <c r="H1515" i="2"/>
  <c r="H1516" i="2"/>
  <c r="H1517" i="2"/>
  <c r="H1518" i="2"/>
  <c r="H1519" i="2"/>
  <c r="H1520" i="2"/>
  <c r="I1520" i="2" s="1"/>
  <c r="H1521" i="2"/>
  <c r="H1522" i="2"/>
  <c r="J1522" i="2" s="1"/>
  <c r="H1523" i="2"/>
  <c r="H1524" i="2"/>
  <c r="I1524" i="2" s="1"/>
  <c r="H1525" i="2"/>
  <c r="I1525" i="2" s="1"/>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I1567" i="2" s="1"/>
  <c r="H1568" i="2"/>
  <c r="I1568" i="2" s="1"/>
  <c r="H1569" i="2"/>
  <c r="H1570" i="2"/>
  <c r="H1571" i="2"/>
  <c r="H1572" i="2"/>
  <c r="H1573" i="2"/>
  <c r="H1574" i="2"/>
  <c r="H1575" i="2"/>
  <c r="H1576" i="2"/>
  <c r="H1577" i="2"/>
  <c r="H1578" i="2"/>
  <c r="H1579" i="2"/>
  <c r="H1580" i="2"/>
  <c r="H1581" i="2"/>
  <c r="H1582" i="2"/>
  <c r="I1582" i="2" s="1"/>
  <c r="H1583" i="2"/>
  <c r="I1583" i="2" s="1"/>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J1606" i="2" s="1"/>
  <c r="H1607" i="2"/>
  <c r="I1607" i="2" s="1"/>
  <c r="H1608" i="2"/>
  <c r="H1609" i="2"/>
  <c r="H1610" i="2"/>
  <c r="H1611" i="2"/>
  <c r="H1612" i="2"/>
  <c r="H1613" i="2"/>
  <c r="H1614" i="2"/>
  <c r="H1615" i="2"/>
  <c r="H1616" i="2"/>
  <c r="H1617" i="2"/>
  <c r="H1618" i="2"/>
  <c r="H1619" i="2"/>
  <c r="H1620" i="2"/>
  <c r="H1621" i="2"/>
  <c r="I1621" i="2" s="1"/>
  <c r="H1622" i="2"/>
  <c r="H1623" i="2"/>
  <c r="H1624" i="2"/>
  <c r="H1625" i="2"/>
  <c r="I1625" i="2" s="1"/>
  <c r="H1626" i="2"/>
  <c r="H1627" i="2"/>
  <c r="H1628" i="2"/>
  <c r="H1629" i="2"/>
  <c r="H1630" i="2"/>
  <c r="H1631" i="2"/>
  <c r="H1632" i="2"/>
  <c r="H1633" i="2"/>
  <c r="H1634" i="2"/>
  <c r="H1635" i="2"/>
  <c r="H1636" i="2"/>
  <c r="I1636" i="2" s="1"/>
  <c r="H1637" i="2"/>
  <c r="H1638" i="2"/>
  <c r="H1639" i="2"/>
  <c r="I1639" i="2" s="1"/>
  <c r="H1640" i="2"/>
  <c r="I1640" i="2" s="1"/>
  <c r="H1641" i="2"/>
  <c r="H1642" i="2"/>
  <c r="H1643" i="2"/>
  <c r="H1644" i="2"/>
  <c r="H1645" i="2"/>
  <c r="H1646" i="2"/>
  <c r="H1647" i="2"/>
  <c r="H1648" i="2"/>
  <c r="H1649" i="2"/>
  <c r="H1650" i="2"/>
  <c r="H1651" i="2"/>
  <c r="H1652" i="2"/>
  <c r="I1652" i="2" s="1"/>
  <c r="H1653" i="2"/>
  <c r="H1654" i="2"/>
  <c r="H1655" i="2"/>
  <c r="H1656" i="2"/>
  <c r="H1657" i="2"/>
  <c r="H1658" i="2"/>
  <c r="H1659" i="2"/>
  <c r="H1660" i="2"/>
  <c r="H1661" i="2"/>
  <c r="H1662" i="2"/>
  <c r="H1663" i="2"/>
  <c r="H1664" i="2"/>
  <c r="H1665" i="2"/>
  <c r="H1666" i="2"/>
  <c r="I1666" i="2" s="1"/>
  <c r="H1667" i="2"/>
  <c r="I1667" i="2" s="1"/>
  <c r="H1668" i="2"/>
  <c r="H1669" i="2"/>
  <c r="H1670" i="2"/>
  <c r="H1671" i="2"/>
  <c r="H1672" i="2"/>
  <c r="H1673" i="2"/>
  <c r="H1674" i="2"/>
  <c r="H1675" i="2"/>
  <c r="I1675" i="2" s="1"/>
  <c r="H1676" i="2"/>
  <c r="H1677" i="2"/>
  <c r="H1678" i="2"/>
  <c r="I1678" i="2" s="1"/>
  <c r="H1679" i="2"/>
  <c r="I1679" i="2" s="1"/>
  <c r="H1680" i="2"/>
  <c r="I1680" i="2" s="1"/>
  <c r="H1681" i="2"/>
  <c r="H1682" i="2"/>
  <c r="H1683" i="2"/>
  <c r="H1684" i="2"/>
  <c r="H1685" i="2"/>
  <c r="H1686" i="2"/>
  <c r="I1686" i="2" s="1"/>
  <c r="H1687" i="2"/>
  <c r="H1688" i="2"/>
  <c r="H1689" i="2"/>
  <c r="H1690" i="2"/>
  <c r="H1691" i="2"/>
  <c r="H1692" i="2"/>
  <c r="K1692" i="2" s="1"/>
  <c r="H1693" i="2"/>
  <c r="H1694" i="2"/>
  <c r="H1695" i="2"/>
  <c r="H1696" i="2"/>
  <c r="H1697" i="2"/>
  <c r="H1698" i="2"/>
  <c r="H1699" i="2"/>
  <c r="H1700" i="2"/>
  <c r="H1701" i="2"/>
  <c r="H1702" i="2"/>
  <c r="I1702" i="2" s="1"/>
  <c r="H1703" i="2"/>
  <c r="H1704" i="2"/>
  <c r="H1705" i="2"/>
  <c r="I1705" i="2" s="1"/>
  <c r="H1706" i="2"/>
  <c r="I1706" i="2" s="1"/>
  <c r="H1707" i="2"/>
  <c r="H1708" i="2"/>
  <c r="H1709" i="2"/>
  <c r="H1710" i="2"/>
  <c r="H1711" i="2"/>
  <c r="H1712" i="2"/>
  <c r="I1712" i="2" s="1"/>
  <c r="H1713" i="2"/>
  <c r="H1714" i="2"/>
  <c r="H1715" i="2"/>
  <c r="I1715" i="2" s="1"/>
  <c r="H1716" i="2"/>
  <c r="H1717" i="2"/>
  <c r="I1717" i="2" s="1"/>
  <c r="H1718" i="2"/>
  <c r="H1719" i="2"/>
  <c r="H1720" i="2"/>
  <c r="H1721" i="2"/>
  <c r="H1722" i="2"/>
  <c r="H1723" i="2"/>
  <c r="H1724" i="2"/>
  <c r="H1725" i="2"/>
  <c r="H1726" i="2"/>
  <c r="H1727" i="2"/>
  <c r="H1728" i="2"/>
  <c r="I1728" i="2" s="1"/>
  <c r="H1729" i="2"/>
  <c r="H1730" i="2"/>
  <c r="H1731" i="2"/>
  <c r="H1732" i="2"/>
  <c r="H1733" i="2"/>
  <c r="H1734" i="2"/>
  <c r="H1735" i="2"/>
  <c r="H1736" i="2"/>
  <c r="H1737" i="2"/>
  <c r="H1738" i="2"/>
  <c r="H1739" i="2"/>
  <c r="I1739" i="2" s="1"/>
  <c r="H1740" i="2"/>
  <c r="H1741" i="2"/>
  <c r="I1741" i="2" s="1"/>
  <c r="H1742" i="2"/>
  <c r="H1743" i="2"/>
  <c r="I1743" i="2" s="1"/>
  <c r="H1744" i="2"/>
  <c r="I1744" i="2" s="1"/>
  <c r="H1745" i="2"/>
  <c r="I1745" i="2" s="1"/>
  <c r="H1746" i="2"/>
  <c r="H1747" i="2"/>
  <c r="H1748" i="2"/>
  <c r="H1749" i="2"/>
  <c r="H1750" i="2"/>
  <c r="H1751" i="2"/>
  <c r="H1752" i="2"/>
  <c r="H1753" i="2"/>
  <c r="H1754" i="2"/>
  <c r="H1755" i="2"/>
  <c r="H1756" i="2"/>
  <c r="H1757" i="2"/>
  <c r="H1758" i="2"/>
  <c r="H1759" i="2"/>
  <c r="H1760" i="2"/>
  <c r="H1761" i="2"/>
  <c r="H1762" i="2"/>
  <c r="H1763" i="2"/>
  <c r="H1764" i="2"/>
  <c r="H1765" i="2"/>
  <c r="K451" i="2" l="1"/>
  <c r="J451" i="2"/>
  <c r="I451" i="2"/>
  <c r="K439" i="2"/>
  <c r="J439" i="2"/>
  <c r="I439" i="2"/>
  <c r="K427" i="2"/>
  <c r="J427" i="2"/>
  <c r="I427" i="2"/>
  <c r="K415" i="2"/>
  <c r="J415" i="2"/>
  <c r="I415" i="2"/>
  <c r="K403" i="2"/>
  <c r="J403" i="2"/>
  <c r="I403" i="2"/>
  <c r="K391" i="2"/>
  <c r="J391" i="2"/>
  <c r="I391" i="2"/>
  <c r="K379" i="2"/>
  <c r="J379" i="2"/>
  <c r="I379" i="2"/>
  <c r="K367" i="2"/>
  <c r="J367" i="2"/>
  <c r="I367" i="2"/>
  <c r="K355" i="2"/>
  <c r="J355" i="2"/>
  <c r="I355" i="2"/>
  <c r="K343" i="2"/>
  <c r="J343" i="2"/>
  <c r="I343" i="2"/>
  <c r="K331" i="2"/>
  <c r="J331" i="2"/>
  <c r="I331" i="2"/>
  <c r="K319" i="2"/>
  <c r="J319" i="2"/>
  <c r="I319" i="2"/>
  <c r="K307" i="2"/>
  <c r="J307" i="2"/>
  <c r="I307" i="2"/>
  <c r="K295" i="2"/>
  <c r="J295" i="2"/>
  <c r="I295" i="2"/>
  <c r="K283" i="2"/>
  <c r="J283" i="2"/>
  <c r="I283" i="2"/>
  <c r="K271" i="2"/>
  <c r="J271" i="2"/>
  <c r="I271" i="2"/>
  <c r="K259" i="2"/>
  <c r="J259" i="2"/>
  <c r="I259" i="2"/>
  <c r="K247" i="2"/>
  <c r="J247" i="2"/>
  <c r="I247" i="2"/>
  <c r="K235" i="2"/>
  <c r="J235" i="2"/>
  <c r="I235" i="2"/>
  <c r="K223" i="2"/>
  <c r="J223" i="2"/>
  <c r="I223" i="2"/>
  <c r="K211" i="2"/>
  <c r="J211" i="2"/>
  <c r="I211" i="2"/>
  <c r="K199" i="2"/>
  <c r="J199" i="2"/>
  <c r="I199" i="2"/>
  <c r="K187" i="2"/>
  <c r="J187" i="2"/>
  <c r="I187" i="2"/>
  <c r="K175" i="2"/>
  <c r="J175" i="2"/>
  <c r="I175" i="2"/>
  <c r="K163" i="2"/>
  <c r="J163" i="2"/>
  <c r="I163" i="2"/>
  <c r="K151" i="2"/>
  <c r="J151" i="2"/>
  <c r="I151" i="2"/>
  <c r="K139" i="2"/>
  <c r="J139" i="2"/>
  <c r="I139" i="2"/>
  <c r="K127" i="2"/>
  <c r="J127" i="2"/>
  <c r="I127" i="2"/>
  <c r="K115" i="2"/>
  <c r="J115" i="2"/>
  <c r="I115" i="2"/>
  <c r="K103" i="2"/>
  <c r="J103" i="2"/>
  <c r="I103" i="2"/>
  <c r="K91" i="2"/>
  <c r="J91" i="2"/>
  <c r="I91" i="2"/>
  <c r="K79" i="2"/>
  <c r="J79" i="2"/>
  <c r="I79" i="2"/>
  <c r="K67" i="2"/>
  <c r="J67" i="2"/>
  <c r="I67" i="2"/>
  <c r="K55" i="2"/>
  <c r="J55" i="2"/>
  <c r="I55" i="2"/>
  <c r="K43" i="2"/>
  <c r="J43" i="2"/>
  <c r="I43" i="2"/>
  <c r="K31" i="2"/>
  <c r="I31" i="2"/>
  <c r="J31" i="2"/>
  <c r="K19" i="2"/>
  <c r="J19" i="2"/>
  <c r="I19" i="2"/>
  <c r="K7" i="2"/>
  <c r="J7" i="2"/>
  <c r="I7" i="2"/>
  <c r="K1638" i="2"/>
  <c r="J1638" i="2"/>
  <c r="I1638" i="2"/>
  <c r="K1626" i="2"/>
  <c r="J1626" i="2"/>
  <c r="K1614" i="2"/>
  <c r="J1614" i="2"/>
  <c r="I1614" i="2"/>
  <c r="K1602" i="2"/>
  <c r="J1602" i="2"/>
  <c r="I1602" i="2"/>
  <c r="K1590" i="2"/>
  <c r="J1590" i="2"/>
  <c r="I1590" i="2"/>
  <c r="K1578" i="2"/>
  <c r="J1578" i="2"/>
  <c r="K1566" i="2"/>
  <c r="J1566" i="2"/>
  <c r="I1566" i="2"/>
  <c r="K1554" i="2"/>
  <c r="J1554" i="2"/>
  <c r="K1542" i="2"/>
  <c r="J1542" i="2"/>
  <c r="I1542" i="2"/>
  <c r="K1530" i="2"/>
  <c r="J1530" i="2"/>
  <c r="I1530" i="2"/>
  <c r="K1518" i="2"/>
  <c r="J1518" i="2"/>
  <c r="I1518" i="2"/>
  <c r="K1506" i="2"/>
  <c r="J1506" i="2"/>
  <c r="K1494" i="2"/>
  <c r="J1494" i="2"/>
  <c r="I1494" i="2"/>
  <c r="K1482" i="2"/>
  <c r="J1482" i="2"/>
  <c r="K1470" i="2"/>
  <c r="J1470" i="2"/>
  <c r="I1470" i="2"/>
  <c r="K1458" i="2"/>
  <c r="J1458" i="2"/>
  <c r="I1458" i="2"/>
  <c r="K1446" i="2"/>
  <c r="J1446" i="2"/>
  <c r="I1446" i="2"/>
  <c r="K1434" i="2"/>
  <c r="J1434" i="2"/>
  <c r="K1422" i="2"/>
  <c r="J1422" i="2"/>
  <c r="I1422" i="2"/>
  <c r="K1410" i="2"/>
  <c r="J1410" i="2"/>
  <c r="K1398" i="2"/>
  <c r="J1398" i="2"/>
  <c r="I1398" i="2"/>
  <c r="J1386" i="2"/>
  <c r="I1386" i="2"/>
  <c r="K1386" i="2"/>
  <c r="K1374" i="2"/>
  <c r="J1374" i="2"/>
  <c r="I1374" i="2"/>
  <c r="K1362" i="2"/>
  <c r="J1362" i="2"/>
  <c r="K1350" i="2"/>
  <c r="J1350" i="2"/>
  <c r="I1350" i="2"/>
  <c r="K1338" i="2"/>
  <c r="J1338" i="2"/>
  <c r="K1326" i="2"/>
  <c r="J1326" i="2"/>
  <c r="I1326" i="2"/>
  <c r="K1314" i="2"/>
  <c r="J1314" i="2"/>
  <c r="I1314" i="2"/>
  <c r="K1302" i="2"/>
  <c r="J1302" i="2"/>
  <c r="I1302" i="2"/>
  <c r="K1290" i="2"/>
  <c r="J1290" i="2"/>
  <c r="I1290" i="2"/>
  <c r="K1278" i="2"/>
  <c r="J1278" i="2"/>
  <c r="I1278" i="2"/>
  <c r="K1266" i="2"/>
  <c r="J1266" i="2"/>
  <c r="I1266" i="2"/>
  <c r="K1254" i="2"/>
  <c r="J1254" i="2"/>
  <c r="I1254" i="2"/>
  <c r="J1242" i="2"/>
  <c r="K1242" i="2"/>
  <c r="I1242" i="2"/>
  <c r="K1230" i="2"/>
  <c r="J1230" i="2"/>
  <c r="I1230" i="2"/>
  <c r="K1218" i="2"/>
  <c r="J1218" i="2"/>
  <c r="I1218" i="2"/>
  <c r="K1206" i="2"/>
  <c r="J1206" i="2"/>
  <c r="I1206" i="2"/>
  <c r="K1194" i="2"/>
  <c r="J1194" i="2"/>
  <c r="I1194" i="2"/>
  <c r="K1182" i="2"/>
  <c r="J1182" i="2"/>
  <c r="I1182" i="2"/>
  <c r="K1170" i="2"/>
  <c r="J1170" i="2"/>
  <c r="I1170" i="2"/>
  <c r="K1158" i="2"/>
  <c r="J1158" i="2"/>
  <c r="I1158" i="2"/>
  <c r="K1146" i="2"/>
  <c r="J1146" i="2"/>
  <c r="I1146" i="2"/>
  <c r="J1134" i="2"/>
  <c r="K1134" i="2"/>
  <c r="I1134" i="2"/>
  <c r="K1122" i="2"/>
  <c r="J1122" i="2"/>
  <c r="I1122" i="2"/>
  <c r="K1110" i="2"/>
  <c r="J1110" i="2"/>
  <c r="I1110" i="2"/>
  <c r="K1098" i="2"/>
  <c r="J1098" i="2"/>
  <c r="I1098" i="2"/>
  <c r="K1086" i="2"/>
  <c r="J1086" i="2"/>
  <c r="I1086" i="2"/>
  <c r="K1074" i="2"/>
  <c r="J1074" i="2"/>
  <c r="I1074" i="2"/>
  <c r="K1062" i="2"/>
  <c r="J1062" i="2"/>
  <c r="I1062" i="2"/>
  <c r="K1050" i="2"/>
  <c r="J1050" i="2"/>
  <c r="I1050" i="2"/>
  <c r="K1038" i="2"/>
  <c r="J1038" i="2"/>
  <c r="I1038" i="2"/>
  <c r="J1026" i="2"/>
  <c r="K1026" i="2"/>
  <c r="I1026" i="2"/>
  <c r="K1014" i="2"/>
  <c r="J1014" i="2"/>
  <c r="I1014" i="2"/>
  <c r="K1002" i="2"/>
  <c r="J1002" i="2"/>
  <c r="I1002" i="2"/>
  <c r="K990" i="2"/>
  <c r="J990" i="2"/>
  <c r="I990" i="2"/>
  <c r="K978" i="2"/>
  <c r="J978" i="2"/>
  <c r="I978" i="2"/>
  <c r="K966" i="2"/>
  <c r="J966" i="2"/>
  <c r="I966" i="2"/>
  <c r="K954" i="2"/>
  <c r="J954" i="2"/>
  <c r="I954" i="2"/>
  <c r="K942" i="2"/>
  <c r="J942" i="2"/>
  <c r="I942" i="2"/>
  <c r="K930" i="2"/>
  <c r="J930" i="2"/>
  <c r="I930" i="2"/>
  <c r="K918" i="2"/>
  <c r="J918" i="2"/>
  <c r="I918" i="2"/>
  <c r="K906" i="2"/>
  <c r="J906" i="2"/>
  <c r="I906" i="2"/>
  <c r="K894" i="2"/>
  <c r="J894" i="2"/>
  <c r="I894" i="2"/>
  <c r="K882" i="2"/>
  <c r="J882" i="2"/>
  <c r="I882" i="2"/>
  <c r="K870" i="2"/>
  <c r="J870" i="2"/>
  <c r="I870" i="2"/>
  <c r="K858" i="2"/>
  <c r="J858" i="2"/>
  <c r="I858" i="2"/>
  <c r="K846" i="2"/>
  <c r="J846" i="2"/>
  <c r="I846" i="2"/>
  <c r="K834" i="2"/>
  <c r="J834" i="2"/>
  <c r="I834" i="2"/>
  <c r="K822" i="2"/>
  <c r="J822" i="2"/>
  <c r="I822" i="2"/>
  <c r="K810" i="2"/>
  <c r="J810" i="2"/>
  <c r="I810" i="2"/>
  <c r="K798" i="2"/>
  <c r="J798" i="2"/>
  <c r="I798" i="2"/>
  <c r="K786" i="2"/>
  <c r="J786" i="2"/>
  <c r="I786" i="2"/>
  <c r="K774" i="2"/>
  <c r="J774" i="2"/>
  <c r="I774" i="2"/>
  <c r="K762" i="2"/>
  <c r="J762" i="2"/>
  <c r="I762" i="2"/>
  <c r="K750" i="2"/>
  <c r="J750" i="2"/>
  <c r="K738" i="2"/>
  <c r="J738" i="2"/>
  <c r="I738" i="2"/>
  <c r="K726" i="2"/>
  <c r="J726" i="2"/>
  <c r="I726" i="2"/>
  <c r="K714" i="2"/>
  <c r="J714" i="2"/>
  <c r="I714" i="2"/>
  <c r="K702" i="2"/>
  <c r="J702" i="2"/>
  <c r="I702" i="2"/>
  <c r="K690" i="2"/>
  <c r="J690" i="2"/>
  <c r="I690" i="2"/>
  <c r="K678" i="2"/>
  <c r="J678" i="2"/>
  <c r="I678" i="2"/>
  <c r="K666" i="2"/>
  <c r="J666" i="2"/>
  <c r="I666" i="2"/>
  <c r="K654" i="2"/>
  <c r="J654" i="2"/>
  <c r="I654" i="2"/>
  <c r="K642" i="2"/>
  <c r="J642" i="2"/>
  <c r="I642" i="2"/>
  <c r="K630" i="2"/>
  <c r="J630" i="2"/>
  <c r="I630" i="2"/>
  <c r="K618" i="2"/>
  <c r="J618" i="2"/>
  <c r="I618" i="2"/>
  <c r="K606" i="2"/>
  <c r="J606" i="2"/>
  <c r="I606" i="2"/>
  <c r="K594" i="2"/>
  <c r="J594" i="2"/>
  <c r="I594" i="2"/>
  <c r="K582" i="2"/>
  <c r="J582" i="2"/>
  <c r="I582" i="2"/>
  <c r="K570" i="2"/>
  <c r="J570" i="2"/>
  <c r="I570" i="2"/>
  <c r="K558" i="2"/>
  <c r="J558" i="2"/>
  <c r="I558" i="2"/>
  <c r="K546" i="2"/>
  <c r="J546" i="2"/>
  <c r="I546" i="2"/>
  <c r="K534" i="2"/>
  <c r="J534" i="2"/>
  <c r="I534" i="2"/>
  <c r="K522" i="2"/>
  <c r="J522" i="2"/>
  <c r="I522" i="2"/>
  <c r="K510" i="2"/>
  <c r="J510" i="2"/>
  <c r="I510" i="2"/>
  <c r="K498" i="2"/>
  <c r="J498" i="2"/>
  <c r="I498" i="2"/>
  <c r="K486" i="2"/>
  <c r="J486" i="2"/>
  <c r="K474" i="2"/>
  <c r="J474" i="2"/>
  <c r="I474" i="2"/>
  <c r="K462" i="2"/>
  <c r="J462" i="2"/>
  <c r="I462" i="2"/>
  <c r="K450" i="2"/>
  <c r="J450" i="2"/>
  <c r="K438" i="2"/>
  <c r="J438" i="2"/>
  <c r="I438" i="2"/>
  <c r="K426" i="2"/>
  <c r="J426" i="2"/>
  <c r="I426" i="2"/>
  <c r="K414" i="2"/>
  <c r="J414" i="2"/>
  <c r="I414" i="2"/>
  <c r="K402" i="2"/>
  <c r="J402" i="2"/>
  <c r="I402" i="2"/>
  <c r="K390" i="2"/>
  <c r="J390" i="2"/>
  <c r="I390" i="2"/>
  <c r="K378" i="2"/>
  <c r="J378" i="2"/>
  <c r="I378" i="2"/>
  <c r="K366" i="2"/>
  <c r="J366" i="2"/>
  <c r="I366" i="2"/>
  <c r="K354" i="2"/>
  <c r="J354" i="2"/>
  <c r="I354" i="2"/>
  <c r="K342" i="2"/>
  <c r="J342" i="2"/>
  <c r="I342" i="2"/>
  <c r="K330" i="2"/>
  <c r="J330" i="2"/>
  <c r="I330" i="2"/>
  <c r="K318" i="2"/>
  <c r="J318" i="2"/>
  <c r="I318" i="2"/>
  <c r="K306" i="2"/>
  <c r="J306" i="2"/>
  <c r="I306" i="2"/>
  <c r="K294" i="2"/>
  <c r="J294" i="2"/>
  <c r="I294" i="2"/>
  <c r="K282" i="2"/>
  <c r="J282" i="2"/>
  <c r="I282" i="2"/>
  <c r="K270" i="2"/>
  <c r="J270" i="2"/>
  <c r="I270" i="2"/>
  <c r="K258" i="2"/>
  <c r="J258" i="2"/>
  <c r="I258" i="2"/>
  <c r="K246" i="2"/>
  <c r="J246" i="2"/>
  <c r="I246" i="2"/>
  <c r="K234" i="2"/>
  <c r="J234" i="2"/>
  <c r="I234" i="2"/>
  <c r="K222" i="2"/>
  <c r="J222" i="2"/>
  <c r="I222" i="2"/>
  <c r="K210" i="2"/>
  <c r="J210" i="2"/>
  <c r="I210" i="2"/>
  <c r="K198" i="2"/>
  <c r="J198" i="2"/>
  <c r="I198" i="2"/>
  <c r="K186" i="2"/>
  <c r="J186" i="2"/>
  <c r="I186" i="2"/>
  <c r="K174" i="2"/>
  <c r="J174" i="2"/>
  <c r="I174" i="2"/>
  <c r="K162" i="2"/>
  <c r="J162" i="2"/>
  <c r="I162" i="2"/>
  <c r="K150" i="2"/>
  <c r="J150" i="2"/>
  <c r="I150" i="2"/>
  <c r="K138" i="2"/>
  <c r="J138" i="2"/>
  <c r="I138" i="2"/>
  <c r="K126" i="2"/>
  <c r="J126" i="2"/>
  <c r="I126" i="2"/>
  <c r="K114" i="2"/>
  <c r="J114" i="2"/>
  <c r="I114" i="2"/>
  <c r="K102" i="2"/>
  <c r="J102" i="2"/>
  <c r="I102" i="2"/>
  <c r="K90" i="2"/>
  <c r="J90" i="2"/>
  <c r="I90" i="2"/>
  <c r="K78" i="2"/>
  <c r="J78" i="2"/>
  <c r="I78" i="2"/>
  <c r="K66" i="2"/>
  <c r="J66" i="2"/>
  <c r="I66" i="2"/>
  <c r="K54" i="2"/>
  <c r="J54" i="2"/>
  <c r="I54" i="2"/>
  <c r="K42" i="2"/>
  <c r="J42" i="2"/>
  <c r="I42" i="2"/>
  <c r="K30" i="2"/>
  <c r="J30" i="2"/>
  <c r="I30" i="2"/>
  <c r="K18" i="2"/>
  <c r="J18" i="2"/>
  <c r="I18" i="2"/>
  <c r="K6" i="2"/>
  <c r="J6" i="2"/>
  <c r="I6" i="2"/>
  <c r="K773" i="2"/>
  <c r="J773" i="2"/>
  <c r="I773" i="2"/>
  <c r="K761" i="2"/>
  <c r="J761" i="2"/>
  <c r="I761" i="2"/>
  <c r="K749" i="2"/>
  <c r="J749" i="2"/>
  <c r="I749" i="2"/>
  <c r="K737" i="2"/>
  <c r="J737" i="2"/>
  <c r="I737" i="2"/>
  <c r="K725" i="2"/>
  <c r="J725" i="2"/>
  <c r="I725" i="2"/>
  <c r="K713" i="2"/>
  <c r="J713" i="2"/>
  <c r="I713" i="2"/>
  <c r="K701" i="2"/>
  <c r="J701" i="2"/>
  <c r="I701" i="2"/>
  <c r="K689" i="2"/>
  <c r="J689" i="2"/>
  <c r="I689" i="2"/>
  <c r="K677" i="2"/>
  <c r="J677" i="2"/>
  <c r="I677" i="2"/>
  <c r="K665" i="2"/>
  <c r="J665" i="2"/>
  <c r="I665" i="2"/>
  <c r="K653" i="2"/>
  <c r="J653" i="2"/>
  <c r="I653" i="2"/>
  <c r="K641" i="2"/>
  <c r="J641" i="2"/>
  <c r="I641" i="2"/>
  <c r="K629" i="2"/>
  <c r="J629" i="2"/>
  <c r="I629" i="2"/>
  <c r="K617" i="2"/>
  <c r="J617" i="2"/>
  <c r="I617" i="2"/>
  <c r="K605" i="2"/>
  <c r="J605" i="2"/>
  <c r="I605" i="2"/>
  <c r="K593" i="2"/>
  <c r="J593" i="2"/>
  <c r="I593" i="2"/>
  <c r="K581" i="2"/>
  <c r="J581" i="2"/>
  <c r="I581" i="2"/>
  <c r="K569" i="2"/>
  <c r="J569" i="2"/>
  <c r="I569" i="2"/>
  <c r="K557" i="2"/>
  <c r="J557" i="2"/>
  <c r="K545" i="2"/>
  <c r="J545" i="2"/>
  <c r="I545" i="2"/>
  <c r="K533" i="2"/>
  <c r="I533" i="2"/>
  <c r="J533" i="2"/>
  <c r="K521" i="2"/>
  <c r="J521" i="2"/>
  <c r="K509" i="2"/>
  <c r="J509" i="2"/>
  <c r="I509" i="2"/>
  <c r="K497" i="2"/>
  <c r="I497" i="2"/>
  <c r="J497" i="2"/>
  <c r="K485" i="2"/>
  <c r="J485" i="2"/>
  <c r="I485" i="2"/>
  <c r="K473" i="2"/>
  <c r="J473" i="2"/>
  <c r="I473" i="2"/>
  <c r="K461" i="2"/>
  <c r="J461" i="2"/>
  <c r="I461" i="2"/>
  <c r="K449" i="2"/>
  <c r="J449" i="2"/>
  <c r="I449" i="2"/>
  <c r="K437" i="2"/>
  <c r="J437" i="2"/>
  <c r="I437" i="2"/>
  <c r="K425" i="2"/>
  <c r="J425" i="2"/>
  <c r="I425" i="2"/>
  <c r="K413" i="2"/>
  <c r="J413" i="2"/>
  <c r="I413" i="2"/>
  <c r="K401" i="2"/>
  <c r="J401" i="2"/>
  <c r="I401" i="2"/>
  <c r="K389" i="2"/>
  <c r="J389" i="2"/>
  <c r="I389" i="2"/>
  <c r="K377" i="2"/>
  <c r="J377" i="2"/>
  <c r="I377" i="2"/>
  <c r="K365" i="2"/>
  <c r="J365" i="2"/>
  <c r="I365" i="2"/>
  <c r="K353" i="2"/>
  <c r="J353" i="2"/>
  <c r="I353" i="2"/>
  <c r="K341" i="2"/>
  <c r="J341" i="2"/>
  <c r="I341" i="2"/>
  <c r="K329" i="2"/>
  <c r="J329" i="2"/>
  <c r="I329" i="2"/>
  <c r="K317" i="2"/>
  <c r="J317" i="2"/>
  <c r="I317" i="2"/>
  <c r="K305" i="2"/>
  <c r="J305" i="2"/>
  <c r="I305" i="2"/>
  <c r="K293" i="2"/>
  <c r="J293" i="2"/>
  <c r="I293" i="2"/>
  <c r="K281" i="2"/>
  <c r="J281" i="2"/>
  <c r="I281" i="2"/>
  <c r="K269" i="2"/>
  <c r="J269" i="2"/>
  <c r="I269" i="2"/>
  <c r="K257" i="2"/>
  <c r="J257" i="2"/>
  <c r="I257" i="2"/>
  <c r="K245" i="2"/>
  <c r="J245" i="2"/>
  <c r="I245" i="2"/>
  <c r="K233" i="2"/>
  <c r="J233" i="2"/>
  <c r="I233" i="2"/>
  <c r="K221" i="2"/>
  <c r="J221" i="2"/>
  <c r="I221" i="2"/>
  <c r="K209" i="2"/>
  <c r="J209" i="2"/>
  <c r="I209" i="2"/>
  <c r="K197" i="2"/>
  <c r="J197" i="2"/>
  <c r="I197" i="2"/>
  <c r="K185" i="2"/>
  <c r="J185" i="2"/>
  <c r="I185" i="2"/>
  <c r="K173" i="2"/>
  <c r="I173" i="2"/>
  <c r="J173" i="2"/>
  <c r="K161" i="2"/>
  <c r="J161" i="2"/>
  <c r="I161" i="2"/>
  <c r="K149" i="2"/>
  <c r="J149" i="2"/>
  <c r="I149" i="2"/>
  <c r="K137" i="2"/>
  <c r="J137" i="2"/>
  <c r="I137" i="2"/>
  <c r="K125" i="2"/>
  <c r="J125" i="2"/>
  <c r="I125" i="2"/>
  <c r="K113" i="2"/>
  <c r="J113" i="2"/>
  <c r="I113" i="2"/>
  <c r="K101" i="2"/>
  <c r="J101" i="2"/>
  <c r="I101" i="2"/>
  <c r="K89" i="2"/>
  <c r="J89" i="2"/>
  <c r="I89" i="2"/>
  <c r="K77" i="2"/>
  <c r="J77" i="2"/>
  <c r="I77" i="2"/>
  <c r="K65" i="2"/>
  <c r="J65" i="2"/>
  <c r="I65" i="2"/>
  <c r="K53" i="2"/>
  <c r="J53" i="2"/>
  <c r="I53" i="2"/>
  <c r="K41" i="2"/>
  <c r="J41" i="2"/>
  <c r="I41" i="2"/>
  <c r="K29" i="2"/>
  <c r="J29" i="2"/>
  <c r="I29" i="2"/>
  <c r="K17" i="2"/>
  <c r="J17" i="2"/>
  <c r="I17" i="2"/>
  <c r="K5" i="2"/>
  <c r="J5" i="2"/>
  <c r="I5" i="2"/>
  <c r="I1578" i="2"/>
  <c r="I1338" i="2"/>
  <c r="I750" i="2"/>
  <c r="K1740" i="2"/>
  <c r="I1740" i="2"/>
  <c r="J1740" i="2"/>
  <c r="K1704" i="2"/>
  <c r="J1704" i="2"/>
  <c r="K1680" i="2"/>
  <c r="J1680" i="2"/>
  <c r="K1548" i="2"/>
  <c r="J1548" i="2"/>
  <c r="I1548" i="2"/>
  <c r="J1627" i="2"/>
  <c r="K1627" i="2"/>
  <c r="I1627" i="2"/>
  <c r="K1543" i="2"/>
  <c r="J1543" i="2"/>
  <c r="I1543" i="2"/>
  <c r="K1483" i="2"/>
  <c r="J1483" i="2"/>
  <c r="I1483" i="2"/>
  <c r="K1459" i="2"/>
  <c r="J1459" i="2"/>
  <c r="I1459" i="2"/>
  <c r="J1435" i="2"/>
  <c r="K1435" i="2"/>
  <c r="I1435" i="2"/>
  <c r="J1411" i="2"/>
  <c r="K1411" i="2"/>
  <c r="I1411" i="2"/>
  <c r="K1387" i="2"/>
  <c r="J1387" i="2"/>
  <c r="I1387" i="2"/>
  <c r="K1363" i="2"/>
  <c r="J1363" i="2"/>
  <c r="I1363" i="2"/>
  <c r="K1339" i="2"/>
  <c r="J1339" i="2"/>
  <c r="I1339" i="2"/>
  <c r="K1315" i="2"/>
  <c r="J1315" i="2"/>
  <c r="I1315" i="2"/>
  <c r="K1243" i="2"/>
  <c r="J1243" i="2"/>
  <c r="I1243" i="2"/>
  <c r="K1219" i="2"/>
  <c r="J1219" i="2"/>
  <c r="K1195" i="2"/>
  <c r="J1195" i="2"/>
  <c r="I1195" i="2"/>
  <c r="K1171" i="2"/>
  <c r="J1171" i="2"/>
  <c r="I1171" i="2"/>
  <c r="K1147" i="2"/>
  <c r="J1147" i="2"/>
  <c r="K1123" i="2"/>
  <c r="J1123" i="2"/>
  <c r="I1123" i="2"/>
  <c r="K1087" i="2"/>
  <c r="J1087" i="2"/>
  <c r="I1087" i="2"/>
  <c r="K1063" i="2"/>
  <c r="J1063" i="2"/>
  <c r="I1063" i="2"/>
  <c r="K1039" i="2"/>
  <c r="J1039" i="2"/>
  <c r="I1039" i="2"/>
  <c r="K1003" i="2"/>
  <c r="J1003" i="2"/>
  <c r="I1003" i="2"/>
  <c r="K967" i="2"/>
  <c r="J967" i="2"/>
  <c r="I967" i="2"/>
  <c r="K943" i="2"/>
  <c r="J943" i="2"/>
  <c r="I943" i="2"/>
  <c r="K907" i="2"/>
  <c r="J907" i="2"/>
  <c r="I907" i="2"/>
  <c r="K871" i="2"/>
  <c r="I871" i="2"/>
  <c r="K823" i="2"/>
  <c r="J823" i="2"/>
  <c r="I823" i="2"/>
  <c r="K787" i="2"/>
  <c r="I787" i="2"/>
  <c r="J787" i="2"/>
  <c r="K763" i="2"/>
  <c r="J763" i="2"/>
  <c r="I763" i="2"/>
  <c r="K727" i="2"/>
  <c r="J727" i="2"/>
  <c r="I727" i="2"/>
  <c r="K703" i="2"/>
  <c r="J703" i="2"/>
  <c r="I703" i="2"/>
  <c r="K655" i="2"/>
  <c r="I655" i="2"/>
  <c r="J655" i="2"/>
  <c r="K571" i="2"/>
  <c r="J571" i="2"/>
  <c r="I571" i="2"/>
  <c r="K559" i="2"/>
  <c r="J559" i="2"/>
  <c r="I559" i="2"/>
  <c r="K523" i="2"/>
  <c r="J523" i="2"/>
  <c r="I523" i="2"/>
  <c r="K1710" i="2"/>
  <c r="J1710" i="2"/>
  <c r="I1710" i="2"/>
  <c r="K1698" i="2"/>
  <c r="J1698" i="2"/>
  <c r="I1698" i="2"/>
  <c r="K1674" i="2"/>
  <c r="J1674" i="2"/>
  <c r="I1674" i="2"/>
  <c r="K1650" i="2"/>
  <c r="J1650" i="2"/>
  <c r="I1650" i="2"/>
  <c r="K1745" i="2"/>
  <c r="J1745" i="2"/>
  <c r="K1721" i="2"/>
  <c r="J1721" i="2"/>
  <c r="I1721" i="2"/>
  <c r="K1697" i="2"/>
  <c r="J1697" i="2"/>
  <c r="I1697" i="2"/>
  <c r="K1673" i="2"/>
  <c r="J1673" i="2"/>
  <c r="K1649" i="2"/>
  <c r="J1649" i="2"/>
  <c r="K1637" i="2"/>
  <c r="J1637" i="2"/>
  <c r="I1637" i="2"/>
  <c r="K1601" i="2"/>
  <c r="J1601" i="2"/>
  <c r="I1601" i="2"/>
  <c r="J1577" i="2"/>
  <c r="K1577" i="2"/>
  <c r="I1577" i="2"/>
  <c r="K1553" i="2"/>
  <c r="J1553" i="2"/>
  <c r="K1529" i="2"/>
  <c r="J1529" i="2"/>
  <c r="I1529" i="2"/>
  <c r="J1469" i="2"/>
  <c r="K1469" i="2"/>
  <c r="I1469" i="2"/>
  <c r="K1445" i="2"/>
  <c r="J1445" i="2"/>
  <c r="I1445" i="2"/>
  <c r="K1421" i="2"/>
  <c r="J1421" i="2"/>
  <c r="I1421" i="2"/>
  <c r="K1385" i="2"/>
  <c r="J1385" i="2"/>
  <c r="I1385" i="2"/>
  <c r="K1337" i="2"/>
  <c r="J1337" i="2"/>
  <c r="I1337" i="2"/>
  <c r="K1313" i="2"/>
  <c r="J1313" i="2"/>
  <c r="I1313" i="2"/>
  <c r="K1289" i="2"/>
  <c r="J1289" i="2"/>
  <c r="I1289" i="2"/>
  <c r="J1253" i="2"/>
  <c r="K1253" i="2"/>
  <c r="I1253" i="2"/>
  <c r="J1229" i="2"/>
  <c r="K1229" i="2"/>
  <c r="I1229" i="2"/>
  <c r="K1205" i="2"/>
  <c r="J1205" i="2"/>
  <c r="I1205" i="2"/>
  <c r="J1133" i="2"/>
  <c r="I1133" i="2"/>
  <c r="K1133" i="2"/>
  <c r="K1109" i="2"/>
  <c r="J1109" i="2"/>
  <c r="I1109" i="2"/>
  <c r="K1073" i="2"/>
  <c r="J1073" i="2"/>
  <c r="I1073" i="2"/>
  <c r="K1037" i="2"/>
  <c r="J1037" i="2"/>
  <c r="I1037" i="2"/>
  <c r="K1001" i="2"/>
  <c r="J1001" i="2"/>
  <c r="I1001" i="2"/>
  <c r="K965" i="2"/>
  <c r="J965" i="2"/>
  <c r="I965" i="2"/>
  <c r="K941" i="2"/>
  <c r="J941" i="2"/>
  <c r="I941" i="2"/>
  <c r="K905" i="2"/>
  <c r="J905" i="2"/>
  <c r="I905" i="2"/>
  <c r="K881" i="2"/>
  <c r="J881" i="2"/>
  <c r="I881" i="2"/>
  <c r="K857" i="2"/>
  <c r="J857" i="2"/>
  <c r="I857" i="2"/>
  <c r="K821" i="2"/>
  <c r="J821" i="2"/>
  <c r="I821" i="2"/>
  <c r="K809" i="2"/>
  <c r="J809" i="2"/>
  <c r="I809" i="2"/>
  <c r="K785" i="2"/>
  <c r="J785" i="2"/>
  <c r="I785" i="2"/>
  <c r="K1744" i="2"/>
  <c r="J1744" i="2"/>
  <c r="K1720" i="2"/>
  <c r="J1720" i="2"/>
  <c r="I1720" i="2"/>
  <c r="J1696" i="2"/>
  <c r="K1696" i="2"/>
  <c r="I1696" i="2"/>
  <c r="J1684" i="2"/>
  <c r="K1684" i="2"/>
  <c r="I1684" i="2"/>
  <c r="K1672" i="2"/>
  <c r="J1672" i="2"/>
  <c r="I1672" i="2"/>
  <c r="K1660" i="2"/>
  <c r="J1660" i="2"/>
  <c r="I1660" i="2"/>
  <c r="K1648" i="2"/>
  <c r="J1648" i="2"/>
  <c r="I1648" i="2"/>
  <c r="K1624" i="2"/>
  <c r="J1624" i="2"/>
  <c r="I1624" i="2"/>
  <c r="K1612" i="2"/>
  <c r="J1612" i="2"/>
  <c r="K1600" i="2"/>
  <c r="J1600" i="2"/>
  <c r="I1600" i="2"/>
  <c r="K1576" i="2"/>
  <c r="J1576" i="2"/>
  <c r="I1576" i="2"/>
  <c r="K1516" i="2"/>
  <c r="J1516" i="2"/>
  <c r="I1516" i="2"/>
  <c r="K1492" i="2"/>
  <c r="J1492" i="2"/>
  <c r="K1468" i="2"/>
  <c r="J1468" i="2"/>
  <c r="K1432" i="2"/>
  <c r="J1432" i="2"/>
  <c r="I1432" i="2"/>
  <c r="K1300" i="2"/>
  <c r="J1300" i="2"/>
  <c r="I1300" i="2"/>
  <c r="K1288" i="2"/>
  <c r="J1288" i="2"/>
  <c r="I1288" i="2"/>
  <c r="J1276" i="2"/>
  <c r="K1276" i="2"/>
  <c r="I1276" i="2"/>
  <c r="K1264" i="2"/>
  <c r="J1264" i="2"/>
  <c r="I1264" i="2"/>
  <c r="J1252" i="2"/>
  <c r="K1252" i="2"/>
  <c r="I1252" i="2"/>
  <c r="K1240" i="2"/>
  <c r="J1240" i="2"/>
  <c r="I1240" i="2"/>
  <c r="J1228" i="2"/>
  <c r="K1228" i="2"/>
  <c r="I1228" i="2"/>
  <c r="K1216" i="2"/>
  <c r="J1216" i="2"/>
  <c r="I1216" i="2"/>
  <c r="K1204" i="2"/>
  <c r="J1204" i="2"/>
  <c r="I1204" i="2"/>
  <c r="K1192" i="2"/>
  <c r="J1192" i="2"/>
  <c r="I1192" i="2"/>
  <c r="K1180" i="2"/>
  <c r="J1180" i="2"/>
  <c r="I1180" i="2"/>
  <c r="K1168" i="2"/>
  <c r="J1168" i="2"/>
  <c r="I1168" i="2"/>
  <c r="K1156" i="2"/>
  <c r="J1156" i="2"/>
  <c r="I1156" i="2"/>
  <c r="K1144" i="2"/>
  <c r="J1144" i="2"/>
  <c r="I1144" i="2"/>
  <c r="K1132" i="2"/>
  <c r="J1132" i="2"/>
  <c r="I1132" i="2"/>
  <c r="K1120" i="2"/>
  <c r="J1120" i="2"/>
  <c r="I1120" i="2"/>
  <c r="K1108" i="2"/>
  <c r="J1108" i="2"/>
  <c r="I1108" i="2"/>
  <c r="K1096" i="2"/>
  <c r="J1096" i="2"/>
  <c r="I1096" i="2"/>
  <c r="K1084" i="2"/>
  <c r="J1084" i="2"/>
  <c r="I1084" i="2"/>
  <c r="K1072" i="2"/>
  <c r="J1072" i="2"/>
  <c r="I1072" i="2"/>
  <c r="K1060" i="2"/>
  <c r="J1060" i="2"/>
  <c r="I1060" i="2"/>
  <c r="K1048" i="2"/>
  <c r="J1048" i="2"/>
  <c r="I1048" i="2"/>
  <c r="K1036" i="2"/>
  <c r="J1036" i="2"/>
  <c r="I1036" i="2"/>
  <c r="K1024" i="2"/>
  <c r="I1024" i="2"/>
  <c r="J1024" i="2"/>
  <c r="K1012" i="2"/>
  <c r="J1012" i="2"/>
  <c r="I1012" i="2"/>
  <c r="K1000" i="2"/>
  <c r="I1000" i="2"/>
  <c r="J1000" i="2"/>
  <c r="K988" i="2"/>
  <c r="J988" i="2"/>
  <c r="I988" i="2"/>
  <c r="K976" i="2"/>
  <c r="J976" i="2"/>
  <c r="I976" i="2"/>
  <c r="K964" i="2"/>
  <c r="J964" i="2"/>
  <c r="I964" i="2"/>
  <c r="K952" i="2"/>
  <c r="J952" i="2"/>
  <c r="I952" i="2"/>
  <c r="K940" i="2"/>
  <c r="J940" i="2"/>
  <c r="I940" i="2"/>
  <c r="K928" i="2"/>
  <c r="J928" i="2"/>
  <c r="I928" i="2"/>
  <c r="K916" i="2"/>
  <c r="J916" i="2"/>
  <c r="I916" i="2"/>
  <c r="K904" i="2"/>
  <c r="J904" i="2"/>
  <c r="I904" i="2"/>
  <c r="K892" i="2"/>
  <c r="J892" i="2"/>
  <c r="I892" i="2"/>
  <c r="K880" i="2"/>
  <c r="J880" i="2"/>
  <c r="I880" i="2"/>
  <c r="K868" i="2"/>
  <c r="I868" i="2"/>
  <c r="J868" i="2"/>
  <c r="K856" i="2"/>
  <c r="J856" i="2"/>
  <c r="I856" i="2"/>
  <c r="K844" i="2"/>
  <c r="J844" i="2"/>
  <c r="I844" i="2"/>
  <c r="K832" i="2"/>
  <c r="J832" i="2"/>
  <c r="I832" i="2"/>
  <c r="K820" i="2"/>
  <c r="J820" i="2"/>
  <c r="I820" i="2"/>
  <c r="K808" i="2"/>
  <c r="J808" i="2"/>
  <c r="I808" i="2"/>
  <c r="K796" i="2"/>
  <c r="J796" i="2"/>
  <c r="I796" i="2"/>
  <c r="K784" i="2"/>
  <c r="J784" i="2"/>
  <c r="I784" i="2"/>
  <c r="K772" i="2"/>
  <c r="J772" i="2"/>
  <c r="I772" i="2"/>
  <c r="K760" i="2"/>
  <c r="J760" i="2"/>
  <c r="I760" i="2"/>
  <c r="K748" i="2"/>
  <c r="J748" i="2"/>
  <c r="I748" i="2"/>
  <c r="K736" i="2"/>
  <c r="J736" i="2"/>
  <c r="I736" i="2"/>
  <c r="K724" i="2"/>
  <c r="J724" i="2"/>
  <c r="I724" i="2"/>
  <c r="K712" i="2"/>
  <c r="J712" i="2"/>
  <c r="I712" i="2"/>
  <c r="K700" i="2"/>
  <c r="I700" i="2"/>
  <c r="J700" i="2"/>
  <c r="K688" i="2"/>
  <c r="J688" i="2"/>
  <c r="I688" i="2"/>
  <c r="K676" i="2"/>
  <c r="J676" i="2"/>
  <c r="I676" i="2"/>
  <c r="K664" i="2"/>
  <c r="J664" i="2"/>
  <c r="I664" i="2"/>
  <c r="K652" i="2"/>
  <c r="J652" i="2"/>
  <c r="I652" i="2"/>
  <c r="K640" i="2"/>
  <c r="J640" i="2"/>
  <c r="I640" i="2"/>
  <c r="K628" i="2"/>
  <c r="J628" i="2"/>
  <c r="I628" i="2"/>
  <c r="K616" i="2"/>
  <c r="J616" i="2"/>
  <c r="I616" i="2"/>
  <c r="K604" i="2"/>
  <c r="J604" i="2"/>
  <c r="I604" i="2"/>
  <c r="K592" i="2"/>
  <c r="J592" i="2"/>
  <c r="K580" i="2"/>
  <c r="J580" i="2"/>
  <c r="I580" i="2"/>
  <c r="K568" i="2"/>
  <c r="J568" i="2"/>
  <c r="I568" i="2"/>
  <c r="K556" i="2"/>
  <c r="J556" i="2"/>
  <c r="I556" i="2"/>
  <c r="K544" i="2"/>
  <c r="J544" i="2"/>
  <c r="I544" i="2"/>
  <c r="K532" i="2"/>
  <c r="J532" i="2"/>
  <c r="I532" i="2"/>
  <c r="K520" i="2"/>
  <c r="J520" i="2"/>
  <c r="I520" i="2"/>
  <c r="K508" i="2"/>
  <c r="J508" i="2"/>
  <c r="I508" i="2"/>
  <c r="K496" i="2"/>
  <c r="J496" i="2"/>
  <c r="I496" i="2"/>
  <c r="K484" i="2"/>
  <c r="J484" i="2"/>
  <c r="I484" i="2"/>
  <c r="K472" i="2"/>
  <c r="J472" i="2"/>
  <c r="I472" i="2"/>
  <c r="K460" i="2"/>
  <c r="J460" i="2"/>
  <c r="I460" i="2"/>
  <c r="K448" i="2"/>
  <c r="J448" i="2"/>
  <c r="I448" i="2"/>
  <c r="K436" i="2"/>
  <c r="J436" i="2"/>
  <c r="I436" i="2"/>
  <c r="K424" i="2"/>
  <c r="J424" i="2"/>
  <c r="I424" i="2"/>
  <c r="K412" i="2"/>
  <c r="J412" i="2"/>
  <c r="I412" i="2"/>
  <c r="K400" i="2"/>
  <c r="J400" i="2"/>
  <c r="I400" i="2"/>
  <c r="K388" i="2"/>
  <c r="J388" i="2"/>
  <c r="I388" i="2"/>
  <c r="K376" i="2"/>
  <c r="J376" i="2"/>
  <c r="I376" i="2"/>
  <c r="K364" i="2"/>
  <c r="J364" i="2"/>
  <c r="I364" i="2"/>
  <c r="K352" i="2"/>
  <c r="J352" i="2"/>
  <c r="I352" i="2"/>
  <c r="K340" i="2"/>
  <c r="J340" i="2"/>
  <c r="I340" i="2"/>
  <c r="K328" i="2"/>
  <c r="J328" i="2"/>
  <c r="I328" i="2"/>
  <c r="K316" i="2"/>
  <c r="J316" i="2"/>
  <c r="I316" i="2"/>
  <c r="K304" i="2"/>
  <c r="J304" i="2"/>
  <c r="I304" i="2"/>
  <c r="K292" i="2"/>
  <c r="I292" i="2"/>
  <c r="J292" i="2"/>
  <c r="K280" i="2"/>
  <c r="J280" i="2"/>
  <c r="I280" i="2"/>
  <c r="K268" i="2"/>
  <c r="J268" i="2"/>
  <c r="I268" i="2"/>
  <c r="K256" i="2"/>
  <c r="J256" i="2"/>
  <c r="I256" i="2"/>
  <c r="K244" i="2"/>
  <c r="J244" i="2"/>
  <c r="I244" i="2"/>
  <c r="K232" i="2"/>
  <c r="J232" i="2"/>
  <c r="I232" i="2"/>
  <c r="K220" i="2"/>
  <c r="J220" i="2"/>
  <c r="I220" i="2"/>
  <c r="K208" i="2"/>
  <c r="J208" i="2"/>
  <c r="I208" i="2"/>
  <c r="K196" i="2"/>
  <c r="J196" i="2"/>
  <c r="I196" i="2"/>
  <c r="K184" i="2"/>
  <c r="J184" i="2"/>
  <c r="I184" i="2"/>
  <c r="K172" i="2"/>
  <c r="J172" i="2"/>
  <c r="I172" i="2"/>
  <c r="K160" i="2"/>
  <c r="I160" i="2"/>
  <c r="J160" i="2"/>
  <c r="K148" i="2"/>
  <c r="J148" i="2"/>
  <c r="K136" i="2"/>
  <c r="J136" i="2"/>
  <c r="I136" i="2"/>
  <c r="K124" i="2"/>
  <c r="J124" i="2"/>
  <c r="I124" i="2"/>
  <c r="K112" i="2"/>
  <c r="J112" i="2"/>
  <c r="I112" i="2"/>
  <c r="K100" i="2"/>
  <c r="I100" i="2"/>
  <c r="J100" i="2"/>
  <c r="K88" i="2"/>
  <c r="J88" i="2"/>
  <c r="I88" i="2"/>
  <c r="K76" i="2"/>
  <c r="J76" i="2"/>
  <c r="I76" i="2"/>
  <c r="K64" i="2"/>
  <c r="J64" i="2"/>
  <c r="I64" i="2"/>
  <c r="K52" i="2"/>
  <c r="J52" i="2"/>
  <c r="I52" i="2"/>
  <c r="K40" i="2"/>
  <c r="J40" i="2"/>
  <c r="I40" i="2"/>
  <c r="K28" i="2"/>
  <c r="J28" i="2"/>
  <c r="I28" i="2"/>
  <c r="K16" i="2"/>
  <c r="J16" i="2"/>
  <c r="I16" i="2"/>
  <c r="I1626" i="2"/>
  <c r="K1764" i="2"/>
  <c r="I1764" i="2"/>
  <c r="J1764" i="2"/>
  <c r="K1716" i="2"/>
  <c r="J1716" i="2"/>
  <c r="I1716" i="2"/>
  <c r="K1656" i="2"/>
  <c r="J1656" i="2"/>
  <c r="I1656" i="2"/>
  <c r="K1584" i="2"/>
  <c r="J1584" i="2"/>
  <c r="I1584" i="2"/>
  <c r="K1536" i="2"/>
  <c r="J1536" i="2"/>
  <c r="I1536" i="2"/>
  <c r="K1512" i="2"/>
  <c r="J1512" i="2"/>
  <c r="I1512" i="2"/>
  <c r="K1464" i="2"/>
  <c r="J1464" i="2"/>
  <c r="I1464" i="2"/>
  <c r="K1428" i="2"/>
  <c r="J1428" i="2"/>
  <c r="I1428" i="2"/>
  <c r="J1747" i="2"/>
  <c r="K1747" i="2"/>
  <c r="I1747" i="2"/>
  <c r="J1723" i="2"/>
  <c r="K1723" i="2"/>
  <c r="I1723" i="2"/>
  <c r="K1687" i="2"/>
  <c r="J1687" i="2"/>
  <c r="I1687" i="2"/>
  <c r="K1663" i="2"/>
  <c r="J1663" i="2"/>
  <c r="I1663" i="2"/>
  <c r="K1639" i="2"/>
  <c r="J1639" i="2"/>
  <c r="J1591" i="2"/>
  <c r="I1591" i="2"/>
  <c r="K1591" i="2"/>
  <c r="K1531" i="2"/>
  <c r="J1531" i="2"/>
  <c r="I1531" i="2"/>
  <c r="K1507" i="2"/>
  <c r="J1507" i="2"/>
  <c r="I1507" i="2"/>
  <c r="K1471" i="2"/>
  <c r="J1471" i="2"/>
  <c r="I1471" i="2"/>
  <c r="K1351" i="2"/>
  <c r="J1351" i="2"/>
  <c r="I1351" i="2"/>
  <c r="K1327" i="2"/>
  <c r="J1327" i="2"/>
  <c r="I1327" i="2"/>
  <c r="K1291" i="2"/>
  <c r="J1291" i="2"/>
  <c r="K1255" i="2"/>
  <c r="J1255" i="2"/>
  <c r="K1231" i="2"/>
  <c r="J1231" i="2"/>
  <c r="K1207" i="2"/>
  <c r="J1207" i="2"/>
  <c r="I1207" i="2"/>
  <c r="K1027" i="2"/>
  <c r="J1027" i="2"/>
  <c r="I1027" i="2"/>
  <c r="K931" i="2"/>
  <c r="J931" i="2"/>
  <c r="I931" i="2"/>
  <c r="K919" i="2"/>
  <c r="J919" i="2"/>
  <c r="I919" i="2"/>
  <c r="K883" i="2"/>
  <c r="J883" i="2"/>
  <c r="I883" i="2"/>
  <c r="K835" i="2"/>
  <c r="J835" i="2"/>
  <c r="I835" i="2"/>
  <c r="K739" i="2"/>
  <c r="J739" i="2"/>
  <c r="I739" i="2"/>
  <c r="K691" i="2"/>
  <c r="J691" i="2"/>
  <c r="K631" i="2"/>
  <c r="J631" i="2"/>
  <c r="I631" i="2"/>
  <c r="K607" i="2"/>
  <c r="J607" i="2"/>
  <c r="I607" i="2"/>
  <c r="K1505" i="2"/>
  <c r="I1505" i="2"/>
  <c r="J1505" i="2"/>
  <c r="K1481" i="2"/>
  <c r="J1481" i="2"/>
  <c r="K1397" i="2"/>
  <c r="J1397" i="2"/>
  <c r="I1397" i="2"/>
  <c r="K1373" i="2"/>
  <c r="J1373" i="2"/>
  <c r="I1373" i="2"/>
  <c r="K1349" i="2"/>
  <c r="I1349" i="2"/>
  <c r="J1349" i="2"/>
  <c r="K1325" i="2"/>
  <c r="J1325" i="2"/>
  <c r="I1325" i="2"/>
  <c r="K1277" i="2"/>
  <c r="I1277" i="2"/>
  <c r="K1169" i="2"/>
  <c r="J1169" i="2"/>
  <c r="I1169" i="2"/>
  <c r="K1157" i="2"/>
  <c r="J1157" i="2"/>
  <c r="I1157" i="2"/>
  <c r="K1121" i="2"/>
  <c r="J1121" i="2"/>
  <c r="I1121" i="2"/>
  <c r="J1097" i="2"/>
  <c r="K1097" i="2"/>
  <c r="I1097" i="2"/>
  <c r="J1061" i="2"/>
  <c r="K1061" i="2"/>
  <c r="I1061" i="2"/>
  <c r="K1025" i="2"/>
  <c r="J1025" i="2"/>
  <c r="I1025" i="2"/>
  <c r="K977" i="2"/>
  <c r="J977" i="2"/>
  <c r="I977" i="2"/>
  <c r="K929" i="2"/>
  <c r="J929" i="2"/>
  <c r="I929" i="2"/>
  <c r="K893" i="2"/>
  <c r="J893" i="2"/>
  <c r="I893" i="2"/>
  <c r="K869" i="2"/>
  <c r="J869" i="2"/>
  <c r="I869" i="2"/>
  <c r="K833" i="2"/>
  <c r="J833" i="2"/>
  <c r="I833" i="2"/>
  <c r="K797" i="2"/>
  <c r="J797" i="2"/>
  <c r="I797" i="2"/>
  <c r="J1756" i="2"/>
  <c r="K1756" i="2"/>
  <c r="J1732" i="2"/>
  <c r="K1732" i="2"/>
  <c r="J1708" i="2"/>
  <c r="K1708" i="2"/>
  <c r="I1708" i="2"/>
  <c r="K1636" i="2"/>
  <c r="J1636" i="2"/>
  <c r="J1588" i="2"/>
  <c r="K1588" i="2"/>
  <c r="I1588" i="2"/>
  <c r="J1564" i="2"/>
  <c r="K1564" i="2"/>
  <c r="J1552" i="2"/>
  <c r="K1552" i="2"/>
  <c r="I1552" i="2"/>
  <c r="K1540" i="2"/>
  <c r="J1540" i="2"/>
  <c r="K1528" i="2"/>
  <c r="J1528" i="2"/>
  <c r="I1528" i="2"/>
  <c r="J1504" i="2"/>
  <c r="I1504" i="2"/>
  <c r="K1504" i="2"/>
  <c r="K1480" i="2"/>
  <c r="J1480" i="2"/>
  <c r="I1480" i="2"/>
  <c r="J1456" i="2"/>
  <c r="K1456" i="2"/>
  <c r="I1456" i="2"/>
  <c r="K1444" i="2"/>
  <c r="J1444" i="2"/>
  <c r="I1444" i="2"/>
  <c r="K1420" i="2"/>
  <c r="J1420" i="2"/>
  <c r="K1408" i="2"/>
  <c r="J1408" i="2"/>
  <c r="I1408" i="2"/>
  <c r="K1396" i="2"/>
  <c r="J1396" i="2"/>
  <c r="K1384" i="2"/>
  <c r="J1384" i="2"/>
  <c r="I1384" i="2"/>
  <c r="K1372" i="2"/>
  <c r="J1372" i="2"/>
  <c r="I1372" i="2"/>
  <c r="K1360" i="2"/>
  <c r="J1360" i="2"/>
  <c r="I1360" i="2"/>
  <c r="K1348" i="2"/>
  <c r="J1348" i="2"/>
  <c r="K1336" i="2"/>
  <c r="J1336" i="2"/>
  <c r="I1336" i="2"/>
  <c r="K1324" i="2"/>
  <c r="J1324" i="2"/>
  <c r="K1312" i="2"/>
  <c r="J1312" i="2"/>
  <c r="I1312" i="2"/>
  <c r="K1755" i="2"/>
  <c r="J1755" i="2"/>
  <c r="I1755" i="2"/>
  <c r="K1743" i="2"/>
  <c r="J1743" i="2"/>
  <c r="K1731" i="2"/>
  <c r="J1731" i="2"/>
  <c r="K1683" i="2"/>
  <c r="J1683" i="2"/>
  <c r="I1683" i="2"/>
  <c r="K1671" i="2"/>
  <c r="J1671" i="2"/>
  <c r="I1671" i="2"/>
  <c r="K1659" i="2"/>
  <c r="J1659" i="2"/>
  <c r="I1659" i="2"/>
  <c r="K1647" i="2"/>
  <c r="J1647" i="2"/>
  <c r="I1647" i="2"/>
  <c r="K1635" i="2"/>
  <c r="J1635" i="2"/>
  <c r="I1635" i="2"/>
  <c r="K1623" i="2"/>
  <c r="I1623" i="2"/>
  <c r="J1623" i="2"/>
  <c r="K1611" i="2"/>
  <c r="J1611" i="2"/>
  <c r="I1611" i="2"/>
  <c r="J1599" i="2"/>
  <c r="I1599" i="2"/>
  <c r="K1587" i="2"/>
  <c r="J1587" i="2"/>
  <c r="I1587" i="2"/>
  <c r="J1575" i="2"/>
  <c r="K1575" i="2"/>
  <c r="I1575" i="2"/>
  <c r="K1563" i="2"/>
  <c r="J1563" i="2"/>
  <c r="I1563" i="2"/>
  <c r="K1551" i="2"/>
  <c r="I1551" i="2"/>
  <c r="J1551" i="2"/>
  <c r="K1539" i="2"/>
  <c r="J1539" i="2"/>
  <c r="I1539" i="2"/>
  <c r="K1527" i="2"/>
  <c r="J1527" i="2"/>
  <c r="I1527" i="2"/>
  <c r="K1515" i="2"/>
  <c r="J1515" i="2"/>
  <c r="I1515" i="2"/>
  <c r="K1503" i="2"/>
  <c r="J1503" i="2"/>
  <c r="I1503" i="2"/>
  <c r="K1491" i="2"/>
  <c r="J1491" i="2"/>
  <c r="I1491" i="2"/>
  <c r="K1479" i="2"/>
  <c r="J1479" i="2"/>
  <c r="I1479" i="2"/>
  <c r="K1467" i="2"/>
  <c r="J1467" i="2"/>
  <c r="I1467" i="2"/>
  <c r="K1455" i="2"/>
  <c r="J1455" i="2"/>
  <c r="I1455" i="2"/>
  <c r="K1443" i="2"/>
  <c r="J1443" i="2"/>
  <c r="I1443" i="2"/>
  <c r="K1431" i="2"/>
  <c r="J1431" i="2"/>
  <c r="I1431" i="2"/>
  <c r="K1419" i="2"/>
  <c r="J1419" i="2"/>
  <c r="I1419" i="2"/>
  <c r="K1407" i="2"/>
  <c r="J1407" i="2"/>
  <c r="I1407" i="2"/>
  <c r="K1395" i="2"/>
  <c r="J1395" i="2"/>
  <c r="I1395" i="2"/>
  <c r="K1383" i="2"/>
  <c r="J1383" i="2"/>
  <c r="I1383" i="2"/>
  <c r="K1371" i="2"/>
  <c r="J1371" i="2"/>
  <c r="I1371" i="2"/>
  <c r="J1359" i="2"/>
  <c r="I1359" i="2"/>
  <c r="K1359" i="2"/>
  <c r="K1347" i="2"/>
  <c r="J1347" i="2"/>
  <c r="I1347" i="2"/>
  <c r="K1335" i="2"/>
  <c r="J1335" i="2"/>
  <c r="I1335" i="2"/>
  <c r="K1323" i="2"/>
  <c r="J1323" i="2"/>
  <c r="I1323" i="2"/>
  <c r="K1311" i="2"/>
  <c r="J1311" i="2"/>
  <c r="I1311" i="2"/>
  <c r="K1299" i="2"/>
  <c r="J1299" i="2"/>
  <c r="I1299" i="2"/>
  <c r="K1287" i="2"/>
  <c r="J1287" i="2"/>
  <c r="I1287" i="2"/>
  <c r="K1275" i="2"/>
  <c r="J1275" i="2"/>
  <c r="I1275" i="2"/>
  <c r="K1263" i="2"/>
  <c r="J1263" i="2"/>
  <c r="I1263" i="2"/>
  <c r="K1251" i="2"/>
  <c r="J1251" i="2"/>
  <c r="I1251" i="2"/>
  <c r="K1239" i="2"/>
  <c r="J1239" i="2"/>
  <c r="I1239" i="2"/>
  <c r="K1227" i="2"/>
  <c r="J1227" i="2"/>
  <c r="I1227" i="2"/>
  <c r="K1215" i="2"/>
  <c r="J1215" i="2"/>
  <c r="I1215" i="2"/>
  <c r="K1203" i="2"/>
  <c r="J1203" i="2"/>
  <c r="I1203" i="2"/>
  <c r="K1191" i="2"/>
  <c r="J1191" i="2"/>
  <c r="I1191" i="2"/>
  <c r="K1179" i="2"/>
  <c r="J1179" i="2"/>
  <c r="I1179" i="2"/>
  <c r="K1167" i="2"/>
  <c r="J1167" i="2"/>
  <c r="I1167" i="2"/>
  <c r="K1155" i="2"/>
  <c r="J1155" i="2"/>
  <c r="I1155" i="2"/>
  <c r="K1143" i="2"/>
  <c r="J1143" i="2"/>
  <c r="I1143" i="2"/>
  <c r="K1131" i="2"/>
  <c r="J1131" i="2"/>
  <c r="I1131" i="2"/>
  <c r="K1119" i="2"/>
  <c r="J1119" i="2"/>
  <c r="I1119" i="2"/>
  <c r="K1107" i="2"/>
  <c r="J1107" i="2"/>
  <c r="I1107" i="2"/>
  <c r="K1095" i="2"/>
  <c r="J1095" i="2"/>
  <c r="I1095" i="2"/>
  <c r="K1083" i="2"/>
  <c r="I1083" i="2"/>
  <c r="J1083" i="2"/>
  <c r="K1071" i="2"/>
  <c r="J1071" i="2"/>
  <c r="I1071" i="2"/>
  <c r="K1059" i="2"/>
  <c r="J1059" i="2"/>
  <c r="I1059" i="2"/>
  <c r="J1047" i="2"/>
  <c r="I1047" i="2"/>
  <c r="K1047" i="2"/>
  <c r="K1035" i="2"/>
  <c r="J1035" i="2"/>
  <c r="I1035" i="2"/>
  <c r="J1023" i="2"/>
  <c r="K1023" i="2"/>
  <c r="I1023" i="2"/>
  <c r="K1011" i="2"/>
  <c r="I1011" i="2"/>
  <c r="J1011" i="2"/>
  <c r="K999" i="2"/>
  <c r="J999" i="2"/>
  <c r="I999" i="2"/>
  <c r="K987" i="2"/>
  <c r="J987" i="2"/>
  <c r="I987" i="2"/>
  <c r="K975" i="2"/>
  <c r="J975" i="2"/>
  <c r="I975" i="2"/>
  <c r="K963" i="2"/>
  <c r="J963" i="2"/>
  <c r="I963" i="2"/>
  <c r="K951" i="2"/>
  <c r="J951" i="2"/>
  <c r="I951" i="2"/>
  <c r="K939" i="2"/>
  <c r="J939" i="2"/>
  <c r="I939" i="2"/>
  <c r="K927" i="2"/>
  <c r="J927" i="2"/>
  <c r="I927" i="2"/>
  <c r="K915" i="2"/>
  <c r="J915" i="2"/>
  <c r="I915" i="2"/>
  <c r="K903" i="2"/>
  <c r="I903" i="2"/>
  <c r="J903" i="2"/>
  <c r="K891" i="2"/>
  <c r="J891" i="2"/>
  <c r="I891" i="2"/>
  <c r="K879" i="2"/>
  <c r="J879" i="2"/>
  <c r="I879" i="2"/>
  <c r="K867" i="2"/>
  <c r="J867" i="2"/>
  <c r="I867" i="2"/>
  <c r="K855" i="2"/>
  <c r="J855" i="2"/>
  <c r="I855" i="2"/>
  <c r="K843" i="2"/>
  <c r="J843" i="2"/>
  <c r="I843" i="2"/>
  <c r="K831" i="2"/>
  <c r="I831" i="2"/>
  <c r="J831" i="2"/>
  <c r="K819" i="2"/>
  <c r="J819" i="2"/>
  <c r="I819" i="2"/>
  <c r="K807" i="2"/>
  <c r="J807" i="2"/>
  <c r="I807" i="2"/>
  <c r="K795" i="2"/>
  <c r="J795" i="2"/>
  <c r="I795" i="2"/>
  <c r="K783" i="2"/>
  <c r="J783" i="2"/>
  <c r="I783" i="2"/>
  <c r="K771" i="2"/>
  <c r="J771" i="2"/>
  <c r="I771" i="2"/>
  <c r="K759" i="2"/>
  <c r="J759" i="2"/>
  <c r="I759" i="2"/>
  <c r="K747" i="2"/>
  <c r="J747" i="2"/>
  <c r="I747" i="2"/>
  <c r="K735" i="2"/>
  <c r="J735" i="2"/>
  <c r="I735" i="2"/>
  <c r="K723" i="2"/>
  <c r="J723" i="2"/>
  <c r="I723" i="2"/>
  <c r="K711" i="2"/>
  <c r="J711" i="2"/>
  <c r="I711" i="2"/>
  <c r="J699" i="2"/>
  <c r="K699" i="2"/>
  <c r="I699" i="2"/>
  <c r="K687" i="2"/>
  <c r="I687" i="2"/>
  <c r="J687" i="2"/>
  <c r="K675" i="2"/>
  <c r="J675" i="2"/>
  <c r="I675" i="2"/>
  <c r="K663" i="2"/>
  <c r="J663" i="2"/>
  <c r="I663" i="2"/>
  <c r="K651" i="2"/>
  <c r="J651" i="2"/>
  <c r="I651" i="2"/>
  <c r="K639" i="2"/>
  <c r="J639" i="2"/>
  <c r="I639" i="2"/>
  <c r="K627" i="2"/>
  <c r="J627" i="2"/>
  <c r="I627" i="2"/>
  <c r="K615" i="2"/>
  <c r="J615" i="2"/>
  <c r="I615" i="2"/>
  <c r="K603" i="2"/>
  <c r="J603" i="2"/>
  <c r="I603" i="2"/>
  <c r="K591" i="2"/>
  <c r="J591" i="2"/>
  <c r="I591" i="2"/>
  <c r="K579" i="2"/>
  <c r="J579" i="2"/>
  <c r="I579" i="2"/>
  <c r="K567" i="2"/>
  <c r="J567" i="2"/>
  <c r="I567" i="2"/>
  <c r="K555" i="2"/>
  <c r="J555" i="2"/>
  <c r="I555" i="2"/>
  <c r="K543" i="2"/>
  <c r="J543" i="2"/>
  <c r="I543" i="2"/>
  <c r="K531" i="2"/>
  <c r="J531" i="2"/>
  <c r="I531" i="2"/>
  <c r="K519" i="2"/>
  <c r="J519" i="2"/>
  <c r="I519" i="2"/>
  <c r="K507" i="2"/>
  <c r="J507" i="2"/>
  <c r="I507" i="2"/>
  <c r="K495" i="2"/>
  <c r="J495" i="2"/>
  <c r="I495" i="2"/>
  <c r="K483" i="2"/>
  <c r="J483" i="2"/>
  <c r="I483" i="2"/>
  <c r="K471" i="2"/>
  <c r="I471" i="2"/>
  <c r="K459" i="2"/>
  <c r="J459" i="2"/>
  <c r="I459" i="2"/>
  <c r="K447" i="2"/>
  <c r="J447" i="2"/>
  <c r="I447" i="2"/>
  <c r="K435" i="2"/>
  <c r="I435" i="2"/>
  <c r="J435" i="2"/>
  <c r="K423" i="2"/>
  <c r="J423" i="2"/>
  <c r="I423" i="2"/>
  <c r="K411" i="2"/>
  <c r="J411" i="2"/>
  <c r="I411" i="2"/>
  <c r="K399" i="2"/>
  <c r="J399" i="2"/>
  <c r="I399" i="2"/>
  <c r="K387" i="2"/>
  <c r="J387" i="2"/>
  <c r="I387" i="2"/>
  <c r="K375" i="2"/>
  <c r="J375" i="2"/>
  <c r="I375" i="2"/>
  <c r="J363" i="2"/>
  <c r="K363" i="2"/>
  <c r="I363" i="2"/>
  <c r="K351" i="2"/>
  <c r="J351" i="2"/>
  <c r="I351" i="2"/>
  <c r="K339" i="2"/>
  <c r="I339" i="2"/>
  <c r="J339" i="2"/>
  <c r="K327" i="2"/>
  <c r="J327" i="2"/>
  <c r="I327" i="2"/>
  <c r="K315" i="2"/>
  <c r="J315" i="2"/>
  <c r="I315" i="2"/>
  <c r="K303" i="2"/>
  <c r="J303" i="2"/>
  <c r="I303" i="2"/>
  <c r="K291" i="2"/>
  <c r="J291" i="2"/>
  <c r="I291" i="2"/>
  <c r="K279" i="2"/>
  <c r="J279" i="2"/>
  <c r="I279" i="2"/>
  <c r="K267" i="2"/>
  <c r="I267" i="2"/>
  <c r="J267" i="2"/>
  <c r="K255" i="2"/>
  <c r="J255" i="2"/>
  <c r="I255" i="2"/>
  <c r="K243" i="2"/>
  <c r="J243" i="2"/>
  <c r="I243" i="2"/>
  <c r="K231" i="2"/>
  <c r="J231" i="2"/>
  <c r="I231" i="2"/>
  <c r="K219" i="2"/>
  <c r="I219" i="2"/>
  <c r="K207" i="2"/>
  <c r="J207" i="2"/>
  <c r="I207" i="2"/>
  <c r="K195" i="2"/>
  <c r="J195" i="2"/>
  <c r="I195" i="2"/>
  <c r="K183" i="2"/>
  <c r="J183" i="2"/>
  <c r="I183" i="2"/>
  <c r="K171" i="2"/>
  <c r="I171" i="2"/>
  <c r="J171" i="2"/>
  <c r="K159" i="2"/>
  <c r="J159" i="2"/>
  <c r="I159" i="2"/>
  <c r="K147" i="2"/>
  <c r="J147" i="2"/>
  <c r="I147" i="2"/>
  <c r="K135" i="2"/>
  <c r="J135" i="2"/>
  <c r="I135" i="2"/>
  <c r="K123" i="2"/>
  <c r="J123" i="2"/>
  <c r="I123" i="2"/>
  <c r="K111" i="2"/>
  <c r="J111" i="2"/>
  <c r="I111" i="2"/>
  <c r="K99" i="2"/>
  <c r="J99" i="2"/>
  <c r="I99" i="2"/>
  <c r="K87" i="2"/>
  <c r="J87" i="2"/>
  <c r="I87" i="2"/>
  <c r="K75" i="2"/>
  <c r="J75" i="2"/>
  <c r="I75" i="2"/>
  <c r="K63" i="2"/>
  <c r="J63" i="2"/>
  <c r="I63" i="2"/>
  <c r="K51" i="2"/>
  <c r="I51" i="2"/>
  <c r="J51" i="2"/>
  <c r="K39" i="2"/>
  <c r="J39" i="2"/>
  <c r="I39" i="2"/>
  <c r="K27" i="2"/>
  <c r="J27" i="2"/>
  <c r="I27" i="2"/>
  <c r="K15" i="2"/>
  <c r="J15" i="2"/>
  <c r="I15" i="2"/>
  <c r="K3" i="2"/>
  <c r="J3" i="2"/>
  <c r="I3" i="2"/>
  <c r="I1324" i="2"/>
  <c r="I1219" i="2"/>
  <c r="I691" i="2"/>
  <c r="J1277" i="2"/>
  <c r="K1752" i="2"/>
  <c r="J1752" i="2"/>
  <c r="K1632" i="2"/>
  <c r="J1632" i="2"/>
  <c r="I1632" i="2"/>
  <c r="K1560" i="2"/>
  <c r="J1560" i="2"/>
  <c r="I1560" i="2"/>
  <c r="K1488" i="2"/>
  <c r="I1488" i="2"/>
  <c r="J1488" i="2"/>
  <c r="K1711" i="2"/>
  <c r="J1711" i="2"/>
  <c r="I1711" i="2"/>
  <c r="K1675" i="2"/>
  <c r="J1675" i="2"/>
  <c r="K1615" i="2"/>
  <c r="J1615" i="2"/>
  <c r="I1615" i="2"/>
  <c r="K1579" i="2"/>
  <c r="J1579" i="2"/>
  <c r="I1579" i="2"/>
  <c r="K1555" i="2"/>
  <c r="J1555" i="2"/>
  <c r="I1555" i="2"/>
  <c r="K1303" i="2"/>
  <c r="J1303" i="2"/>
  <c r="K1267" i="2"/>
  <c r="J1267" i="2"/>
  <c r="J1183" i="2"/>
  <c r="K1183" i="2"/>
  <c r="K1159" i="2"/>
  <c r="J1159" i="2"/>
  <c r="I1159" i="2"/>
  <c r="K1135" i="2"/>
  <c r="J1135" i="2"/>
  <c r="I1135" i="2"/>
  <c r="J1099" i="2"/>
  <c r="K1099" i="2"/>
  <c r="I1099" i="2"/>
  <c r="K1015" i="2"/>
  <c r="J1015" i="2"/>
  <c r="I1015" i="2"/>
  <c r="K979" i="2"/>
  <c r="J979" i="2"/>
  <c r="I979" i="2"/>
  <c r="K955" i="2"/>
  <c r="J955" i="2"/>
  <c r="I955" i="2"/>
  <c r="K895" i="2"/>
  <c r="J895" i="2"/>
  <c r="I895" i="2"/>
  <c r="K859" i="2"/>
  <c r="J859" i="2"/>
  <c r="I859" i="2"/>
  <c r="K811" i="2"/>
  <c r="J811" i="2"/>
  <c r="I811" i="2"/>
  <c r="K775" i="2"/>
  <c r="J775" i="2"/>
  <c r="I775" i="2"/>
  <c r="K751" i="2"/>
  <c r="J751" i="2"/>
  <c r="I751" i="2"/>
  <c r="K715" i="2"/>
  <c r="J715" i="2"/>
  <c r="I715" i="2"/>
  <c r="K667" i="2"/>
  <c r="I667" i="2"/>
  <c r="J667" i="2"/>
  <c r="K619" i="2"/>
  <c r="J619" i="2"/>
  <c r="I619" i="2"/>
  <c r="K595" i="2"/>
  <c r="J595" i="2"/>
  <c r="I595" i="2"/>
  <c r="K583" i="2"/>
  <c r="J583" i="2"/>
  <c r="I583" i="2"/>
  <c r="K547" i="2"/>
  <c r="J547" i="2"/>
  <c r="I547" i="2"/>
  <c r="K535" i="2"/>
  <c r="J535" i="2"/>
  <c r="I535" i="2"/>
  <c r="K511" i="2"/>
  <c r="J511" i="2"/>
  <c r="I511" i="2"/>
  <c r="K499" i="2"/>
  <c r="J499" i="2"/>
  <c r="I499" i="2"/>
  <c r="K487" i="2"/>
  <c r="J487" i="2"/>
  <c r="I487" i="2"/>
  <c r="K475" i="2"/>
  <c r="J475" i="2"/>
  <c r="I475" i="2"/>
  <c r="K463" i="2"/>
  <c r="J463" i="2"/>
  <c r="I463" i="2"/>
  <c r="K1758" i="2"/>
  <c r="J1758" i="2"/>
  <c r="K1746" i="2"/>
  <c r="J1746" i="2"/>
  <c r="I1746" i="2"/>
  <c r="J1734" i="2"/>
  <c r="K1734" i="2"/>
  <c r="I1734" i="2"/>
  <c r="J1722" i="2"/>
  <c r="K1722" i="2"/>
  <c r="I1722" i="2"/>
  <c r="K1686" i="2"/>
  <c r="J1686" i="2"/>
  <c r="K1662" i="2"/>
  <c r="J1662" i="2"/>
  <c r="K1757" i="2"/>
  <c r="J1757" i="2"/>
  <c r="K1733" i="2"/>
  <c r="J1733" i="2"/>
  <c r="I1733" i="2"/>
  <c r="K1709" i="2"/>
  <c r="J1709" i="2"/>
  <c r="I1709" i="2"/>
  <c r="K1685" i="2"/>
  <c r="J1685" i="2"/>
  <c r="I1685" i="2"/>
  <c r="K1661" i="2"/>
  <c r="I1661" i="2"/>
  <c r="J1661" i="2"/>
  <c r="K1625" i="2"/>
  <c r="J1625" i="2"/>
  <c r="K1613" i="2"/>
  <c r="J1613" i="2"/>
  <c r="I1613" i="2"/>
  <c r="K1589" i="2"/>
  <c r="I1589" i="2"/>
  <c r="J1589" i="2"/>
  <c r="K1565" i="2"/>
  <c r="J1565" i="2"/>
  <c r="I1565" i="2"/>
  <c r="K1541" i="2"/>
  <c r="J1541" i="2"/>
  <c r="I1541" i="2"/>
  <c r="K1517" i="2"/>
  <c r="J1517" i="2"/>
  <c r="I1517" i="2"/>
  <c r="K1493" i="2"/>
  <c r="J1493" i="2"/>
  <c r="I1493" i="2"/>
  <c r="K1457" i="2"/>
  <c r="J1457" i="2"/>
  <c r="I1457" i="2"/>
  <c r="K1433" i="2"/>
  <c r="I1433" i="2"/>
  <c r="J1433" i="2"/>
  <c r="J1409" i="2"/>
  <c r="K1409" i="2"/>
  <c r="K1361" i="2"/>
  <c r="I1361" i="2"/>
  <c r="K1301" i="2"/>
  <c r="J1301" i="2"/>
  <c r="I1301" i="2"/>
  <c r="K1265" i="2"/>
  <c r="J1265" i="2"/>
  <c r="I1265" i="2"/>
  <c r="K1241" i="2"/>
  <c r="J1241" i="2"/>
  <c r="I1241" i="2"/>
  <c r="K1217" i="2"/>
  <c r="J1217" i="2"/>
  <c r="I1217" i="2"/>
  <c r="K1193" i="2"/>
  <c r="J1193" i="2"/>
  <c r="I1193" i="2"/>
  <c r="K1181" i="2"/>
  <c r="J1181" i="2"/>
  <c r="I1181" i="2"/>
  <c r="K1145" i="2"/>
  <c r="J1145" i="2"/>
  <c r="I1145" i="2"/>
  <c r="K1085" i="2"/>
  <c r="J1085" i="2"/>
  <c r="I1085" i="2"/>
  <c r="K1049" i="2"/>
  <c r="J1049" i="2"/>
  <c r="I1049" i="2"/>
  <c r="K1013" i="2"/>
  <c r="J1013" i="2"/>
  <c r="I1013" i="2"/>
  <c r="K989" i="2"/>
  <c r="J989" i="2"/>
  <c r="I989" i="2"/>
  <c r="K953" i="2"/>
  <c r="J953" i="2"/>
  <c r="I953" i="2"/>
  <c r="K917" i="2"/>
  <c r="J917" i="2"/>
  <c r="I917" i="2"/>
  <c r="K845" i="2"/>
  <c r="J845" i="2"/>
  <c r="I845" i="2"/>
  <c r="K1719" i="2"/>
  <c r="J1719" i="2"/>
  <c r="K1707" i="2"/>
  <c r="J1707" i="2"/>
  <c r="I1707" i="2"/>
  <c r="K1695" i="2"/>
  <c r="J1695" i="2"/>
  <c r="I1695" i="2"/>
  <c r="K1754" i="2"/>
  <c r="J1754" i="2"/>
  <c r="K1742" i="2"/>
  <c r="J1742" i="2"/>
  <c r="I1742" i="2"/>
  <c r="J1730" i="2"/>
  <c r="K1730" i="2"/>
  <c r="K1718" i="2"/>
  <c r="J1718" i="2"/>
  <c r="K1706" i="2"/>
  <c r="J1706" i="2"/>
  <c r="K1694" i="2"/>
  <c r="J1694" i="2"/>
  <c r="I1694" i="2"/>
  <c r="K1682" i="2"/>
  <c r="J1682" i="2"/>
  <c r="I1682" i="2"/>
  <c r="K1670" i="2"/>
  <c r="J1670" i="2"/>
  <c r="I1670" i="2"/>
  <c r="J1658" i="2"/>
  <c r="K1658" i="2"/>
  <c r="I1658" i="2"/>
  <c r="K1646" i="2"/>
  <c r="J1646" i="2"/>
  <c r="I1646" i="2"/>
  <c r="K1634" i="2"/>
  <c r="J1634" i="2"/>
  <c r="I1634" i="2"/>
  <c r="K1622" i="2"/>
  <c r="J1622" i="2"/>
  <c r="I1622" i="2"/>
  <c r="K1610" i="2"/>
  <c r="J1610" i="2"/>
  <c r="K1598" i="2"/>
  <c r="J1598" i="2"/>
  <c r="I1598" i="2"/>
  <c r="K1586" i="2"/>
  <c r="J1586" i="2"/>
  <c r="I1586" i="2"/>
  <c r="K1574" i="2"/>
  <c r="I1574" i="2"/>
  <c r="J1574" i="2"/>
  <c r="K1562" i="2"/>
  <c r="J1562" i="2"/>
  <c r="I1562" i="2"/>
  <c r="K1550" i="2"/>
  <c r="J1550" i="2"/>
  <c r="I1550" i="2"/>
  <c r="K1538" i="2"/>
  <c r="J1538" i="2"/>
  <c r="K1526" i="2"/>
  <c r="J1526" i="2"/>
  <c r="I1526" i="2"/>
  <c r="K1514" i="2"/>
  <c r="J1514" i="2"/>
  <c r="I1514" i="2"/>
  <c r="K1502" i="2"/>
  <c r="I1502" i="2"/>
  <c r="J1502" i="2"/>
  <c r="K1490" i="2"/>
  <c r="J1490" i="2"/>
  <c r="I1490" i="2"/>
  <c r="K1478" i="2"/>
  <c r="J1478" i="2"/>
  <c r="I1478" i="2"/>
  <c r="K1466" i="2"/>
  <c r="J1466" i="2"/>
  <c r="K1454" i="2"/>
  <c r="J1454" i="2"/>
  <c r="I1454" i="2"/>
  <c r="K1442" i="2"/>
  <c r="J1442" i="2"/>
  <c r="I1442" i="2"/>
  <c r="K1430" i="2"/>
  <c r="I1430" i="2"/>
  <c r="J1430" i="2"/>
  <c r="K1418" i="2"/>
  <c r="I1418" i="2"/>
  <c r="J1418" i="2"/>
  <c r="K1406" i="2"/>
  <c r="J1406" i="2"/>
  <c r="I1406" i="2"/>
  <c r="K1394" i="2"/>
  <c r="J1394" i="2"/>
  <c r="K1382" i="2"/>
  <c r="J1382" i="2"/>
  <c r="I1382" i="2"/>
  <c r="K1370" i="2"/>
  <c r="J1370" i="2"/>
  <c r="I1370" i="2"/>
  <c r="K1358" i="2"/>
  <c r="J1358" i="2"/>
  <c r="I1358" i="2"/>
  <c r="K1346" i="2"/>
  <c r="I1346" i="2"/>
  <c r="J1346" i="2"/>
  <c r="K1334" i="2"/>
  <c r="J1334" i="2"/>
  <c r="I1334" i="2"/>
  <c r="K1322" i="2"/>
  <c r="J1322" i="2"/>
  <c r="I1322" i="2"/>
  <c r="K1310" i="2"/>
  <c r="J1310" i="2"/>
  <c r="I1310" i="2"/>
  <c r="K1298" i="2"/>
  <c r="J1298" i="2"/>
  <c r="I1298" i="2"/>
  <c r="K1286" i="2"/>
  <c r="J1286" i="2"/>
  <c r="I1286" i="2"/>
  <c r="K1274" i="2"/>
  <c r="J1274" i="2"/>
  <c r="I1274" i="2"/>
  <c r="K1262" i="2"/>
  <c r="I1262" i="2"/>
  <c r="J1262" i="2"/>
  <c r="K1250" i="2"/>
  <c r="J1250" i="2"/>
  <c r="I1250" i="2"/>
  <c r="K1238" i="2"/>
  <c r="J1238" i="2"/>
  <c r="I1238" i="2"/>
  <c r="K1226" i="2"/>
  <c r="J1226" i="2"/>
  <c r="I1226" i="2"/>
  <c r="K1214" i="2"/>
  <c r="J1214" i="2"/>
  <c r="I1214" i="2"/>
  <c r="J1202" i="2"/>
  <c r="I1202" i="2"/>
  <c r="K1202" i="2"/>
  <c r="K1190" i="2"/>
  <c r="J1190" i="2"/>
  <c r="I1190" i="2"/>
  <c r="K1178" i="2"/>
  <c r="J1178" i="2"/>
  <c r="I1178" i="2"/>
  <c r="K1166" i="2"/>
  <c r="J1166" i="2"/>
  <c r="I1166" i="2"/>
  <c r="K1154" i="2"/>
  <c r="I1154" i="2"/>
  <c r="J1154" i="2"/>
  <c r="K1142" i="2"/>
  <c r="J1142" i="2"/>
  <c r="I1142" i="2"/>
  <c r="K1130" i="2"/>
  <c r="J1130" i="2"/>
  <c r="I1130" i="2"/>
  <c r="K1118" i="2"/>
  <c r="J1118" i="2"/>
  <c r="I1118" i="2"/>
  <c r="K1106" i="2"/>
  <c r="J1106" i="2"/>
  <c r="I1106" i="2"/>
  <c r="K1094" i="2"/>
  <c r="J1094" i="2"/>
  <c r="I1094" i="2"/>
  <c r="K1082" i="2"/>
  <c r="J1082" i="2"/>
  <c r="I1082" i="2"/>
  <c r="K1070" i="2"/>
  <c r="J1070" i="2"/>
  <c r="I1070" i="2"/>
  <c r="K1058" i="2"/>
  <c r="J1058" i="2"/>
  <c r="I1058" i="2"/>
  <c r="K1046" i="2"/>
  <c r="J1046" i="2"/>
  <c r="I1046" i="2"/>
  <c r="K1034" i="2"/>
  <c r="J1034" i="2"/>
  <c r="I1034" i="2"/>
  <c r="K1022" i="2"/>
  <c r="J1022" i="2"/>
  <c r="I1022" i="2"/>
  <c r="K1010" i="2"/>
  <c r="J1010" i="2"/>
  <c r="I1010" i="2"/>
  <c r="K998" i="2"/>
  <c r="J998" i="2"/>
  <c r="I998" i="2"/>
  <c r="K986" i="2"/>
  <c r="J986" i="2"/>
  <c r="I986" i="2"/>
  <c r="K974" i="2"/>
  <c r="J974" i="2"/>
  <c r="I974" i="2"/>
  <c r="K962" i="2"/>
  <c r="J962" i="2"/>
  <c r="I962" i="2"/>
  <c r="K950" i="2"/>
  <c r="J950" i="2"/>
  <c r="I950" i="2"/>
  <c r="K938" i="2"/>
  <c r="J938" i="2"/>
  <c r="I938" i="2"/>
  <c r="K926" i="2"/>
  <c r="J926" i="2"/>
  <c r="I926" i="2"/>
  <c r="K914" i="2"/>
  <c r="J914" i="2"/>
  <c r="I914" i="2"/>
  <c r="K902" i="2"/>
  <c r="J902" i="2"/>
  <c r="I902" i="2"/>
  <c r="K890" i="2"/>
  <c r="J890" i="2"/>
  <c r="I890" i="2"/>
  <c r="K878" i="2"/>
  <c r="J878" i="2"/>
  <c r="I878" i="2"/>
  <c r="K866" i="2"/>
  <c r="J866" i="2"/>
  <c r="I866" i="2"/>
  <c r="K854" i="2"/>
  <c r="J854" i="2"/>
  <c r="I854" i="2"/>
  <c r="K842" i="2"/>
  <c r="J842" i="2"/>
  <c r="I842" i="2"/>
  <c r="K830" i="2"/>
  <c r="J830" i="2"/>
  <c r="I830" i="2"/>
  <c r="K818" i="2"/>
  <c r="J818" i="2"/>
  <c r="I818" i="2"/>
  <c r="K806" i="2"/>
  <c r="J806" i="2"/>
  <c r="I806" i="2"/>
  <c r="K794" i="2"/>
  <c r="J794" i="2"/>
  <c r="I794" i="2"/>
  <c r="K782" i="2"/>
  <c r="J782" i="2"/>
  <c r="I782" i="2"/>
  <c r="K770" i="2"/>
  <c r="J770" i="2"/>
  <c r="I770" i="2"/>
  <c r="K758" i="2"/>
  <c r="J758" i="2"/>
  <c r="I758" i="2"/>
  <c r="K746" i="2"/>
  <c r="J746" i="2"/>
  <c r="I746" i="2"/>
  <c r="K734" i="2"/>
  <c r="J734" i="2"/>
  <c r="I734" i="2"/>
  <c r="K722" i="2"/>
  <c r="J722" i="2"/>
  <c r="I722" i="2"/>
  <c r="K710" i="2"/>
  <c r="J710" i="2"/>
  <c r="I710" i="2"/>
  <c r="K698" i="2"/>
  <c r="J698" i="2"/>
  <c r="I698" i="2"/>
  <c r="K686" i="2"/>
  <c r="J686" i="2"/>
  <c r="I686" i="2"/>
  <c r="K674" i="2"/>
  <c r="J674" i="2"/>
  <c r="I674" i="2"/>
  <c r="K662" i="2"/>
  <c r="J662" i="2"/>
  <c r="I662" i="2"/>
  <c r="J650" i="2"/>
  <c r="K650" i="2"/>
  <c r="I650" i="2"/>
  <c r="K638" i="2"/>
  <c r="J638" i="2"/>
  <c r="I638" i="2"/>
  <c r="K626" i="2"/>
  <c r="I626" i="2"/>
  <c r="J626" i="2"/>
  <c r="K614" i="2"/>
  <c r="J614" i="2"/>
  <c r="I614" i="2"/>
  <c r="K602" i="2"/>
  <c r="J602" i="2"/>
  <c r="I602" i="2"/>
  <c r="K590" i="2"/>
  <c r="J590" i="2"/>
  <c r="I590" i="2"/>
  <c r="K578" i="2"/>
  <c r="J578" i="2"/>
  <c r="I578" i="2"/>
  <c r="K566" i="2"/>
  <c r="J566" i="2"/>
  <c r="I566" i="2"/>
  <c r="K554" i="2"/>
  <c r="J554" i="2"/>
  <c r="I554" i="2"/>
  <c r="K542" i="2"/>
  <c r="J542" i="2"/>
  <c r="I542" i="2"/>
  <c r="K530" i="2"/>
  <c r="J530" i="2"/>
  <c r="I530" i="2"/>
  <c r="K518" i="2"/>
  <c r="J518" i="2"/>
  <c r="I518" i="2"/>
  <c r="K506" i="2"/>
  <c r="J506" i="2"/>
  <c r="I506" i="2"/>
  <c r="K494" i="2"/>
  <c r="J494" i="2"/>
  <c r="I494" i="2"/>
  <c r="K482" i="2"/>
  <c r="J482" i="2"/>
  <c r="I482" i="2"/>
  <c r="K470" i="2"/>
  <c r="J470" i="2"/>
  <c r="I470" i="2"/>
  <c r="K458" i="2"/>
  <c r="J458" i="2"/>
  <c r="I458" i="2"/>
  <c r="K446" i="2"/>
  <c r="J446" i="2"/>
  <c r="I446" i="2"/>
  <c r="K434" i="2"/>
  <c r="J434" i="2"/>
  <c r="I434" i="2"/>
  <c r="K422" i="2"/>
  <c r="J422" i="2"/>
  <c r="I422" i="2"/>
  <c r="K410" i="2"/>
  <c r="J410" i="2"/>
  <c r="I410" i="2"/>
  <c r="K398" i="2"/>
  <c r="J398" i="2"/>
  <c r="I398" i="2"/>
  <c r="K386" i="2"/>
  <c r="J386" i="2"/>
  <c r="I386" i="2"/>
  <c r="K374" i="2"/>
  <c r="J374" i="2"/>
  <c r="I374" i="2"/>
  <c r="K362" i="2"/>
  <c r="J362" i="2"/>
  <c r="I362" i="2"/>
  <c r="K350" i="2"/>
  <c r="J350" i="2"/>
  <c r="I350" i="2"/>
  <c r="K338" i="2"/>
  <c r="J338" i="2"/>
  <c r="I338" i="2"/>
  <c r="K326" i="2"/>
  <c r="J326" i="2"/>
  <c r="I326" i="2"/>
  <c r="K314" i="2"/>
  <c r="J314" i="2"/>
  <c r="K302" i="2"/>
  <c r="J302" i="2"/>
  <c r="I302" i="2"/>
  <c r="J290" i="2"/>
  <c r="K290" i="2"/>
  <c r="I290" i="2"/>
  <c r="K278" i="2"/>
  <c r="J278" i="2"/>
  <c r="I278" i="2"/>
  <c r="K266" i="2"/>
  <c r="J266" i="2"/>
  <c r="I266" i="2"/>
  <c r="K254" i="2"/>
  <c r="J254" i="2"/>
  <c r="I254" i="2"/>
  <c r="J242" i="2"/>
  <c r="K242" i="2"/>
  <c r="I242" i="2"/>
  <c r="K230" i="2"/>
  <c r="J230" i="2"/>
  <c r="I230" i="2"/>
  <c r="K218" i="2"/>
  <c r="J218" i="2"/>
  <c r="I218" i="2"/>
  <c r="K206" i="2"/>
  <c r="J206" i="2"/>
  <c r="I206" i="2"/>
  <c r="K194" i="2"/>
  <c r="J194" i="2"/>
  <c r="K182" i="2"/>
  <c r="J182" i="2"/>
  <c r="I182" i="2"/>
  <c r="K170" i="2"/>
  <c r="J170" i="2"/>
  <c r="I170" i="2"/>
  <c r="K158" i="2"/>
  <c r="J158" i="2"/>
  <c r="I158" i="2"/>
  <c r="K146" i="2"/>
  <c r="J146" i="2"/>
  <c r="I146" i="2"/>
  <c r="K134" i="2"/>
  <c r="J134" i="2"/>
  <c r="I134" i="2"/>
  <c r="K122" i="2"/>
  <c r="J122" i="2"/>
  <c r="I122" i="2"/>
  <c r="K110" i="2"/>
  <c r="J110" i="2"/>
  <c r="I110" i="2"/>
  <c r="K98" i="2"/>
  <c r="J98" i="2"/>
  <c r="I98" i="2"/>
  <c r="K86" i="2"/>
  <c r="J86" i="2"/>
  <c r="I86" i="2"/>
  <c r="K74" i="2"/>
  <c r="J74" i="2"/>
  <c r="I74" i="2"/>
  <c r="K62" i="2"/>
  <c r="J62" i="2"/>
  <c r="I62" i="2"/>
  <c r="I1732" i="2"/>
  <c r="I1704" i="2"/>
  <c r="I1673" i="2"/>
  <c r="I1564" i="2"/>
  <c r="I1506" i="2"/>
  <c r="K1596" i="2"/>
  <c r="J1596" i="2"/>
  <c r="K1759" i="2"/>
  <c r="J1759" i="2"/>
  <c r="I1759" i="2"/>
  <c r="K1735" i="2"/>
  <c r="J1735" i="2"/>
  <c r="I1735" i="2"/>
  <c r="K1699" i="2"/>
  <c r="J1699" i="2"/>
  <c r="K1651" i="2"/>
  <c r="J1651" i="2"/>
  <c r="I1651" i="2"/>
  <c r="J1603" i="2"/>
  <c r="K1603" i="2"/>
  <c r="I1603" i="2"/>
  <c r="K1567" i="2"/>
  <c r="J1567" i="2"/>
  <c r="K1519" i="2"/>
  <c r="J1519" i="2"/>
  <c r="I1519" i="2"/>
  <c r="K1495" i="2"/>
  <c r="J1495" i="2"/>
  <c r="J1447" i="2"/>
  <c r="K1447" i="2"/>
  <c r="I1447" i="2"/>
  <c r="K1423" i="2"/>
  <c r="J1423" i="2"/>
  <c r="J1399" i="2"/>
  <c r="K1399" i="2"/>
  <c r="I1399" i="2"/>
  <c r="K1375" i="2"/>
  <c r="J1375" i="2"/>
  <c r="I1375" i="2"/>
  <c r="K1279" i="2"/>
  <c r="J1279" i="2"/>
  <c r="I1279" i="2"/>
  <c r="K1111" i="2"/>
  <c r="J1111" i="2"/>
  <c r="K1075" i="2"/>
  <c r="J1075" i="2"/>
  <c r="I1075" i="2"/>
  <c r="K1051" i="2"/>
  <c r="J1051" i="2"/>
  <c r="I1051" i="2"/>
  <c r="K991" i="2"/>
  <c r="J991" i="2"/>
  <c r="I991" i="2"/>
  <c r="K847" i="2"/>
  <c r="J847" i="2"/>
  <c r="I847" i="2"/>
  <c r="K799" i="2"/>
  <c r="J799" i="2"/>
  <c r="I799" i="2"/>
  <c r="K679" i="2"/>
  <c r="J679" i="2"/>
  <c r="I679" i="2"/>
  <c r="K643" i="2"/>
  <c r="I643" i="2"/>
  <c r="J643" i="2"/>
  <c r="K1765" i="2"/>
  <c r="J1765" i="2"/>
  <c r="K1753" i="2"/>
  <c r="J1753" i="2"/>
  <c r="I1753" i="2"/>
  <c r="K1741" i="2"/>
  <c r="J1741" i="2"/>
  <c r="K1729" i="2"/>
  <c r="J1729" i="2"/>
  <c r="I1729" i="2"/>
  <c r="K1717" i="2"/>
  <c r="J1717" i="2"/>
  <c r="K1705" i="2"/>
  <c r="J1705" i="2"/>
  <c r="K1693" i="2"/>
  <c r="J1693" i="2"/>
  <c r="K1681" i="2"/>
  <c r="J1681" i="2"/>
  <c r="I1681" i="2"/>
  <c r="K1669" i="2"/>
  <c r="J1669" i="2"/>
  <c r="I1669" i="2"/>
  <c r="K1657" i="2"/>
  <c r="J1657" i="2"/>
  <c r="I1657" i="2"/>
  <c r="K1645" i="2"/>
  <c r="J1645" i="2"/>
  <c r="I1645" i="2"/>
  <c r="K1633" i="2"/>
  <c r="J1633" i="2"/>
  <c r="I1633" i="2"/>
  <c r="K1621" i="2"/>
  <c r="J1621" i="2"/>
  <c r="K1609" i="2"/>
  <c r="J1609" i="2"/>
  <c r="I1609" i="2"/>
  <c r="K1597" i="2"/>
  <c r="J1597" i="2"/>
  <c r="K1585" i="2"/>
  <c r="J1585" i="2"/>
  <c r="I1585" i="2"/>
  <c r="K1573" i="2"/>
  <c r="J1573" i="2"/>
  <c r="I1573" i="2"/>
  <c r="K1561" i="2"/>
  <c r="J1561" i="2"/>
  <c r="I1561" i="2"/>
  <c r="K1549" i="2"/>
  <c r="J1549" i="2"/>
  <c r="K1537" i="2"/>
  <c r="J1537" i="2"/>
  <c r="I1537" i="2"/>
  <c r="K1525" i="2"/>
  <c r="J1525" i="2"/>
  <c r="K1513" i="2"/>
  <c r="J1513" i="2"/>
  <c r="I1513" i="2"/>
  <c r="K1501" i="2"/>
  <c r="J1501" i="2"/>
  <c r="I1501" i="2"/>
  <c r="K1489" i="2"/>
  <c r="J1489" i="2"/>
  <c r="I1489" i="2"/>
  <c r="K1477" i="2"/>
  <c r="J1477" i="2"/>
  <c r="K1465" i="2"/>
  <c r="J1465" i="2"/>
  <c r="I1465" i="2"/>
  <c r="K1453" i="2"/>
  <c r="J1453" i="2"/>
  <c r="K1441" i="2"/>
  <c r="J1441" i="2"/>
  <c r="I1441" i="2"/>
  <c r="K1429" i="2"/>
  <c r="J1429" i="2"/>
  <c r="I1429" i="2"/>
  <c r="K1417" i="2"/>
  <c r="J1417" i="2"/>
  <c r="I1417" i="2"/>
  <c r="K1405" i="2"/>
  <c r="J1405" i="2"/>
  <c r="K1393" i="2"/>
  <c r="J1393" i="2"/>
  <c r="I1393" i="2"/>
  <c r="K1381" i="2"/>
  <c r="J1381" i="2"/>
  <c r="K1369" i="2"/>
  <c r="J1369" i="2"/>
  <c r="I1369" i="2"/>
  <c r="K1357" i="2"/>
  <c r="J1357" i="2"/>
  <c r="I1357" i="2"/>
  <c r="K1345" i="2"/>
  <c r="J1345" i="2"/>
  <c r="I1345" i="2"/>
  <c r="K1333" i="2"/>
  <c r="J1333" i="2"/>
  <c r="K1321" i="2"/>
  <c r="J1321" i="2"/>
  <c r="I1321" i="2"/>
  <c r="K1309" i="2"/>
  <c r="J1309" i="2"/>
  <c r="K1297" i="2"/>
  <c r="J1297" i="2"/>
  <c r="I1297" i="2"/>
  <c r="K1285" i="2"/>
  <c r="J1285" i="2"/>
  <c r="K1273" i="2"/>
  <c r="J1273" i="2"/>
  <c r="K1261" i="2"/>
  <c r="J1261" i="2"/>
  <c r="I1261" i="2"/>
  <c r="K1249" i="2"/>
  <c r="J1249" i="2"/>
  <c r="K1237" i="2"/>
  <c r="J1237" i="2"/>
  <c r="K1225" i="2"/>
  <c r="J1225" i="2"/>
  <c r="I1225" i="2"/>
  <c r="K1213" i="2"/>
  <c r="J1213" i="2"/>
  <c r="K1201" i="2"/>
  <c r="J1201" i="2"/>
  <c r="K1189" i="2"/>
  <c r="J1189" i="2"/>
  <c r="I1189" i="2"/>
  <c r="K1177" i="2"/>
  <c r="J1177" i="2"/>
  <c r="I1177" i="2"/>
  <c r="K1165" i="2"/>
  <c r="J1165" i="2"/>
  <c r="K1153" i="2"/>
  <c r="J1153" i="2"/>
  <c r="I1153" i="2"/>
  <c r="K1141" i="2"/>
  <c r="J1141" i="2"/>
  <c r="I1141" i="2"/>
  <c r="K1129" i="2"/>
  <c r="J1129" i="2"/>
  <c r="K1117" i="2"/>
  <c r="J1117" i="2"/>
  <c r="I1117" i="2"/>
  <c r="K1105" i="2"/>
  <c r="J1105" i="2"/>
  <c r="I1105" i="2"/>
  <c r="K1093" i="2"/>
  <c r="J1093" i="2"/>
  <c r="K1081" i="2"/>
  <c r="J1081" i="2"/>
  <c r="I1081" i="2"/>
  <c r="K1069" i="2"/>
  <c r="J1069" i="2"/>
  <c r="K1057" i="2"/>
  <c r="I1057" i="2"/>
  <c r="K1045" i="2"/>
  <c r="J1045" i="2"/>
  <c r="K1033" i="2"/>
  <c r="J1033" i="2"/>
  <c r="I1033" i="2"/>
  <c r="K1021" i="2"/>
  <c r="J1021" i="2"/>
  <c r="K1009" i="2"/>
  <c r="J1009" i="2"/>
  <c r="I1009" i="2"/>
  <c r="K997" i="2"/>
  <c r="J997" i="2"/>
  <c r="K985" i="2"/>
  <c r="J985" i="2"/>
  <c r="I985" i="2"/>
  <c r="K973" i="2"/>
  <c r="J973" i="2"/>
  <c r="K961" i="2"/>
  <c r="J961" i="2"/>
  <c r="I961" i="2"/>
  <c r="K949" i="2"/>
  <c r="J949" i="2"/>
  <c r="K937" i="2"/>
  <c r="J937" i="2"/>
  <c r="I937" i="2"/>
  <c r="K925" i="2"/>
  <c r="J925" i="2"/>
  <c r="K913" i="2"/>
  <c r="J913" i="2"/>
  <c r="I913" i="2"/>
  <c r="K901" i="2"/>
  <c r="J901" i="2"/>
  <c r="K889" i="2"/>
  <c r="J889" i="2"/>
  <c r="I889" i="2"/>
  <c r="K877" i="2"/>
  <c r="J877" i="2"/>
  <c r="K865" i="2"/>
  <c r="J865" i="2"/>
  <c r="I865" i="2"/>
  <c r="K853" i="2"/>
  <c r="J853" i="2"/>
  <c r="K841" i="2"/>
  <c r="J841" i="2"/>
  <c r="I841" i="2"/>
  <c r="J829" i="2"/>
  <c r="K829" i="2"/>
  <c r="K817" i="2"/>
  <c r="J817" i="2"/>
  <c r="I817" i="2"/>
  <c r="K805" i="2"/>
  <c r="J805" i="2"/>
  <c r="K793" i="2"/>
  <c r="J793" i="2"/>
  <c r="I793" i="2"/>
  <c r="K781" i="2"/>
  <c r="J781" i="2"/>
  <c r="I781" i="2"/>
  <c r="K769" i="2"/>
  <c r="J769" i="2"/>
  <c r="I769" i="2"/>
  <c r="K757" i="2"/>
  <c r="J757" i="2"/>
  <c r="I757" i="2"/>
  <c r="K745" i="2"/>
  <c r="J745" i="2"/>
  <c r="I745" i="2"/>
  <c r="K733" i="2"/>
  <c r="J733" i="2"/>
  <c r="I733" i="2"/>
  <c r="K721" i="2"/>
  <c r="J721" i="2"/>
  <c r="K709" i="2"/>
  <c r="J709" i="2"/>
  <c r="I709" i="2"/>
  <c r="K697" i="2"/>
  <c r="J697" i="2"/>
  <c r="I697" i="2"/>
  <c r="K685" i="2"/>
  <c r="J685" i="2"/>
  <c r="I685" i="2"/>
  <c r="K673" i="2"/>
  <c r="J673" i="2"/>
  <c r="I673" i="2"/>
  <c r="K661" i="2"/>
  <c r="J661" i="2"/>
  <c r="I661" i="2"/>
  <c r="K649" i="2"/>
  <c r="J649" i="2"/>
  <c r="I649" i="2"/>
  <c r="K637" i="2"/>
  <c r="J637" i="2"/>
  <c r="I637" i="2"/>
  <c r="K625" i="2"/>
  <c r="J625" i="2"/>
  <c r="I625" i="2"/>
  <c r="K613" i="2"/>
  <c r="I613" i="2"/>
  <c r="J613" i="2"/>
  <c r="K601" i="2"/>
  <c r="J601" i="2"/>
  <c r="I601" i="2"/>
  <c r="K589" i="2"/>
  <c r="J589" i="2"/>
  <c r="I589" i="2"/>
  <c r="K577" i="2"/>
  <c r="J577" i="2"/>
  <c r="I577" i="2"/>
  <c r="K565" i="2"/>
  <c r="J565" i="2"/>
  <c r="I565" i="2"/>
  <c r="K553" i="2"/>
  <c r="J553" i="2"/>
  <c r="I553" i="2"/>
  <c r="K541" i="2"/>
  <c r="J541" i="2"/>
  <c r="I541" i="2"/>
  <c r="K529" i="2"/>
  <c r="J529" i="2"/>
  <c r="I529" i="2"/>
  <c r="K517" i="2"/>
  <c r="I517" i="2"/>
  <c r="J517" i="2"/>
  <c r="K505" i="2"/>
  <c r="J505" i="2"/>
  <c r="I505" i="2"/>
  <c r="K493" i="2"/>
  <c r="J493" i="2"/>
  <c r="I493" i="2"/>
  <c r="K481" i="2"/>
  <c r="J481" i="2"/>
  <c r="I481" i="2"/>
  <c r="K469" i="2"/>
  <c r="J469" i="2"/>
  <c r="I469" i="2"/>
  <c r="K457" i="2"/>
  <c r="J457" i="2"/>
  <c r="I457" i="2"/>
  <c r="K445" i="2"/>
  <c r="J445" i="2"/>
  <c r="I445" i="2"/>
  <c r="K433" i="2"/>
  <c r="I433" i="2"/>
  <c r="J433" i="2"/>
  <c r="K421" i="2"/>
  <c r="I421" i="2"/>
  <c r="J421" i="2"/>
  <c r="K409" i="2"/>
  <c r="J409" i="2"/>
  <c r="I409" i="2"/>
  <c r="K397" i="2"/>
  <c r="I397" i="2"/>
  <c r="J397" i="2"/>
  <c r="K385" i="2"/>
  <c r="J385" i="2"/>
  <c r="K373" i="2"/>
  <c r="J373" i="2"/>
  <c r="I373" i="2"/>
  <c r="K361" i="2"/>
  <c r="J361" i="2"/>
  <c r="I361" i="2"/>
  <c r="K349" i="2"/>
  <c r="J349" i="2"/>
  <c r="K337" i="2"/>
  <c r="J337" i="2"/>
  <c r="I337" i="2"/>
  <c r="K325" i="2"/>
  <c r="J325" i="2"/>
  <c r="I325" i="2"/>
  <c r="K313" i="2"/>
  <c r="J313" i="2"/>
  <c r="I313" i="2"/>
  <c r="K301" i="2"/>
  <c r="J301" i="2"/>
  <c r="I301" i="2"/>
  <c r="K289" i="2"/>
  <c r="J289" i="2"/>
  <c r="I289" i="2"/>
  <c r="K277" i="2"/>
  <c r="J277" i="2"/>
  <c r="I277" i="2"/>
  <c r="K265" i="2"/>
  <c r="J265" i="2"/>
  <c r="I265" i="2"/>
  <c r="K253" i="2"/>
  <c r="J253" i="2"/>
  <c r="I253" i="2"/>
  <c r="K241" i="2"/>
  <c r="J241" i="2"/>
  <c r="I241" i="2"/>
  <c r="K229" i="2"/>
  <c r="J229" i="2"/>
  <c r="I229" i="2"/>
  <c r="K217" i="2"/>
  <c r="I217" i="2"/>
  <c r="J217" i="2"/>
  <c r="K205" i="2"/>
  <c r="J205" i="2"/>
  <c r="I205" i="2"/>
  <c r="K193" i="2"/>
  <c r="J193" i="2"/>
  <c r="I193" i="2"/>
  <c r="K181" i="2"/>
  <c r="J181" i="2"/>
  <c r="I181" i="2"/>
  <c r="K169" i="2"/>
  <c r="J169" i="2"/>
  <c r="I169" i="2"/>
  <c r="K157" i="2"/>
  <c r="J157" i="2"/>
  <c r="I157" i="2"/>
  <c r="K145" i="2"/>
  <c r="J145" i="2"/>
  <c r="I145" i="2"/>
  <c r="K133" i="2"/>
  <c r="J133" i="2"/>
  <c r="I133" i="2"/>
  <c r="K121" i="2"/>
  <c r="J121" i="2"/>
  <c r="I121" i="2"/>
  <c r="K109" i="2"/>
  <c r="I109" i="2"/>
  <c r="J109" i="2"/>
  <c r="K97" i="2"/>
  <c r="J97" i="2"/>
  <c r="I97" i="2"/>
  <c r="K85" i="2"/>
  <c r="J85" i="2"/>
  <c r="I85" i="2"/>
  <c r="K73" i="2"/>
  <c r="J73" i="2"/>
  <c r="I73" i="2"/>
  <c r="K61" i="2"/>
  <c r="J61" i="2"/>
  <c r="K49" i="2"/>
  <c r="J49" i="2"/>
  <c r="I49" i="2"/>
  <c r="K37" i="2"/>
  <c r="J37" i="2"/>
  <c r="I37" i="2"/>
  <c r="K25" i="2"/>
  <c r="J25" i="2"/>
  <c r="I25" i="2"/>
  <c r="K13" i="2"/>
  <c r="J13" i="2"/>
  <c r="I13" i="2"/>
  <c r="I1765" i="2"/>
  <c r="I1731" i="2"/>
  <c r="I1612" i="2"/>
  <c r="I1554" i="2"/>
  <c r="I1381" i="2"/>
  <c r="I1309" i="2"/>
  <c r="I1201" i="2"/>
  <c r="I949" i="2"/>
  <c r="I194" i="2"/>
  <c r="J1057" i="2"/>
  <c r="K780" i="2"/>
  <c r="J780" i="2"/>
  <c r="I780" i="2"/>
  <c r="K768" i="2"/>
  <c r="I768" i="2"/>
  <c r="J768" i="2"/>
  <c r="K756" i="2"/>
  <c r="J756" i="2"/>
  <c r="I756" i="2"/>
  <c r="K744" i="2"/>
  <c r="J744" i="2"/>
  <c r="I744" i="2"/>
  <c r="K732" i="2"/>
  <c r="I732" i="2"/>
  <c r="J732" i="2"/>
  <c r="K720" i="2"/>
  <c r="J720" i="2"/>
  <c r="I720" i="2"/>
  <c r="K708" i="2"/>
  <c r="J708" i="2"/>
  <c r="I708" i="2"/>
  <c r="K696" i="2"/>
  <c r="I696" i="2"/>
  <c r="K684" i="2"/>
  <c r="I684" i="2"/>
  <c r="J684" i="2"/>
  <c r="K672" i="2"/>
  <c r="J672" i="2"/>
  <c r="I672" i="2"/>
  <c r="K660" i="2"/>
  <c r="J660" i="2"/>
  <c r="K648" i="2"/>
  <c r="J648" i="2"/>
  <c r="I648" i="2"/>
  <c r="K636" i="2"/>
  <c r="J636" i="2"/>
  <c r="I636" i="2"/>
  <c r="K624" i="2"/>
  <c r="J624" i="2"/>
  <c r="K612" i="2"/>
  <c r="J612" i="2"/>
  <c r="I612" i="2"/>
  <c r="K600" i="2"/>
  <c r="J600" i="2"/>
  <c r="I600" i="2"/>
  <c r="K588" i="2"/>
  <c r="J588" i="2"/>
  <c r="I588" i="2"/>
  <c r="K576" i="2"/>
  <c r="I576" i="2"/>
  <c r="J576" i="2"/>
  <c r="K564" i="2"/>
  <c r="J564" i="2"/>
  <c r="I564" i="2"/>
  <c r="K552" i="2"/>
  <c r="J552" i="2"/>
  <c r="I552" i="2"/>
  <c r="K540" i="2"/>
  <c r="J540" i="2"/>
  <c r="I540" i="2"/>
  <c r="K528" i="2"/>
  <c r="J528" i="2"/>
  <c r="I528" i="2"/>
  <c r="K516" i="2"/>
  <c r="J516" i="2"/>
  <c r="I516" i="2"/>
  <c r="K504" i="2"/>
  <c r="J504" i="2"/>
  <c r="I504" i="2"/>
  <c r="K492" i="2"/>
  <c r="J492" i="2"/>
  <c r="I492" i="2"/>
  <c r="K480" i="2"/>
  <c r="J480" i="2"/>
  <c r="I480" i="2"/>
  <c r="K468" i="2"/>
  <c r="J468" i="2"/>
  <c r="I468" i="2"/>
  <c r="K456" i="2"/>
  <c r="J456" i="2"/>
  <c r="I456" i="2"/>
  <c r="K444" i="2"/>
  <c r="J444" i="2"/>
  <c r="I444" i="2"/>
  <c r="K432" i="2"/>
  <c r="J432" i="2"/>
  <c r="I432" i="2"/>
  <c r="K420" i="2"/>
  <c r="J420" i="2"/>
  <c r="K408" i="2"/>
  <c r="J408" i="2"/>
  <c r="I408" i="2"/>
  <c r="J396" i="2"/>
  <c r="K396" i="2"/>
  <c r="I396" i="2"/>
  <c r="K384" i="2"/>
  <c r="J384" i="2"/>
  <c r="I384" i="2"/>
  <c r="K372" i="2"/>
  <c r="J372" i="2"/>
  <c r="I372" i="2"/>
  <c r="K360" i="2"/>
  <c r="J360" i="2"/>
  <c r="I360" i="2"/>
  <c r="K348" i="2"/>
  <c r="J348" i="2"/>
  <c r="I348" i="2"/>
  <c r="K336" i="2"/>
  <c r="J336" i="2"/>
  <c r="I336" i="2"/>
  <c r="K324" i="2"/>
  <c r="J324" i="2"/>
  <c r="I324" i="2"/>
  <c r="K312" i="2"/>
  <c r="J312" i="2"/>
  <c r="I312" i="2"/>
  <c r="K300" i="2"/>
  <c r="J300" i="2"/>
  <c r="I300" i="2"/>
  <c r="K288" i="2"/>
  <c r="J288" i="2"/>
  <c r="I288" i="2"/>
  <c r="K276" i="2"/>
  <c r="J276" i="2"/>
  <c r="I276" i="2"/>
  <c r="K264" i="2"/>
  <c r="J264" i="2"/>
  <c r="I264" i="2"/>
  <c r="K252" i="2"/>
  <c r="J252" i="2"/>
  <c r="I252" i="2"/>
  <c r="K240" i="2"/>
  <c r="J240" i="2"/>
  <c r="I240" i="2"/>
  <c r="K228" i="2"/>
  <c r="J228" i="2"/>
  <c r="I228" i="2"/>
  <c r="K216" i="2"/>
  <c r="J216" i="2"/>
  <c r="I216" i="2"/>
  <c r="K204" i="2"/>
  <c r="J204" i="2"/>
  <c r="I204" i="2"/>
  <c r="K192" i="2"/>
  <c r="J192" i="2"/>
  <c r="I192" i="2"/>
  <c r="K180" i="2"/>
  <c r="J180" i="2"/>
  <c r="I180" i="2"/>
  <c r="K168" i="2"/>
  <c r="J168" i="2"/>
  <c r="I168" i="2"/>
  <c r="K156" i="2"/>
  <c r="J156" i="2"/>
  <c r="I156" i="2"/>
  <c r="K144" i="2"/>
  <c r="J144" i="2"/>
  <c r="I144" i="2"/>
  <c r="K132" i="2"/>
  <c r="J132" i="2"/>
  <c r="I132" i="2"/>
  <c r="K120" i="2"/>
  <c r="J120" i="2"/>
  <c r="I120" i="2"/>
  <c r="K108" i="2"/>
  <c r="J108" i="2"/>
  <c r="I108" i="2"/>
  <c r="K96" i="2"/>
  <c r="J96" i="2"/>
  <c r="I96" i="2"/>
  <c r="K84" i="2"/>
  <c r="J84" i="2"/>
  <c r="I84" i="2"/>
  <c r="K72" i="2"/>
  <c r="J72" i="2"/>
  <c r="I72" i="2"/>
  <c r="K60" i="2"/>
  <c r="J60" i="2"/>
  <c r="I60" i="2"/>
  <c r="K48" i="2"/>
  <c r="I48" i="2"/>
  <c r="J48" i="2"/>
  <c r="K36" i="2"/>
  <c r="J36" i="2"/>
  <c r="I36" i="2"/>
  <c r="K24" i="2"/>
  <c r="J24" i="2"/>
  <c r="I24" i="2"/>
  <c r="I1758" i="2"/>
  <c r="I1730" i="2"/>
  <c r="I1699" i="2"/>
  <c r="I1610" i="2"/>
  <c r="I1553" i="2"/>
  <c r="I1495" i="2"/>
  <c r="I1303" i="2"/>
  <c r="I1183" i="2"/>
  <c r="I925" i="2"/>
  <c r="I592" i="2"/>
  <c r="I148" i="2"/>
  <c r="J871" i="2"/>
  <c r="K851" i="2"/>
  <c r="J851" i="2"/>
  <c r="I851" i="2"/>
  <c r="K839" i="2"/>
  <c r="J839" i="2"/>
  <c r="I839" i="2"/>
  <c r="K827" i="2"/>
  <c r="J827" i="2"/>
  <c r="I827" i="2"/>
  <c r="K815" i="2"/>
  <c r="J815" i="2"/>
  <c r="I815" i="2"/>
  <c r="K803" i="2"/>
  <c r="J803" i="2"/>
  <c r="I803" i="2"/>
  <c r="K791" i="2"/>
  <c r="J791" i="2"/>
  <c r="I791" i="2"/>
  <c r="K779" i="2"/>
  <c r="J779" i="2"/>
  <c r="I779" i="2"/>
  <c r="K767" i="2"/>
  <c r="J767" i="2"/>
  <c r="I767" i="2"/>
  <c r="K755" i="2"/>
  <c r="J755" i="2"/>
  <c r="I755" i="2"/>
  <c r="K743" i="2"/>
  <c r="J743" i="2"/>
  <c r="I743" i="2"/>
  <c r="K731" i="2"/>
  <c r="I731" i="2"/>
  <c r="J731" i="2"/>
  <c r="K719" i="2"/>
  <c r="J719" i="2"/>
  <c r="I719" i="2"/>
  <c r="K707" i="2"/>
  <c r="J707" i="2"/>
  <c r="I707" i="2"/>
  <c r="K695" i="2"/>
  <c r="J695" i="2"/>
  <c r="I695" i="2"/>
  <c r="K683" i="2"/>
  <c r="J683" i="2"/>
  <c r="I683" i="2"/>
  <c r="K671" i="2"/>
  <c r="J671" i="2"/>
  <c r="I671" i="2"/>
  <c r="K659" i="2"/>
  <c r="J659" i="2"/>
  <c r="I659" i="2"/>
  <c r="K647" i="2"/>
  <c r="J647" i="2"/>
  <c r="I647" i="2"/>
  <c r="K635" i="2"/>
  <c r="J635" i="2"/>
  <c r="I635" i="2"/>
  <c r="K623" i="2"/>
  <c r="J623" i="2"/>
  <c r="I623" i="2"/>
  <c r="K611" i="2"/>
  <c r="J611" i="2"/>
  <c r="I611" i="2"/>
  <c r="K599" i="2"/>
  <c r="J599" i="2"/>
  <c r="I599" i="2"/>
  <c r="K587" i="2"/>
  <c r="J587" i="2"/>
  <c r="I587" i="2"/>
  <c r="K575" i="2"/>
  <c r="J575" i="2"/>
  <c r="I575" i="2"/>
  <c r="K563" i="2"/>
  <c r="J563" i="2"/>
  <c r="I563" i="2"/>
  <c r="K551" i="2"/>
  <c r="J551" i="2"/>
  <c r="I551" i="2"/>
  <c r="K539" i="2"/>
  <c r="J539" i="2"/>
  <c r="I539" i="2"/>
  <c r="K527" i="2"/>
  <c r="J527" i="2"/>
  <c r="I527" i="2"/>
  <c r="K515" i="2"/>
  <c r="J515" i="2"/>
  <c r="I515" i="2"/>
  <c r="K503" i="2"/>
  <c r="I503" i="2"/>
  <c r="J503" i="2"/>
  <c r="K491" i="2"/>
  <c r="J491" i="2"/>
  <c r="I491" i="2"/>
  <c r="K479" i="2"/>
  <c r="J479" i="2"/>
  <c r="I479" i="2"/>
  <c r="K467" i="2"/>
  <c r="I467" i="2"/>
  <c r="J467" i="2"/>
  <c r="K455" i="2"/>
  <c r="J455" i="2"/>
  <c r="I455" i="2"/>
  <c r="K443" i="2"/>
  <c r="J443" i="2"/>
  <c r="I443" i="2"/>
  <c r="K431" i="2"/>
  <c r="J431" i="2"/>
  <c r="I431" i="2"/>
  <c r="K419" i="2"/>
  <c r="J419" i="2"/>
  <c r="I419" i="2"/>
  <c r="K407" i="2"/>
  <c r="J407" i="2"/>
  <c r="I407" i="2"/>
  <c r="K395" i="2"/>
  <c r="I395" i="2"/>
  <c r="J395" i="2"/>
  <c r="K383" i="2"/>
  <c r="I383" i="2"/>
  <c r="J383" i="2"/>
  <c r="K371" i="2"/>
  <c r="J371" i="2"/>
  <c r="I371" i="2"/>
  <c r="K359" i="2"/>
  <c r="J359" i="2"/>
  <c r="I359" i="2"/>
  <c r="K347" i="2"/>
  <c r="J347" i="2"/>
  <c r="I347" i="2"/>
  <c r="K335" i="2"/>
  <c r="J335" i="2"/>
  <c r="I335" i="2"/>
  <c r="K323" i="2"/>
  <c r="J323" i="2"/>
  <c r="I323" i="2"/>
  <c r="K311" i="2"/>
  <c r="I311" i="2"/>
  <c r="J311" i="2"/>
  <c r="K299" i="2"/>
  <c r="J299" i="2"/>
  <c r="I299" i="2"/>
  <c r="K287" i="2"/>
  <c r="J287" i="2"/>
  <c r="I287" i="2"/>
  <c r="K275" i="2"/>
  <c r="J275" i="2"/>
  <c r="K263" i="2"/>
  <c r="J263" i="2"/>
  <c r="I263" i="2"/>
  <c r="K251" i="2"/>
  <c r="J251" i="2"/>
  <c r="I251" i="2"/>
  <c r="K239" i="2"/>
  <c r="J239" i="2"/>
  <c r="K227" i="2"/>
  <c r="J227" i="2"/>
  <c r="I227" i="2"/>
  <c r="K215" i="2"/>
  <c r="J215" i="2"/>
  <c r="I215" i="2"/>
  <c r="K203" i="2"/>
  <c r="J203" i="2"/>
  <c r="I203" i="2"/>
  <c r="K191" i="2"/>
  <c r="J191" i="2"/>
  <c r="I191" i="2"/>
  <c r="K179" i="2"/>
  <c r="J179" i="2"/>
  <c r="I179" i="2"/>
  <c r="K167" i="2"/>
  <c r="J167" i="2"/>
  <c r="I167" i="2"/>
  <c r="K155" i="2"/>
  <c r="J155" i="2"/>
  <c r="I155" i="2"/>
  <c r="K143" i="2"/>
  <c r="J143" i="2"/>
  <c r="I143" i="2"/>
  <c r="K131" i="2"/>
  <c r="J131" i="2"/>
  <c r="I131" i="2"/>
  <c r="K119" i="2"/>
  <c r="J119" i="2"/>
  <c r="I119" i="2"/>
  <c r="K107" i="2"/>
  <c r="J107" i="2"/>
  <c r="K95" i="2"/>
  <c r="J95" i="2"/>
  <c r="I95" i="2"/>
  <c r="K83" i="2"/>
  <c r="J83" i="2"/>
  <c r="I83" i="2"/>
  <c r="I1757" i="2"/>
  <c r="I1693" i="2"/>
  <c r="I1662" i="2"/>
  <c r="I1549" i="2"/>
  <c r="I1492" i="2"/>
  <c r="I1434" i="2"/>
  <c r="I1291" i="2"/>
  <c r="I1165" i="2"/>
  <c r="I901" i="2"/>
  <c r="I557" i="2"/>
  <c r="I107" i="2"/>
  <c r="J696" i="2"/>
  <c r="K1728" i="2"/>
  <c r="J1728" i="2"/>
  <c r="K1608" i="2"/>
  <c r="J1608" i="2"/>
  <c r="I1608" i="2"/>
  <c r="K1500" i="2"/>
  <c r="J1500" i="2"/>
  <c r="I1500" i="2"/>
  <c r="K1452" i="2"/>
  <c r="J1452" i="2"/>
  <c r="K1416" i="2"/>
  <c r="I1416" i="2"/>
  <c r="J1416" i="2"/>
  <c r="K1056" i="2"/>
  <c r="I1056" i="2"/>
  <c r="J1056" i="2"/>
  <c r="J1343" i="2"/>
  <c r="K1343" i="2"/>
  <c r="I1343" i="2"/>
  <c r="K1331" i="2"/>
  <c r="J1331" i="2"/>
  <c r="I1331" i="2"/>
  <c r="K1319" i="2"/>
  <c r="J1319" i="2"/>
  <c r="K1307" i="2"/>
  <c r="I1307" i="2"/>
  <c r="J1307" i="2"/>
  <c r="K1295" i="2"/>
  <c r="J1295" i="2"/>
  <c r="I1295" i="2"/>
  <c r="K1211" i="2"/>
  <c r="J1211" i="2"/>
  <c r="I1211" i="2"/>
  <c r="K1175" i="2"/>
  <c r="J1175" i="2"/>
  <c r="I1175" i="2"/>
  <c r="K1151" i="2"/>
  <c r="J1151" i="2"/>
  <c r="I1151" i="2"/>
  <c r="K1127" i="2"/>
  <c r="J1127" i="2"/>
  <c r="I1127" i="2"/>
  <c r="K1103" i="2"/>
  <c r="J1103" i="2"/>
  <c r="I1103" i="2"/>
  <c r="K1067" i="2"/>
  <c r="J1067" i="2"/>
  <c r="I1067" i="2"/>
  <c r="K1043" i="2"/>
  <c r="J1043" i="2"/>
  <c r="I1043" i="2"/>
  <c r="K1031" i="2"/>
  <c r="J1031" i="2"/>
  <c r="I1031" i="2"/>
  <c r="K995" i="2"/>
  <c r="J995" i="2"/>
  <c r="I995" i="2"/>
  <c r="K959" i="2"/>
  <c r="J959" i="2"/>
  <c r="I959" i="2"/>
  <c r="K947" i="2"/>
  <c r="J947" i="2"/>
  <c r="I947" i="2"/>
  <c r="K935" i="2"/>
  <c r="J935" i="2"/>
  <c r="I935" i="2"/>
  <c r="K923" i="2"/>
  <c r="J923" i="2"/>
  <c r="I923" i="2"/>
  <c r="K911" i="2"/>
  <c r="J911" i="2"/>
  <c r="I911" i="2"/>
  <c r="K875" i="2"/>
  <c r="J875" i="2"/>
  <c r="I875" i="2"/>
  <c r="K1762" i="2"/>
  <c r="I1762" i="2"/>
  <c r="J1762" i="2"/>
  <c r="K1750" i="2"/>
  <c r="J1750" i="2"/>
  <c r="I1750" i="2"/>
  <c r="K1738" i="2"/>
  <c r="J1738" i="2"/>
  <c r="I1738" i="2"/>
  <c r="K1726" i="2"/>
  <c r="J1726" i="2"/>
  <c r="K1702" i="2"/>
  <c r="J1702" i="2"/>
  <c r="K1678" i="2"/>
  <c r="J1678" i="2"/>
  <c r="K1654" i="2"/>
  <c r="J1654" i="2"/>
  <c r="K1630" i="2"/>
  <c r="J1630" i="2"/>
  <c r="I1630" i="2"/>
  <c r="K1510" i="2"/>
  <c r="J1510" i="2"/>
  <c r="J1486" i="2"/>
  <c r="I1486" i="2"/>
  <c r="K1486" i="2"/>
  <c r="K1474" i="2"/>
  <c r="J1474" i="2"/>
  <c r="I1474" i="2"/>
  <c r="K1462" i="2"/>
  <c r="J1462" i="2"/>
  <c r="I1462" i="2"/>
  <c r="K1450" i="2"/>
  <c r="J1450" i="2"/>
  <c r="I1450" i="2"/>
  <c r="K1438" i="2"/>
  <c r="J1438" i="2"/>
  <c r="K1426" i="2"/>
  <c r="J1426" i="2"/>
  <c r="I1426" i="2"/>
  <c r="K1390" i="2"/>
  <c r="J1390" i="2"/>
  <c r="I1390" i="2"/>
  <c r="K1366" i="2"/>
  <c r="J1366" i="2"/>
  <c r="K1318" i="2"/>
  <c r="J1318" i="2"/>
  <c r="I1318" i="2"/>
  <c r="K1306" i="2"/>
  <c r="J1306" i="2"/>
  <c r="I1306" i="2"/>
  <c r="K1282" i="2"/>
  <c r="J1282" i="2"/>
  <c r="I1282" i="2"/>
  <c r="K1270" i="2"/>
  <c r="J1270" i="2"/>
  <c r="I1270" i="2"/>
  <c r="K1258" i="2"/>
  <c r="I1258" i="2"/>
  <c r="J1258" i="2"/>
  <c r="K1246" i="2"/>
  <c r="I1246" i="2"/>
  <c r="J1246" i="2"/>
  <c r="K1234" i="2"/>
  <c r="J1234" i="2"/>
  <c r="I1234" i="2"/>
  <c r="K1222" i="2"/>
  <c r="J1222" i="2"/>
  <c r="I1222" i="2"/>
  <c r="K1210" i="2"/>
  <c r="J1210" i="2"/>
  <c r="I1210" i="2"/>
  <c r="K1198" i="2"/>
  <c r="J1198" i="2"/>
  <c r="I1198" i="2"/>
  <c r="K1186" i="2"/>
  <c r="J1186" i="2"/>
  <c r="I1186" i="2"/>
  <c r="K1174" i="2"/>
  <c r="I1174" i="2"/>
  <c r="J1174" i="2"/>
  <c r="K1162" i="2"/>
  <c r="J1162" i="2"/>
  <c r="I1162" i="2"/>
  <c r="K1150" i="2"/>
  <c r="J1150" i="2"/>
  <c r="I1150" i="2"/>
  <c r="K1138" i="2"/>
  <c r="I1138" i="2"/>
  <c r="J1138" i="2"/>
  <c r="K1126" i="2"/>
  <c r="J1126" i="2"/>
  <c r="I1126" i="2"/>
  <c r="K1114" i="2"/>
  <c r="J1114" i="2"/>
  <c r="I1114" i="2"/>
  <c r="K1102" i="2"/>
  <c r="J1102" i="2"/>
  <c r="I1102" i="2"/>
  <c r="K1090" i="2"/>
  <c r="J1090" i="2"/>
  <c r="I1090" i="2"/>
  <c r="K1078" i="2"/>
  <c r="J1078" i="2"/>
  <c r="I1078" i="2"/>
  <c r="K1066" i="2"/>
  <c r="J1066" i="2"/>
  <c r="I1066" i="2"/>
  <c r="K1054" i="2"/>
  <c r="I1054" i="2"/>
  <c r="J1054" i="2"/>
  <c r="K1042" i="2"/>
  <c r="J1042" i="2"/>
  <c r="I1042" i="2"/>
  <c r="K1030" i="2"/>
  <c r="I1030" i="2"/>
  <c r="J1030" i="2"/>
  <c r="K1018" i="2"/>
  <c r="J1018" i="2"/>
  <c r="I1018" i="2"/>
  <c r="K1006" i="2"/>
  <c r="J1006" i="2"/>
  <c r="I1006" i="2"/>
  <c r="K994" i="2"/>
  <c r="J994" i="2"/>
  <c r="I994" i="2"/>
  <c r="K982" i="2"/>
  <c r="J982" i="2"/>
  <c r="I982" i="2"/>
  <c r="K970" i="2"/>
  <c r="J970" i="2"/>
  <c r="I970" i="2"/>
  <c r="K958" i="2"/>
  <c r="J958" i="2"/>
  <c r="I958" i="2"/>
  <c r="K946" i="2"/>
  <c r="J946" i="2"/>
  <c r="I946" i="2"/>
  <c r="K934" i="2"/>
  <c r="I934" i="2"/>
  <c r="J934" i="2"/>
  <c r="K922" i="2"/>
  <c r="J922" i="2"/>
  <c r="I922" i="2"/>
  <c r="K910" i="2"/>
  <c r="J910" i="2"/>
  <c r="I910" i="2"/>
  <c r="K898" i="2"/>
  <c r="I898" i="2"/>
  <c r="J898" i="2"/>
  <c r="K886" i="2"/>
  <c r="J886" i="2"/>
  <c r="I886" i="2"/>
  <c r="K874" i="2"/>
  <c r="J874" i="2"/>
  <c r="I874" i="2"/>
  <c r="K862" i="2"/>
  <c r="J862" i="2"/>
  <c r="I862" i="2"/>
  <c r="K850" i="2"/>
  <c r="J850" i="2"/>
  <c r="I850" i="2"/>
  <c r="K838" i="2"/>
  <c r="J838" i="2"/>
  <c r="I838" i="2"/>
  <c r="K826" i="2"/>
  <c r="J826" i="2"/>
  <c r="I826" i="2"/>
  <c r="K814" i="2"/>
  <c r="J814" i="2"/>
  <c r="I814" i="2"/>
  <c r="K802" i="2"/>
  <c r="J802" i="2"/>
  <c r="I802" i="2"/>
  <c r="K790" i="2"/>
  <c r="I790" i="2"/>
  <c r="J790" i="2"/>
  <c r="K778" i="2"/>
  <c r="J778" i="2"/>
  <c r="I778" i="2"/>
  <c r="K766" i="2"/>
  <c r="J766" i="2"/>
  <c r="I766" i="2"/>
  <c r="K754" i="2"/>
  <c r="I754" i="2"/>
  <c r="J754" i="2"/>
  <c r="K742" i="2"/>
  <c r="J742" i="2"/>
  <c r="I742" i="2"/>
  <c r="K730" i="2"/>
  <c r="I730" i="2"/>
  <c r="J730" i="2"/>
  <c r="K718" i="2"/>
  <c r="J718" i="2"/>
  <c r="I718" i="2"/>
  <c r="K706" i="2"/>
  <c r="J706" i="2"/>
  <c r="I706" i="2"/>
  <c r="K694" i="2"/>
  <c r="J694" i="2"/>
  <c r="I694" i="2"/>
  <c r="K682" i="2"/>
  <c r="J682" i="2"/>
  <c r="I682" i="2"/>
  <c r="K670" i="2"/>
  <c r="J670" i="2"/>
  <c r="I670" i="2"/>
  <c r="K658" i="2"/>
  <c r="I658" i="2"/>
  <c r="J658" i="2"/>
  <c r="K646" i="2"/>
  <c r="I646" i="2"/>
  <c r="J646" i="2"/>
  <c r="K634" i="2"/>
  <c r="J634" i="2"/>
  <c r="I634" i="2"/>
  <c r="K622" i="2"/>
  <c r="J622" i="2"/>
  <c r="I622" i="2"/>
  <c r="K610" i="2"/>
  <c r="J610" i="2"/>
  <c r="I610" i="2"/>
  <c r="K598" i="2"/>
  <c r="J598" i="2"/>
  <c r="I598" i="2"/>
  <c r="K586" i="2"/>
  <c r="J586" i="2"/>
  <c r="I586" i="2"/>
  <c r="K574" i="2"/>
  <c r="J574" i="2"/>
  <c r="I574" i="2"/>
  <c r="J562" i="2"/>
  <c r="I562" i="2"/>
  <c r="K562" i="2"/>
  <c r="K550" i="2"/>
  <c r="I550" i="2"/>
  <c r="J550" i="2"/>
  <c r="K538" i="2"/>
  <c r="J538" i="2"/>
  <c r="I538" i="2"/>
  <c r="K526" i="2"/>
  <c r="J526" i="2"/>
  <c r="I526" i="2"/>
  <c r="K514" i="2"/>
  <c r="J514" i="2"/>
  <c r="I514" i="2"/>
  <c r="K502" i="2"/>
  <c r="I502" i="2"/>
  <c r="J502" i="2"/>
  <c r="K490" i="2"/>
  <c r="J490" i="2"/>
  <c r="I490" i="2"/>
  <c r="K478" i="2"/>
  <c r="J478" i="2"/>
  <c r="I478" i="2"/>
  <c r="K466" i="2"/>
  <c r="J466" i="2"/>
  <c r="I466" i="2"/>
  <c r="K454" i="2"/>
  <c r="J454" i="2"/>
  <c r="I454" i="2"/>
  <c r="K442" i="2"/>
  <c r="J442" i="2"/>
  <c r="I442" i="2"/>
  <c r="K430" i="2"/>
  <c r="J430" i="2"/>
  <c r="I430" i="2"/>
  <c r="K418" i="2"/>
  <c r="J418" i="2"/>
  <c r="I418" i="2"/>
  <c r="K406" i="2"/>
  <c r="J406" i="2"/>
  <c r="I406" i="2"/>
  <c r="K394" i="2"/>
  <c r="J394" i="2"/>
  <c r="I394" i="2"/>
  <c r="K382" i="2"/>
  <c r="J382" i="2"/>
  <c r="I382" i="2"/>
  <c r="K370" i="2"/>
  <c r="J370" i="2"/>
  <c r="I370" i="2"/>
  <c r="K358" i="2"/>
  <c r="J358" i="2"/>
  <c r="I358" i="2"/>
  <c r="K346" i="2"/>
  <c r="J346" i="2"/>
  <c r="I346" i="2"/>
  <c r="K334" i="2"/>
  <c r="J334" i="2"/>
  <c r="I334" i="2"/>
  <c r="K322" i="2"/>
  <c r="J322" i="2"/>
  <c r="I322" i="2"/>
  <c r="K310" i="2"/>
  <c r="J310" i="2"/>
  <c r="I310" i="2"/>
  <c r="J298" i="2"/>
  <c r="K298" i="2"/>
  <c r="I298" i="2"/>
  <c r="K286" i="2"/>
  <c r="J286" i="2"/>
  <c r="I286" i="2"/>
  <c r="K274" i="2"/>
  <c r="J274" i="2"/>
  <c r="I274" i="2"/>
  <c r="K262" i="2"/>
  <c r="J262" i="2"/>
  <c r="I262" i="2"/>
  <c r="K250" i="2"/>
  <c r="J250" i="2"/>
  <c r="I250" i="2"/>
  <c r="K238" i="2"/>
  <c r="J238" i="2"/>
  <c r="I238" i="2"/>
  <c r="K226" i="2"/>
  <c r="J226" i="2"/>
  <c r="I226" i="2"/>
  <c r="K214" i="2"/>
  <c r="J214" i="2"/>
  <c r="I214" i="2"/>
  <c r="K202" i="2"/>
  <c r="J202" i="2"/>
  <c r="I202" i="2"/>
  <c r="K190" i="2"/>
  <c r="J190" i="2"/>
  <c r="I190" i="2"/>
  <c r="K178" i="2"/>
  <c r="J178" i="2"/>
  <c r="I178" i="2"/>
  <c r="K166" i="2"/>
  <c r="J166" i="2"/>
  <c r="I166" i="2"/>
  <c r="K154" i="2"/>
  <c r="J154" i="2"/>
  <c r="I154" i="2"/>
  <c r="K142" i="2"/>
  <c r="J142" i="2"/>
  <c r="I142" i="2"/>
  <c r="J130" i="2"/>
  <c r="K130" i="2"/>
  <c r="I130" i="2"/>
  <c r="K118" i="2"/>
  <c r="J118" i="2"/>
  <c r="I118" i="2"/>
  <c r="K106" i="2"/>
  <c r="J106" i="2"/>
  <c r="I106" i="2"/>
  <c r="K94" i="2"/>
  <c r="J94" i="2"/>
  <c r="I94" i="2"/>
  <c r="K82" i="2"/>
  <c r="J82" i="2"/>
  <c r="I82" i="2"/>
  <c r="K70" i="2"/>
  <c r="J70" i="2"/>
  <c r="I70" i="2"/>
  <c r="K58" i="2"/>
  <c r="J58" i="2"/>
  <c r="I58" i="2"/>
  <c r="K46" i="2"/>
  <c r="J46" i="2"/>
  <c r="I46" i="2"/>
  <c r="K34" i="2"/>
  <c r="J34" i="2"/>
  <c r="I34" i="2"/>
  <c r="K22" i="2"/>
  <c r="I22" i="2"/>
  <c r="J22" i="2"/>
  <c r="I1756" i="2"/>
  <c r="I1726" i="2"/>
  <c r="I1692" i="2"/>
  <c r="I1654" i="2"/>
  <c r="I1597" i="2"/>
  <c r="I1540" i="2"/>
  <c r="I1482" i="2"/>
  <c r="I1285" i="2"/>
  <c r="I1147" i="2"/>
  <c r="I877" i="2"/>
  <c r="I521" i="2"/>
  <c r="I61" i="2"/>
  <c r="J471" i="2"/>
  <c r="J1356" i="2"/>
  <c r="K1356" i="2"/>
  <c r="I1356" i="2"/>
  <c r="K1320" i="2"/>
  <c r="J1320" i="2"/>
  <c r="I1320" i="2"/>
  <c r="K1308" i="2"/>
  <c r="J1308" i="2"/>
  <c r="I1308" i="2"/>
  <c r="K1284" i="2"/>
  <c r="J1284" i="2"/>
  <c r="I1284" i="2"/>
  <c r="K1272" i="2"/>
  <c r="J1272" i="2"/>
  <c r="I1272" i="2"/>
  <c r="K1260" i="2"/>
  <c r="I1260" i="2"/>
  <c r="J1260" i="2"/>
  <c r="K1248" i="2"/>
  <c r="J1248" i="2"/>
  <c r="I1248" i="2"/>
  <c r="K1236" i="2"/>
  <c r="J1236" i="2"/>
  <c r="I1236" i="2"/>
  <c r="K1224" i="2"/>
  <c r="I1224" i="2"/>
  <c r="J1224" i="2"/>
  <c r="K1212" i="2"/>
  <c r="J1212" i="2"/>
  <c r="I1212" i="2"/>
  <c r="K1200" i="2"/>
  <c r="J1200" i="2"/>
  <c r="I1200" i="2"/>
  <c r="K1188" i="2"/>
  <c r="J1188" i="2"/>
  <c r="I1188" i="2"/>
  <c r="K1176" i="2"/>
  <c r="I1176" i="2"/>
  <c r="K1164" i="2"/>
  <c r="J1164" i="2"/>
  <c r="I1164" i="2"/>
  <c r="K1152" i="2"/>
  <c r="J1152" i="2"/>
  <c r="I1152" i="2"/>
  <c r="K1140" i="2"/>
  <c r="J1140" i="2"/>
  <c r="I1140" i="2"/>
  <c r="J1128" i="2"/>
  <c r="K1128" i="2"/>
  <c r="I1128" i="2"/>
  <c r="K1116" i="2"/>
  <c r="I1116" i="2"/>
  <c r="J1116" i="2"/>
  <c r="K1104" i="2"/>
  <c r="J1104" i="2"/>
  <c r="I1104" i="2"/>
  <c r="K1092" i="2"/>
  <c r="J1092" i="2"/>
  <c r="I1092" i="2"/>
  <c r="K1080" i="2"/>
  <c r="I1080" i="2"/>
  <c r="J1080" i="2"/>
  <c r="K1068" i="2"/>
  <c r="J1068" i="2"/>
  <c r="I1068" i="2"/>
  <c r="K1044" i="2"/>
  <c r="J1044" i="2"/>
  <c r="I1044" i="2"/>
  <c r="K1032" i="2"/>
  <c r="J1032" i="2"/>
  <c r="I1032" i="2"/>
  <c r="K1020" i="2"/>
  <c r="J1020" i="2"/>
  <c r="I1020" i="2"/>
  <c r="K1008" i="2"/>
  <c r="J1008" i="2"/>
  <c r="I1008" i="2"/>
  <c r="K996" i="2"/>
  <c r="J996" i="2"/>
  <c r="I996" i="2"/>
  <c r="K984" i="2"/>
  <c r="J984" i="2"/>
  <c r="I984" i="2"/>
  <c r="K972" i="2"/>
  <c r="J972" i="2"/>
  <c r="I972" i="2"/>
  <c r="K960" i="2"/>
  <c r="I960" i="2"/>
  <c r="J960" i="2"/>
  <c r="K948" i="2"/>
  <c r="J948" i="2"/>
  <c r="I948" i="2"/>
  <c r="K936" i="2"/>
  <c r="J936" i="2"/>
  <c r="I936" i="2"/>
  <c r="K912" i="2"/>
  <c r="J912" i="2"/>
  <c r="I912" i="2"/>
  <c r="K900" i="2"/>
  <c r="J900" i="2"/>
  <c r="I900" i="2"/>
  <c r="K864" i="2"/>
  <c r="J864" i="2"/>
  <c r="I864" i="2"/>
  <c r="K828" i="2"/>
  <c r="I828" i="2"/>
  <c r="J828" i="2"/>
  <c r="K816" i="2"/>
  <c r="J816" i="2"/>
  <c r="I816" i="2"/>
  <c r="K792" i="2"/>
  <c r="J792" i="2"/>
  <c r="I792" i="2"/>
  <c r="K1751" i="2"/>
  <c r="J1751" i="2"/>
  <c r="I1751" i="2"/>
  <c r="K1739" i="2"/>
  <c r="J1739" i="2"/>
  <c r="K1727" i="2"/>
  <c r="J1727" i="2"/>
  <c r="I1727" i="2"/>
  <c r="K1715" i="2"/>
  <c r="J1715" i="2"/>
  <c r="J1703" i="2"/>
  <c r="K1703" i="2"/>
  <c r="I1703" i="2"/>
  <c r="K1691" i="2"/>
  <c r="J1691" i="2"/>
  <c r="K1679" i="2"/>
  <c r="J1679" i="2"/>
  <c r="K1667" i="2"/>
  <c r="J1667" i="2"/>
  <c r="J1655" i="2"/>
  <c r="K1655" i="2"/>
  <c r="I1655" i="2"/>
  <c r="K1643" i="2"/>
  <c r="J1643" i="2"/>
  <c r="I1643" i="2"/>
  <c r="J1631" i="2"/>
  <c r="K1631" i="2"/>
  <c r="I1631" i="2"/>
  <c r="K1619" i="2"/>
  <c r="J1619" i="2"/>
  <c r="I1619" i="2"/>
  <c r="K1607" i="2"/>
  <c r="J1607" i="2"/>
  <c r="K1595" i="2"/>
  <c r="J1595" i="2"/>
  <c r="I1595" i="2"/>
  <c r="K1583" i="2"/>
  <c r="J1583" i="2"/>
  <c r="K1571" i="2"/>
  <c r="J1571" i="2"/>
  <c r="I1571" i="2"/>
  <c r="K1559" i="2"/>
  <c r="J1559" i="2"/>
  <c r="I1559" i="2"/>
  <c r="K1547" i="2"/>
  <c r="J1547" i="2"/>
  <c r="I1547" i="2"/>
  <c r="K1535" i="2"/>
  <c r="J1535" i="2"/>
  <c r="K1523" i="2"/>
  <c r="J1523" i="2"/>
  <c r="I1523" i="2"/>
  <c r="K1511" i="2"/>
  <c r="J1511" i="2"/>
  <c r="J1499" i="2"/>
  <c r="I1499" i="2"/>
  <c r="K1499" i="2"/>
  <c r="K1487" i="2"/>
  <c r="J1487" i="2"/>
  <c r="I1487" i="2"/>
  <c r="K1475" i="2"/>
  <c r="J1475" i="2"/>
  <c r="I1475" i="2"/>
  <c r="K1463" i="2"/>
  <c r="J1463" i="2"/>
  <c r="K1451" i="2"/>
  <c r="J1451" i="2"/>
  <c r="I1451" i="2"/>
  <c r="K1439" i="2"/>
  <c r="J1439" i="2"/>
  <c r="K1427" i="2"/>
  <c r="J1427" i="2"/>
  <c r="I1427" i="2"/>
  <c r="K1415" i="2"/>
  <c r="J1415" i="2"/>
  <c r="I1415" i="2"/>
  <c r="K1403" i="2"/>
  <c r="J1403" i="2"/>
  <c r="I1403" i="2"/>
  <c r="K1391" i="2"/>
  <c r="J1391" i="2"/>
  <c r="K1379" i="2"/>
  <c r="J1379" i="2"/>
  <c r="I1379" i="2"/>
  <c r="K1642" i="2"/>
  <c r="J1642" i="2"/>
  <c r="I1642" i="2"/>
  <c r="K1618" i="2"/>
  <c r="J1618" i="2"/>
  <c r="I1618" i="2"/>
  <c r="K1606" i="2"/>
  <c r="I1606" i="2"/>
  <c r="K1582" i="2"/>
  <c r="J1582" i="2"/>
  <c r="K1558" i="2"/>
  <c r="J1558" i="2"/>
  <c r="I1558" i="2"/>
  <c r="K1534" i="2"/>
  <c r="J1534" i="2"/>
  <c r="I1534" i="2"/>
  <c r="K1498" i="2"/>
  <c r="J1498" i="2"/>
  <c r="I1498" i="2"/>
  <c r="K1414" i="2"/>
  <c r="J1414" i="2"/>
  <c r="I1414" i="2"/>
  <c r="K1402" i="2"/>
  <c r="I1402" i="2"/>
  <c r="J1402" i="2"/>
  <c r="K1378" i="2"/>
  <c r="J1378" i="2"/>
  <c r="I1378" i="2"/>
  <c r="K1354" i="2"/>
  <c r="J1354" i="2"/>
  <c r="I1354" i="2"/>
  <c r="K1342" i="2"/>
  <c r="J1342" i="2"/>
  <c r="I1342" i="2"/>
  <c r="K1330" i="2"/>
  <c r="I1330" i="2"/>
  <c r="J1330" i="2"/>
  <c r="K1294" i="2"/>
  <c r="I1294" i="2"/>
  <c r="J1294" i="2"/>
  <c r="K1761" i="2"/>
  <c r="J1761" i="2"/>
  <c r="I1761" i="2"/>
  <c r="K1749" i="2"/>
  <c r="J1749" i="2"/>
  <c r="I1749" i="2"/>
  <c r="K1737" i="2"/>
  <c r="J1737" i="2"/>
  <c r="I1737" i="2"/>
  <c r="K1725" i="2"/>
  <c r="I1725" i="2"/>
  <c r="J1725" i="2"/>
  <c r="K1713" i="2"/>
  <c r="J1713" i="2"/>
  <c r="I1713" i="2"/>
  <c r="K1701" i="2"/>
  <c r="J1701" i="2"/>
  <c r="I1701" i="2"/>
  <c r="K1689" i="2"/>
  <c r="J1689" i="2"/>
  <c r="I1689" i="2"/>
  <c r="K1677" i="2"/>
  <c r="J1677" i="2"/>
  <c r="I1677" i="2"/>
  <c r="K1665" i="2"/>
  <c r="J1665" i="2"/>
  <c r="I1665" i="2"/>
  <c r="K1653" i="2"/>
  <c r="I1653" i="2"/>
  <c r="J1653" i="2"/>
  <c r="K1641" i="2"/>
  <c r="J1641" i="2"/>
  <c r="I1641" i="2"/>
  <c r="J1629" i="2"/>
  <c r="K1629" i="2"/>
  <c r="I1629" i="2"/>
  <c r="K1617" i="2"/>
  <c r="J1617" i="2"/>
  <c r="I1617" i="2"/>
  <c r="K1605" i="2"/>
  <c r="J1605" i="2"/>
  <c r="I1605" i="2"/>
  <c r="K1593" i="2"/>
  <c r="J1593" i="2"/>
  <c r="I1593" i="2"/>
  <c r="K1581" i="2"/>
  <c r="I1581" i="2"/>
  <c r="J1581" i="2"/>
  <c r="K1569" i="2"/>
  <c r="J1569" i="2"/>
  <c r="I1569" i="2"/>
  <c r="K1557" i="2"/>
  <c r="J1557" i="2"/>
  <c r="I1557" i="2"/>
  <c r="K1545" i="2"/>
  <c r="J1545" i="2"/>
  <c r="I1545" i="2"/>
  <c r="K1533" i="2"/>
  <c r="J1533" i="2"/>
  <c r="I1533" i="2"/>
  <c r="K1521" i="2"/>
  <c r="J1521" i="2"/>
  <c r="I1521" i="2"/>
  <c r="K1509" i="2"/>
  <c r="I1509" i="2"/>
  <c r="J1509" i="2"/>
  <c r="K1497" i="2"/>
  <c r="J1497" i="2"/>
  <c r="I1497" i="2"/>
  <c r="K1485" i="2"/>
  <c r="J1485" i="2"/>
  <c r="I1485" i="2"/>
  <c r="K1473" i="2"/>
  <c r="J1473" i="2"/>
  <c r="I1473" i="2"/>
  <c r="K1461" i="2"/>
  <c r="J1461" i="2"/>
  <c r="I1461" i="2"/>
  <c r="K1449" i="2"/>
  <c r="J1449" i="2"/>
  <c r="I1449" i="2"/>
  <c r="K1437" i="2"/>
  <c r="J1437" i="2"/>
  <c r="I1437" i="2"/>
  <c r="K1425" i="2"/>
  <c r="J1425" i="2"/>
  <c r="I1425" i="2"/>
  <c r="K1413" i="2"/>
  <c r="J1413" i="2"/>
  <c r="I1413" i="2"/>
  <c r="K1401" i="2"/>
  <c r="J1401" i="2"/>
  <c r="I1401" i="2"/>
  <c r="K1389" i="2"/>
  <c r="J1389" i="2"/>
  <c r="I1389" i="2"/>
  <c r="K1377" i="2"/>
  <c r="J1377" i="2"/>
  <c r="I1377" i="2"/>
  <c r="K1365" i="2"/>
  <c r="I1365" i="2"/>
  <c r="J1365" i="2"/>
  <c r="K1353" i="2"/>
  <c r="J1353" i="2"/>
  <c r="I1353" i="2"/>
  <c r="K1341" i="2"/>
  <c r="J1341" i="2"/>
  <c r="I1341" i="2"/>
  <c r="K1329" i="2"/>
  <c r="J1329" i="2"/>
  <c r="I1329" i="2"/>
  <c r="K1317" i="2"/>
  <c r="J1317" i="2"/>
  <c r="I1317" i="2"/>
  <c r="K1305" i="2"/>
  <c r="J1305" i="2"/>
  <c r="I1305" i="2"/>
  <c r="K1293" i="2"/>
  <c r="I1293" i="2"/>
  <c r="J1293" i="2"/>
  <c r="K1281" i="2"/>
  <c r="J1281" i="2"/>
  <c r="I1281" i="2"/>
  <c r="K1269" i="2"/>
  <c r="J1269" i="2"/>
  <c r="I1269" i="2"/>
  <c r="K1257" i="2"/>
  <c r="J1257" i="2"/>
  <c r="I1257" i="2"/>
  <c r="K1245" i="2"/>
  <c r="J1245" i="2"/>
  <c r="I1245" i="2"/>
  <c r="K1233" i="2"/>
  <c r="I1233" i="2"/>
  <c r="J1233" i="2"/>
  <c r="K1221" i="2"/>
  <c r="J1221" i="2"/>
  <c r="I1221" i="2"/>
  <c r="K1209" i="2"/>
  <c r="J1209" i="2"/>
  <c r="I1209" i="2"/>
  <c r="K1197" i="2"/>
  <c r="I1197" i="2"/>
  <c r="J1197" i="2"/>
  <c r="K1185" i="2"/>
  <c r="J1185" i="2"/>
  <c r="I1185" i="2"/>
  <c r="K1173" i="2"/>
  <c r="J1173" i="2"/>
  <c r="I1173" i="2"/>
  <c r="K1161" i="2"/>
  <c r="I1161" i="2"/>
  <c r="J1161" i="2"/>
  <c r="K1149" i="2"/>
  <c r="J1149" i="2"/>
  <c r="I1149" i="2"/>
  <c r="K1137" i="2"/>
  <c r="J1137" i="2"/>
  <c r="I1137" i="2"/>
  <c r="K1125" i="2"/>
  <c r="I1125" i="2"/>
  <c r="J1125" i="2"/>
  <c r="K1113" i="2"/>
  <c r="J1113" i="2"/>
  <c r="I1113" i="2"/>
  <c r="K1101" i="2"/>
  <c r="J1101" i="2"/>
  <c r="I1101" i="2"/>
  <c r="K1089" i="2"/>
  <c r="I1089" i="2"/>
  <c r="J1089" i="2"/>
  <c r="K1077" i="2"/>
  <c r="I1077" i="2"/>
  <c r="J1077" i="2"/>
  <c r="K1065" i="2"/>
  <c r="J1065" i="2"/>
  <c r="I1065" i="2"/>
  <c r="K1053" i="2"/>
  <c r="J1053" i="2"/>
  <c r="I1053" i="2"/>
  <c r="K1041" i="2"/>
  <c r="J1041" i="2"/>
  <c r="I1041" i="2"/>
  <c r="K1029" i="2"/>
  <c r="J1029" i="2"/>
  <c r="I1029" i="2"/>
  <c r="K1017" i="2"/>
  <c r="J1017" i="2"/>
  <c r="I1017" i="2"/>
  <c r="K1005" i="2"/>
  <c r="I1005" i="2"/>
  <c r="J1005" i="2"/>
  <c r="K993" i="2"/>
  <c r="J993" i="2"/>
  <c r="I993" i="2"/>
  <c r="K981" i="2"/>
  <c r="J981" i="2"/>
  <c r="I981" i="2"/>
  <c r="K969" i="2"/>
  <c r="J969" i="2"/>
  <c r="I969" i="2"/>
  <c r="J957" i="2"/>
  <c r="K957" i="2"/>
  <c r="I957" i="2"/>
  <c r="J945" i="2"/>
  <c r="K945" i="2"/>
  <c r="I945" i="2"/>
  <c r="K933" i="2"/>
  <c r="J933" i="2"/>
  <c r="I933" i="2"/>
  <c r="K921" i="2"/>
  <c r="J921" i="2"/>
  <c r="I921" i="2"/>
  <c r="K909" i="2"/>
  <c r="J909" i="2"/>
  <c r="I909" i="2"/>
  <c r="K897" i="2"/>
  <c r="J897" i="2"/>
  <c r="I897" i="2"/>
  <c r="K885" i="2"/>
  <c r="J885" i="2"/>
  <c r="I885" i="2"/>
  <c r="J873" i="2"/>
  <c r="I873" i="2"/>
  <c r="K873" i="2"/>
  <c r="J861" i="2"/>
  <c r="K861" i="2"/>
  <c r="I861" i="2"/>
  <c r="K849" i="2"/>
  <c r="J849" i="2"/>
  <c r="I849" i="2"/>
  <c r="K837" i="2"/>
  <c r="J837" i="2"/>
  <c r="I837" i="2"/>
  <c r="K825" i="2"/>
  <c r="J825" i="2"/>
  <c r="I825" i="2"/>
  <c r="K813" i="2"/>
  <c r="J813" i="2"/>
  <c r="I813" i="2"/>
  <c r="K801" i="2"/>
  <c r="J801" i="2"/>
  <c r="I801" i="2"/>
  <c r="K789" i="2"/>
  <c r="J789" i="2"/>
  <c r="I789" i="2"/>
  <c r="K777" i="2"/>
  <c r="J777" i="2"/>
  <c r="I777" i="2"/>
  <c r="J765" i="2"/>
  <c r="K765" i="2"/>
  <c r="I765" i="2"/>
  <c r="K753" i="2"/>
  <c r="J753" i="2"/>
  <c r="I753" i="2"/>
  <c r="K741" i="2"/>
  <c r="J741" i="2"/>
  <c r="I741" i="2"/>
  <c r="K729" i="2"/>
  <c r="J729" i="2"/>
  <c r="I729" i="2"/>
  <c r="K717" i="2"/>
  <c r="J717" i="2"/>
  <c r="I717" i="2"/>
  <c r="J705" i="2"/>
  <c r="I705" i="2"/>
  <c r="K705" i="2"/>
  <c r="K693" i="2"/>
  <c r="J693" i="2"/>
  <c r="I693" i="2"/>
  <c r="J681" i="2"/>
  <c r="I681" i="2"/>
  <c r="K681" i="2"/>
  <c r="K669" i="2"/>
  <c r="J669" i="2"/>
  <c r="I669" i="2"/>
  <c r="K657" i="2"/>
  <c r="J657" i="2"/>
  <c r="I657" i="2"/>
  <c r="K645" i="2"/>
  <c r="J645" i="2"/>
  <c r="I645" i="2"/>
  <c r="K633" i="2"/>
  <c r="J633" i="2"/>
  <c r="I633" i="2"/>
  <c r="K621" i="2"/>
  <c r="J621" i="2"/>
  <c r="I621" i="2"/>
  <c r="K609" i="2"/>
  <c r="J609" i="2"/>
  <c r="I609" i="2"/>
  <c r="K597" i="2"/>
  <c r="J597" i="2"/>
  <c r="I597" i="2"/>
  <c r="J585" i="2"/>
  <c r="K585" i="2"/>
  <c r="I585" i="2"/>
  <c r="K573" i="2"/>
  <c r="J573" i="2"/>
  <c r="I573" i="2"/>
  <c r="K561" i="2"/>
  <c r="J561" i="2"/>
  <c r="I561" i="2"/>
  <c r="K549" i="2"/>
  <c r="J549" i="2"/>
  <c r="I549" i="2"/>
  <c r="J537" i="2"/>
  <c r="K537" i="2"/>
  <c r="I537" i="2"/>
  <c r="K525" i="2"/>
  <c r="J525" i="2"/>
  <c r="I525" i="2"/>
  <c r="K513" i="2"/>
  <c r="J513" i="2"/>
  <c r="I513" i="2"/>
  <c r="K501" i="2"/>
  <c r="J501" i="2"/>
  <c r="I501" i="2"/>
  <c r="K489" i="2"/>
  <c r="J489" i="2"/>
  <c r="I489" i="2"/>
  <c r="K477" i="2"/>
  <c r="J477" i="2"/>
  <c r="I477" i="2"/>
  <c r="K465" i="2"/>
  <c r="J465" i="2"/>
  <c r="I465" i="2"/>
  <c r="K453" i="2"/>
  <c r="J453" i="2"/>
  <c r="I453" i="2"/>
  <c r="K441" i="2"/>
  <c r="J441" i="2"/>
  <c r="I441" i="2"/>
  <c r="K429" i="2"/>
  <c r="J429" i="2"/>
  <c r="I429" i="2"/>
  <c r="J417" i="2"/>
  <c r="K417" i="2"/>
  <c r="I417" i="2"/>
  <c r="K405" i="2"/>
  <c r="J405" i="2"/>
  <c r="I405" i="2"/>
  <c r="J393" i="2"/>
  <c r="K393" i="2"/>
  <c r="I393" i="2"/>
  <c r="K381" i="2"/>
  <c r="J381" i="2"/>
  <c r="I381" i="2"/>
  <c r="K369" i="2"/>
  <c r="J369" i="2"/>
  <c r="I369" i="2"/>
  <c r="K357" i="2"/>
  <c r="J357" i="2"/>
  <c r="I357" i="2"/>
  <c r="K345" i="2"/>
  <c r="J345" i="2"/>
  <c r="I345" i="2"/>
  <c r="K333" i="2"/>
  <c r="J333" i="2"/>
  <c r="I333" i="2"/>
  <c r="K321" i="2"/>
  <c r="J321" i="2"/>
  <c r="I321" i="2"/>
  <c r="K309" i="2"/>
  <c r="J309" i="2"/>
  <c r="I309" i="2"/>
  <c r="J297" i="2"/>
  <c r="K297" i="2"/>
  <c r="I297" i="2"/>
  <c r="K285" i="2"/>
  <c r="J285" i="2"/>
  <c r="I285" i="2"/>
  <c r="K273" i="2"/>
  <c r="J273" i="2"/>
  <c r="I273" i="2"/>
  <c r="K261" i="2"/>
  <c r="J261" i="2"/>
  <c r="I261" i="2"/>
  <c r="J249" i="2"/>
  <c r="K249" i="2"/>
  <c r="I249" i="2"/>
  <c r="K237" i="2"/>
  <c r="J237" i="2"/>
  <c r="I237" i="2"/>
  <c r="K225" i="2"/>
  <c r="J225" i="2"/>
  <c r="I225" i="2"/>
  <c r="K213" i="2"/>
  <c r="J213" i="2"/>
  <c r="I213" i="2"/>
  <c r="K201" i="2"/>
  <c r="J201" i="2"/>
  <c r="I201" i="2"/>
  <c r="K189" i="2"/>
  <c r="J189" i="2"/>
  <c r="I189" i="2"/>
  <c r="K177" i="2"/>
  <c r="J177" i="2"/>
  <c r="I177" i="2"/>
  <c r="K165" i="2"/>
  <c r="J165" i="2"/>
  <c r="I165" i="2"/>
  <c r="K153" i="2"/>
  <c r="J153" i="2"/>
  <c r="I153" i="2"/>
  <c r="K141" i="2"/>
  <c r="J141" i="2"/>
  <c r="I141" i="2"/>
  <c r="J129" i="2"/>
  <c r="K129" i="2"/>
  <c r="I129" i="2"/>
  <c r="K117" i="2"/>
  <c r="J117" i="2"/>
  <c r="I117" i="2"/>
  <c r="J105" i="2"/>
  <c r="K105" i="2"/>
  <c r="I105" i="2"/>
  <c r="K93" i="2"/>
  <c r="J93" i="2"/>
  <c r="I93" i="2"/>
  <c r="K81" i="2"/>
  <c r="J81" i="2"/>
  <c r="I81" i="2"/>
  <c r="K69" i="2"/>
  <c r="J69" i="2"/>
  <c r="I69" i="2"/>
  <c r="K57" i="2"/>
  <c r="J57" i="2"/>
  <c r="I57" i="2"/>
  <c r="I1754" i="2"/>
  <c r="I1719" i="2"/>
  <c r="I1691" i="2"/>
  <c r="I1596" i="2"/>
  <c r="I1538" i="2"/>
  <c r="I1481" i="2"/>
  <c r="I1423" i="2"/>
  <c r="I1366" i="2"/>
  <c r="I1273" i="2"/>
  <c r="I1129" i="2"/>
  <c r="I853" i="2"/>
  <c r="I486" i="2"/>
  <c r="J219" i="2"/>
  <c r="I1668" i="2"/>
  <c r="K1668" i="2"/>
  <c r="J1668" i="2"/>
  <c r="K1644" i="2"/>
  <c r="J1644" i="2"/>
  <c r="I1644" i="2"/>
  <c r="K1620" i="2"/>
  <c r="J1620" i="2"/>
  <c r="I1620" i="2"/>
  <c r="J1572" i="2"/>
  <c r="K1572" i="2"/>
  <c r="I1572" i="2"/>
  <c r="K1524" i="2"/>
  <c r="J1524" i="2"/>
  <c r="K1476" i="2"/>
  <c r="J1476" i="2"/>
  <c r="I1476" i="2"/>
  <c r="K1440" i="2"/>
  <c r="J1440" i="2"/>
  <c r="I1440" i="2"/>
  <c r="K1404" i="2"/>
  <c r="J1404" i="2"/>
  <c r="I1404" i="2"/>
  <c r="K1392" i="2"/>
  <c r="J1392" i="2"/>
  <c r="I1392" i="2"/>
  <c r="K1380" i="2"/>
  <c r="J1380" i="2"/>
  <c r="K1368" i="2"/>
  <c r="J1368" i="2"/>
  <c r="I1368" i="2"/>
  <c r="K1344" i="2"/>
  <c r="J1344" i="2"/>
  <c r="I1344" i="2"/>
  <c r="K1332" i="2"/>
  <c r="I1332" i="2"/>
  <c r="J1332" i="2"/>
  <c r="K1296" i="2"/>
  <c r="J1296" i="2"/>
  <c r="I1296" i="2"/>
  <c r="K924" i="2"/>
  <c r="J924" i="2"/>
  <c r="I924" i="2"/>
  <c r="K888" i="2"/>
  <c r="J888" i="2"/>
  <c r="I888" i="2"/>
  <c r="K876" i="2"/>
  <c r="J876" i="2"/>
  <c r="I876" i="2"/>
  <c r="K852" i="2"/>
  <c r="J852" i="2"/>
  <c r="I852" i="2"/>
  <c r="K840" i="2"/>
  <c r="I840" i="2"/>
  <c r="J840" i="2"/>
  <c r="K804" i="2"/>
  <c r="J804" i="2"/>
  <c r="I804" i="2"/>
  <c r="K1763" i="2"/>
  <c r="J1763" i="2"/>
  <c r="I1763" i="2"/>
  <c r="K1367" i="2"/>
  <c r="J1367" i="2"/>
  <c r="K1355" i="2"/>
  <c r="J1355" i="2"/>
  <c r="I1355" i="2"/>
  <c r="K1283" i="2"/>
  <c r="J1283" i="2"/>
  <c r="I1283" i="2"/>
  <c r="K1271" i="2"/>
  <c r="J1271" i="2"/>
  <c r="I1271" i="2"/>
  <c r="K1259" i="2"/>
  <c r="J1259" i="2"/>
  <c r="I1259" i="2"/>
  <c r="K1247" i="2"/>
  <c r="J1247" i="2"/>
  <c r="I1247" i="2"/>
  <c r="J1235" i="2"/>
  <c r="I1235" i="2"/>
  <c r="K1235" i="2"/>
  <c r="K1223" i="2"/>
  <c r="J1223" i="2"/>
  <c r="I1223" i="2"/>
  <c r="J1199" i="2"/>
  <c r="K1199" i="2"/>
  <c r="I1199" i="2"/>
  <c r="K1187" i="2"/>
  <c r="J1187" i="2"/>
  <c r="I1187" i="2"/>
  <c r="K1163" i="2"/>
  <c r="J1163" i="2"/>
  <c r="I1163" i="2"/>
  <c r="K1139" i="2"/>
  <c r="J1139" i="2"/>
  <c r="I1139" i="2"/>
  <c r="K1115" i="2"/>
  <c r="J1115" i="2"/>
  <c r="I1115" i="2"/>
  <c r="K1091" i="2"/>
  <c r="J1091" i="2"/>
  <c r="I1091" i="2"/>
  <c r="K1079" i="2"/>
  <c r="J1079" i="2"/>
  <c r="I1079" i="2"/>
  <c r="K1055" i="2"/>
  <c r="J1055" i="2"/>
  <c r="I1055" i="2"/>
  <c r="K1019" i="2"/>
  <c r="J1019" i="2"/>
  <c r="I1019" i="2"/>
  <c r="K1007" i="2"/>
  <c r="J1007" i="2"/>
  <c r="I1007" i="2"/>
  <c r="K983" i="2"/>
  <c r="J983" i="2"/>
  <c r="I983" i="2"/>
  <c r="K971" i="2"/>
  <c r="J971" i="2"/>
  <c r="I971" i="2"/>
  <c r="J899" i="2"/>
  <c r="K899" i="2"/>
  <c r="I899" i="2"/>
  <c r="K887" i="2"/>
  <c r="J887" i="2"/>
  <c r="I887" i="2"/>
  <c r="K863" i="2"/>
  <c r="J863" i="2"/>
  <c r="I863" i="2"/>
  <c r="K1714" i="2"/>
  <c r="J1714" i="2"/>
  <c r="I1714" i="2"/>
  <c r="K1690" i="2"/>
  <c r="J1690" i="2"/>
  <c r="I1690" i="2"/>
  <c r="J1666" i="2"/>
  <c r="K1666" i="2"/>
  <c r="K1594" i="2"/>
  <c r="J1594" i="2"/>
  <c r="I1594" i="2"/>
  <c r="K1570" i="2"/>
  <c r="J1570" i="2"/>
  <c r="I1570" i="2"/>
  <c r="K1546" i="2"/>
  <c r="J1546" i="2"/>
  <c r="I1546" i="2"/>
  <c r="K1522" i="2"/>
  <c r="I1522" i="2"/>
  <c r="K1760" i="2"/>
  <c r="J1760" i="2"/>
  <c r="I1760" i="2"/>
  <c r="K1748" i="2"/>
  <c r="I1748" i="2"/>
  <c r="J1748" i="2"/>
  <c r="K1736" i="2"/>
  <c r="J1736" i="2"/>
  <c r="I1736" i="2"/>
  <c r="K1724" i="2"/>
  <c r="J1724" i="2"/>
  <c r="I1724" i="2"/>
  <c r="K1712" i="2"/>
  <c r="J1712" i="2"/>
  <c r="K1700" i="2"/>
  <c r="J1700" i="2"/>
  <c r="I1700" i="2"/>
  <c r="K1688" i="2"/>
  <c r="J1688" i="2"/>
  <c r="K1676" i="2"/>
  <c r="I1676" i="2"/>
  <c r="J1676" i="2"/>
  <c r="K1664" i="2"/>
  <c r="J1664" i="2"/>
  <c r="I1664" i="2"/>
  <c r="K1652" i="2"/>
  <c r="J1652" i="2"/>
  <c r="K1640" i="2"/>
  <c r="J1640" i="2"/>
  <c r="K1628" i="2"/>
  <c r="J1628" i="2"/>
  <c r="I1628" i="2"/>
  <c r="K1616" i="2"/>
  <c r="J1616" i="2"/>
  <c r="I1616" i="2"/>
  <c r="K1604" i="2"/>
  <c r="I1604" i="2"/>
  <c r="J1604" i="2"/>
  <c r="K1592" i="2"/>
  <c r="J1592" i="2"/>
  <c r="K1580" i="2"/>
  <c r="J1580" i="2"/>
  <c r="I1580" i="2"/>
  <c r="K1568" i="2"/>
  <c r="J1568" i="2"/>
  <c r="K1556" i="2"/>
  <c r="J1556" i="2"/>
  <c r="I1556" i="2"/>
  <c r="J1544" i="2"/>
  <c r="K1544" i="2"/>
  <c r="I1544" i="2"/>
  <c r="K1532" i="2"/>
  <c r="J1532" i="2"/>
  <c r="I1532" i="2"/>
  <c r="K1520" i="2"/>
  <c r="J1520" i="2"/>
  <c r="K1508" i="2"/>
  <c r="J1508" i="2"/>
  <c r="I1508" i="2"/>
  <c r="K1496" i="2"/>
  <c r="J1496" i="2"/>
  <c r="K1484" i="2"/>
  <c r="J1484" i="2"/>
  <c r="I1484" i="2"/>
  <c r="K1472" i="2"/>
  <c r="J1472" i="2"/>
  <c r="I1472" i="2"/>
  <c r="K1460" i="2"/>
  <c r="J1460" i="2"/>
  <c r="I1460" i="2"/>
  <c r="K1448" i="2"/>
  <c r="J1448" i="2"/>
  <c r="K1436" i="2"/>
  <c r="I1436" i="2"/>
  <c r="K1424" i="2"/>
  <c r="J1424" i="2"/>
  <c r="K1412" i="2"/>
  <c r="J1412" i="2"/>
  <c r="I1412" i="2"/>
  <c r="K1400" i="2"/>
  <c r="J1400" i="2"/>
  <c r="I1400" i="2"/>
  <c r="K1388" i="2"/>
  <c r="J1388" i="2"/>
  <c r="I1388" i="2"/>
  <c r="K1376" i="2"/>
  <c r="J1376" i="2"/>
  <c r="K1364" i="2"/>
  <c r="J1364" i="2"/>
  <c r="I1364" i="2"/>
  <c r="K1352" i="2"/>
  <c r="J1352" i="2"/>
  <c r="J1340" i="2"/>
  <c r="K1340" i="2"/>
  <c r="I1340" i="2"/>
  <c r="K1328" i="2"/>
  <c r="J1328" i="2"/>
  <c r="I1328" i="2"/>
  <c r="K1316" i="2"/>
  <c r="J1316" i="2"/>
  <c r="I1316" i="2"/>
  <c r="K1304" i="2"/>
  <c r="J1304" i="2"/>
  <c r="I1304" i="2"/>
  <c r="K1292" i="2"/>
  <c r="I1292" i="2"/>
  <c r="J1292" i="2"/>
  <c r="K1280" i="2"/>
  <c r="J1280" i="2"/>
  <c r="I1280" i="2"/>
  <c r="K1268" i="2"/>
  <c r="J1268" i="2"/>
  <c r="I1268" i="2"/>
  <c r="K1256" i="2"/>
  <c r="J1256" i="2"/>
  <c r="I1256" i="2"/>
  <c r="K1244" i="2"/>
  <c r="I1244" i="2"/>
  <c r="J1244" i="2"/>
  <c r="K1232" i="2"/>
  <c r="J1232" i="2"/>
  <c r="I1232" i="2"/>
  <c r="K1220" i="2"/>
  <c r="J1220" i="2"/>
  <c r="I1220" i="2"/>
  <c r="K1208" i="2"/>
  <c r="J1208" i="2"/>
  <c r="I1208" i="2"/>
  <c r="K1196" i="2"/>
  <c r="J1196" i="2"/>
  <c r="I1196" i="2"/>
  <c r="K1184" i="2"/>
  <c r="J1184" i="2"/>
  <c r="I1184" i="2"/>
  <c r="K1172" i="2"/>
  <c r="J1172" i="2"/>
  <c r="I1172" i="2"/>
  <c r="K1160" i="2"/>
  <c r="I1160" i="2"/>
  <c r="J1160" i="2"/>
  <c r="K1148" i="2"/>
  <c r="J1148" i="2"/>
  <c r="I1148" i="2"/>
  <c r="K1136" i="2"/>
  <c r="I1136" i="2"/>
  <c r="J1136" i="2"/>
  <c r="K1124" i="2"/>
  <c r="J1124" i="2"/>
  <c r="I1124" i="2"/>
  <c r="K1112" i="2"/>
  <c r="J1112" i="2"/>
  <c r="I1112" i="2"/>
  <c r="J1100" i="2"/>
  <c r="K1100" i="2"/>
  <c r="I1100" i="2"/>
  <c r="K1088" i="2"/>
  <c r="J1088" i="2"/>
  <c r="I1088" i="2"/>
  <c r="K1076" i="2"/>
  <c r="J1076" i="2"/>
  <c r="I1076" i="2"/>
  <c r="K1064" i="2"/>
  <c r="J1064" i="2"/>
  <c r="I1064" i="2"/>
  <c r="K1052" i="2"/>
  <c r="J1052" i="2"/>
  <c r="I1052" i="2"/>
  <c r="K1040" i="2"/>
  <c r="J1040" i="2"/>
  <c r="I1040" i="2"/>
  <c r="K1028" i="2"/>
  <c r="I1028" i="2"/>
  <c r="J1028" i="2"/>
  <c r="K1016" i="2"/>
  <c r="J1016" i="2"/>
  <c r="I1016" i="2"/>
  <c r="K1004" i="2"/>
  <c r="J1004" i="2"/>
  <c r="I1004" i="2"/>
  <c r="K992" i="2"/>
  <c r="J992" i="2"/>
  <c r="I992" i="2"/>
  <c r="K980" i="2"/>
  <c r="J980" i="2"/>
  <c r="I980" i="2"/>
  <c r="K968" i="2"/>
  <c r="J968" i="2"/>
  <c r="I968" i="2"/>
  <c r="K956" i="2"/>
  <c r="J956" i="2"/>
  <c r="I956" i="2"/>
  <c r="K944" i="2"/>
  <c r="J944" i="2"/>
  <c r="I944" i="2"/>
  <c r="K932" i="2"/>
  <c r="J932" i="2"/>
  <c r="I932" i="2"/>
  <c r="K920" i="2"/>
  <c r="J920" i="2"/>
  <c r="I920" i="2"/>
  <c r="K908" i="2"/>
  <c r="J908" i="2"/>
  <c r="I908" i="2"/>
  <c r="K896" i="2"/>
  <c r="J896" i="2"/>
  <c r="I896" i="2"/>
  <c r="K884" i="2"/>
  <c r="J884" i="2"/>
  <c r="I884" i="2"/>
  <c r="K872" i="2"/>
  <c r="J872" i="2"/>
  <c r="I872" i="2"/>
  <c r="K860" i="2"/>
  <c r="I860" i="2"/>
  <c r="J860" i="2"/>
  <c r="K848" i="2"/>
  <c r="J848" i="2"/>
  <c r="I848" i="2"/>
  <c r="K836" i="2"/>
  <c r="J836" i="2"/>
  <c r="I836" i="2"/>
  <c r="K824" i="2"/>
  <c r="J824" i="2"/>
  <c r="I824" i="2"/>
  <c r="K812" i="2"/>
  <c r="J812" i="2"/>
  <c r="I812" i="2"/>
  <c r="K800" i="2"/>
  <c r="J800" i="2"/>
  <c r="I800" i="2"/>
  <c r="K788" i="2"/>
  <c r="J788" i="2"/>
  <c r="I788" i="2"/>
  <c r="K776" i="2"/>
  <c r="J776" i="2"/>
  <c r="K764" i="2"/>
  <c r="J764" i="2"/>
  <c r="I764" i="2"/>
  <c r="K752" i="2"/>
  <c r="J752" i="2"/>
  <c r="I752" i="2"/>
  <c r="K740" i="2"/>
  <c r="J740" i="2"/>
  <c r="I740" i="2"/>
  <c r="K728" i="2"/>
  <c r="J728" i="2"/>
  <c r="I728" i="2"/>
  <c r="K716" i="2"/>
  <c r="J716" i="2"/>
  <c r="I716" i="2"/>
  <c r="K704" i="2"/>
  <c r="J704" i="2"/>
  <c r="I704" i="2"/>
  <c r="K692" i="2"/>
  <c r="J692" i="2"/>
  <c r="I692" i="2"/>
  <c r="K680" i="2"/>
  <c r="J680" i="2"/>
  <c r="I680" i="2"/>
  <c r="K668" i="2"/>
  <c r="J668" i="2"/>
  <c r="I668" i="2"/>
  <c r="K656" i="2"/>
  <c r="J656" i="2"/>
  <c r="I656" i="2"/>
  <c r="K644" i="2"/>
  <c r="J644" i="2"/>
  <c r="I644" i="2"/>
  <c r="K632" i="2"/>
  <c r="J632" i="2"/>
  <c r="I632" i="2"/>
  <c r="K620" i="2"/>
  <c r="J620" i="2"/>
  <c r="I620" i="2"/>
  <c r="K608" i="2"/>
  <c r="J608" i="2"/>
  <c r="I608" i="2"/>
  <c r="K596" i="2"/>
  <c r="J596" i="2"/>
  <c r="I596" i="2"/>
  <c r="K584" i="2"/>
  <c r="I584" i="2"/>
  <c r="J584" i="2"/>
  <c r="K572" i="2"/>
  <c r="J572" i="2"/>
  <c r="I572" i="2"/>
  <c r="K560" i="2"/>
  <c r="J560" i="2"/>
  <c r="I560" i="2"/>
  <c r="K548" i="2"/>
  <c r="J548" i="2"/>
  <c r="I548" i="2"/>
  <c r="K536" i="2"/>
  <c r="J536" i="2"/>
  <c r="I536" i="2"/>
  <c r="K524" i="2"/>
  <c r="J524" i="2"/>
  <c r="I524" i="2"/>
  <c r="K512" i="2"/>
  <c r="I512" i="2"/>
  <c r="J512" i="2"/>
  <c r="K500" i="2"/>
  <c r="J500" i="2"/>
  <c r="I500" i="2"/>
  <c r="K488" i="2"/>
  <c r="J488" i="2"/>
  <c r="I488" i="2"/>
  <c r="K476" i="2"/>
  <c r="J476" i="2"/>
  <c r="I476" i="2"/>
  <c r="K464" i="2"/>
  <c r="J464" i="2"/>
  <c r="I464" i="2"/>
  <c r="K452" i="2"/>
  <c r="J452" i="2"/>
  <c r="I452" i="2"/>
  <c r="K440" i="2"/>
  <c r="J440" i="2"/>
  <c r="I440" i="2"/>
  <c r="K428" i="2"/>
  <c r="J428" i="2"/>
  <c r="I428" i="2"/>
  <c r="K416" i="2"/>
  <c r="J416" i="2"/>
  <c r="I416" i="2"/>
  <c r="K404" i="2"/>
  <c r="J404" i="2"/>
  <c r="I404" i="2"/>
  <c r="K392" i="2"/>
  <c r="J392" i="2"/>
  <c r="I392" i="2"/>
  <c r="K380" i="2"/>
  <c r="J380" i="2"/>
  <c r="I380" i="2"/>
  <c r="K368" i="2"/>
  <c r="J368" i="2"/>
  <c r="I368" i="2"/>
  <c r="K356" i="2"/>
  <c r="J356" i="2"/>
  <c r="I356" i="2"/>
  <c r="K344" i="2"/>
  <c r="J344" i="2"/>
  <c r="I344" i="2"/>
  <c r="K332" i="2"/>
  <c r="J332" i="2"/>
  <c r="I332" i="2"/>
  <c r="K320" i="2"/>
  <c r="J320" i="2"/>
  <c r="I320" i="2"/>
  <c r="K308" i="2"/>
  <c r="J308" i="2"/>
  <c r="I308" i="2"/>
  <c r="K296" i="2"/>
  <c r="J296" i="2"/>
  <c r="I296" i="2"/>
  <c r="K284" i="2"/>
  <c r="J284" i="2"/>
  <c r="I284" i="2"/>
  <c r="K272" i="2"/>
  <c r="J272" i="2"/>
  <c r="I272" i="2"/>
  <c r="K260" i="2"/>
  <c r="J260" i="2"/>
  <c r="I260" i="2"/>
  <c r="K248" i="2"/>
  <c r="J248" i="2"/>
  <c r="I248" i="2"/>
  <c r="K236" i="2"/>
  <c r="J236" i="2"/>
  <c r="I236" i="2"/>
  <c r="K224" i="2"/>
  <c r="J224" i="2"/>
  <c r="I224" i="2"/>
  <c r="K212" i="2"/>
  <c r="J212" i="2"/>
  <c r="I212" i="2"/>
  <c r="K200" i="2"/>
  <c r="J200" i="2"/>
  <c r="I200" i="2"/>
  <c r="K188" i="2"/>
  <c r="J188" i="2"/>
  <c r="I188" i="2"/>
  <c r="K176" i="2"/>
  <c r="J176" i="2"/>
  <c r="I176" i="2"/>
  <c r="K164" i="2"/>
  <c r="J164" i="2"/>
  <c r="I164" i="2"/>
  <c r="K152" i="2"/>
  <c r="J152" i="2"/>
  <c r="I152" i="2"/>
  <c r="K140" i="2"/>
  <c r="J140" i="2"/>
  <c r="I140" i="2"/>
  <c r="K128" i="2"/>
  <c r="J128" i="2"/>
  <c r="I128" i="2"/>
  <c r="K116" i="2"/>
  <c r="J116" i="2"/>
  <c r="I116" i="2"/>
  <c r="K104" i="2"/>
  <c r="J104" i="2"/>
  <c r="I104" i="2"/>
  <c r="K92" i="2"/>
  <c r="J92" i="2"/>
  <c r="I92" i="2"/>
  <c r="K80" i="2"/>
  <c r="J80" i="2"/>
  <c r="I80" i="2"/>
  <c r="K68" i="2"/>
  <c r="J68" i="2"/>
  <c r="I68" i="2"/>
  <c r="K56" i="2"/>
  <c r="J56" i="2"/>
  <c r="I56" i="2"/>
  <c r="K44" i="2"/>
  <c r="J44" i="2"/>
  <c r="I44" i="2"/>
  <c r="K32" i="2"/>
  <c r="J32" i="2"/>
  <c r="I32" i="2"/>
  <c r="K20" i="2"/>
  <c r="J20" i="2"/>
  <c r="I20" i="2"/>
  <c r="I1752" i="2"/>
  <c r="I1718" i="2"/>
  <c r="I1688" i="2"/>
  <c r="I1649" i="2"/>
  <c r="I1592" i="2"/>
  <c r="I1535" i="2"/>
  <c r="I1477" i="2"/>
  <c r="I1420" i="2"/>
  <c r="I1362" i="2"/>
  <c r="I1267" i="2"/>
  <c r="I1111" i="2"/>
  <c r="I829" i="2"/>
  <c r="I450" i="2"/>
  <c r="J1692" i="2"/>
  <c r="K1599" i="2"/>
  <c r="K4" i="2"/>
  <c r="J4" i="2"/>
  <c r="I4" i="2"/>
  <c r="K50" i="2"/>
  <c r="J50" i="2"/>
  <c r="K38" i="2"/>
  <c r="J38" i="2"/>
  <c r="K26" i="2"/>
  <c r="J26" i="2"/>
  <c r="I26" i="2"/>
  <c r="K14" i="2"/>
  <c r="J14" i="2"/>
  <c r="K2" i="2"/>
  <c r="J2" i="2"/>
  <c r="I2" i="2"/>
  <c r="I38" i="2"/>
  <c r="K12" i="2"/>
  <c r="J12" i="2"/>
  <c r="K71" i="2"/>
  <c r="J71" i="2"/>
  <c r="K59" i="2"/>
  <c r="J59" i="2"/>
  <c r="K47" i="2"/>
  <c r="J47" i="2"/>
  <c r="I47" i="2"/>
  <c r="K35" i="2"/>
  <c r="J35" i="2"/>
  <c r="I35" i="2"/>
  <c r="K23" i="2"/>
  <c r="J23" i="2"/>
  <c r="I23" i="2"/>
  <c r="K11" i="2"/>
  <c r="J11" i="2"/>
  <c r="I11" i="2"/>
  <c r="K10" i="2"/>
  <c r="J10" i="2"/>
  <c r="I10" i="2"/>
  <c r="K45" i="2"/>
  <c r="J45" i="2"/>
  <c r="I45" i="2"/>
  <c r="K33" i="2"/>
  <c r="I33" i="2"/>
  <c r="J33" i="2"/>
  <c r="K21" i="2"/>
  <c r="J21" i="2"/>
  <c r="I21" i="2"/>
  <c r="I71" i="2"/>
  <c r="K8" i="2"/>
  <c r="J8" i="2"/>
  <c r="I8" i="2"/>
  <c r="I14" i="2"/>
  <c r="K9" i="2"/>
  <c r="J9" i="2"/>
  <c r="I9" i="2"/>
</calcChain>
</file>

<file path=xl/sharedStrings.xml><?xml version="1.0" encoding="utf-8"?>
<sst xmlns="http://schemas.openxmlformats.org/spreadsheetml/2006/main" count="10723" uniqueCount="125">
  <si>
    <t>Year</t>
  </si>
  <si>
    <t>Month</t>
  </si>
  <si>
    <t>Area</t>
  </si>
  <si>
    <t>Category</t>
  </si>
  <si>
    <t>Weight</t>
  </si>
  <si>
    <t>CPI_Index</t>
  </si>
  <si>
    <t>Inflation_Percent</t>
  </si>
  <si>
    <t>January</t>
  </si>
  <si>
    <t>Rural</t>
  </si>
  <si>
    <t>General</t>
  </si>
  <si>
    <t>Food &amp; Beverages</t>
  </si>
  <si>
    <t>Pan, Tobacco &amp; Intoxicants</t>
  </si>
  <si>
    <t>Clothing &amp; Footwear</t>
  </si>
  <si>
    <t>Housing</t>
  </si>
  <si>
    <t>Fuel &amp; Light</t>
  </si>
  <si>
    <t>Miscellaneous</t>
  </si>
  <si>
    <t>Urban</t>
  </si>
  <si>
    <t>Combined</t>
  </si>
  <si>
    <t>February</t>
  </si>
  <si>
    <t>March</t>
  </si>
  <si>
    <t>April</t>
  </si>
  <si>
    <t>May</t>
  </si>
  <si>
    <t>June</t>
  </si>
  <si>
    <t>July</t>
  </si>
  <si>
    <t>August</t>
  </si>
  <si>
    <t>September</t>
  </si>
  <si>
    <t>October</t>
  </si>
  <si>
    <t>November</t>
  </si>
  <si>
    <t>December</t>
  </si>
  <si>
    <t>Date</t>
  </si>
  <si>
    <t>Month_No</t>
  </si>
  <si>
    <t>Quarter</t>
  </si>
  <si>
    <t>Year_Month</t>
  </si>
  <si>
    <t>Inflation_Level</t>
  </si>
  <si>
    <t>Row Labels</t>
  </si>
  <si>
    <t>Apr-2019</t>
  </si>
  <si>
    <t>Apr-2020</t>
  </si>
  <si>
    <t>Apr-2021</t>
  </si>
  <si>
    <t>Apr-2022</t>
  </si>
  <si>
    <t>Apr-2023</t>
  </si>
  <si>
    <t>Apr-2024</t>
  </si>
  <si>
    <t>Apr-2025</t>
  </si>
  <si>
    <t>Aug-2019</t>
  </si>
  <si>
    <t>Aug-2020</t>
  </si>
  <si>
    <t>Aug-2021</t>
  </si>
  <si>
    <t>Aug-2022</t>
  </si>
  <si>
    <t>Aug-2023</t>
  </si>
  <si>
    <t>Aug-2024</t>
  </si>
  <si>
    <t>Aug-2025</t>
  </si>
  <si>
    <t>Dec-2019</t>
  </si>
  <si>
    <t>Dec-2020</t>
  </si>
  <si>
    <t>Dec-2021</t>
  </si>
  <si>
    <t>Dec-2022</t>
  </si>
  <si>
    <t>Dec-2023</t>
  </si>
  <si>
    <t>Dec-2024</t>
  </si>
  <si>
    <t>Dec-2025</t>
  </si>
  <si>
    <t>Feb-2019</t>
  </si>
  <si>
    <t>Feb-2020</t>
  </si>
  <si>
    <t>Feb-2021</t>
  </si>
  <si>
    <t>Feb-2022</t>
  </si>
  <si>
    <t>Feb-2023</t>
  </si>
  <si>
    <t>Feb-2024</t>
  </si>
  <si>
    <t>Feb-2025</t>
  </si>
  <si>
    <t>Jan-2019</t>
  </si>
  <si>
    <t>Jan-2020</t>
  </si>
  <si>
    <t>Jan-2021</t>
  </si>
  <si>
    <t>Jan-2022</t>
  </si>
  <si>
    <t>Jan-2023</t>
  </si>
  <si>
    <t>Jan-2024</t>
  </si>
  <si>
    <t>Jan-2025</t>
  </si>
  <si>
    <t>Jul-2019</t>
  </si>
  <si>
    <t>Jul-2020</t>
  </si>
  <si>
    <t>Jul-2021</t>
  </si>
  <si>
    <t>Jul-2022</t>
  </si>
  <si>
    <t>Jul-2023</t>
  </si>
  <si>
    <t>Jul-2024</t>
  </si>
  <si>
    <t>Jul-2025</t>
  </si>
  <si>
    <t>Jun-2019</t>
  </si>
  <si>
    <t>Jun-2020</t>
  </si>
  <si>
    <t>Jun-2021</t>
  </si>
  <si>
    <t>Jun-2022</t>
  </si>
  <si>
    <t>Jun-2023</t>
  </si>
  <si>
    <t>Jun-2024</t>
  </si>
  <si>
    <t>Jun-2025</t>
  </si>
  <si>
    <t>Mar-2019</t>
  </si>
  <si>
    <t>Mar-2020</t>
  </si>
  <si>
    <t>Mar-2021</t>
  </si>
  <si>
    <t>Mar-2022</t>
  </si>
  <si>
    <t>Mar-2023</t>
  </si>
  <si>
    <t>Mar-2024</t>
  </si>
  <si>
    <t>Mar-2025</t>
  </si>
  <si>
    <t>May-2019</t>
  </si>
  <si>
    <t>May-2020</t>
  </si>
  <si>
    <t>May-2021</t>
  </si>
  <si>
    <t>May-2022</t>
  </si>
  <si>
    <t>May-2023</t>
  </si>
  <si>
    <t>May-2024</t>
  </si>
  <si>
    <t>May-2025</t>
  </si>
  <si>
    <t>Nov-2019</t>
  </si>
  <si>
    <t>Nov-2020</t>
  </si>
  <si>
    <t>Nov-2021</t>
  </si>
  <si>
    <t>Nov-2022</t>
  </si>
  <si>
    <t>Nov-2023</t>
  </si>
  <si>
    <t>Nov-2024</t>
  </si>
  <si>
    <t>Nov-2025</t>
  </si>
  <si>
    <t>Oct-2019</t>
  </si>
  <si>
    <t>Oct-2020</t>
  </si>
  <si>
    <t>Oct-2021</t>
  </si>
  <si>
    <t>Oct-2022</t>
  </si>
  <si>
    <t>Oct-2023</t>
  </si>
  <si>
    <t>Oct-2024</t>
  </si>
  <si>
    <t>Oct-2025</t>
  </si>
  <si>
    <t>Sep-2019</t>
  </si>
  <si>
    <t>Sep-2020</t>
  </si>
  <si>
    <t>Sep-2021</t>
  </si>
  <si>
    <t>Sep-2022</t>
  </si>
  <si>
    <t>Sep-2023</t>
  </si>
  <si>
    <t>Sep-2024</t>
  </si>
  <si>
    <t>Sep-2025</t>
  </si>
  <si>
    <t>Grand Total</t>
  </si>
  <si>
    <t>Average of Inflation_Percent</t>
  </si>
  <si>
    <t>Average of CPI_Index</t>
  </si>
  <si>
    <t>Average of Weight</t>
  </si>
  <si>
    <t>Max of Inflation_Percent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</si>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</sst>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 fontId="0" fillId="0" borderId="0" xfId="0" applyNumberFormat="1"/>
    <xf numFmtId="49"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164" formatCode="m/d/yyyy"/>
    </dxf>
    <dxf>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[CPI_final_project.xlsx]Pivot_table!PivotTable2</c:name>
    <c:fmtId val="1"/>
  </c:pivotSource>
  <c:chart>
    <c:title>
      <c:tx>
        <c:rich>
          <a:bodyPr/>
          <a:lstStyle/>
          <a:p>
            <a:pPr>
              <a:defRPr/>
            </a:pPr>
            <a:r>
              <a:rPr lang="en-US"/>
              <a:t>Monthly Inflation Trend (2019–2025)</a:t>
            </a:r>
          </a:p>
        </c:rich>
      </c:tx>
      <c:overlay val="0"/>
    </c:title>
    <c:autoTitleDeleted val="0"/>
    <c:pivotFmts>
      <c:pivotFmt>
        <c:idx val="0"/>
        <c:marker>
          <c:symbol val="none"/>
        </c:marker>
      </c:pivotFmt>
      <c:pivotFmt>
        <c:idx val="1"/>
      </c:pivotFmt>
      <c:pivotFmt>
        <c:idx val="2"/>
        <c:marker>
          <c:symbol val="none"/>
        </c:marker>
        <c:dLbl>
          <c:idx val="0"/>
          <c:delete val="1"/>
          <c:extLst>
            <c:ext xmlns:c15="http://schemas.microsoft.com/office/drawing/2012/chart" uri="{CE6537A1-D6FC-4f65-9D91-7224C49458BB}"/>
          </c:extLst>
        </c:dLbl>
      </c:pivotFmt>
      <c:pivotFmt>
        <c:idx val="3"/>
      </c:pivotFmt>
    </c:pivotFmts>
    <c:plotArea>
      <c:layout/>
      <c:lineChart>
        <c:grouping val="standard"/>
        <c:varyColors val="0"/>
        <c:ser>
          <c:idx val="0"/>
          <c:order val="0"/>
          <c:tx>
            <c:strRef>
              <c:f>Pivot_table!$B$3</c:f>
              <c:strCache>
                <c:ptCount val="1"/>
                <c:pt idx="0">
                  <c:v>Total</c:v>
                </c:pt>
              </c:strCache>
            </c:strRef>
          </c:tx>
          <c:marker>
            <c:symbol val="none"/>
          </c:marker>
          <c:cat>
            <c:strRef>
              <c:f>Pivot_table!$A$4:$A$88</c:f>
              <c:strCache>
                <c:ptCount val="84"/>
                <c:pt idx="0">
                  <c:v>Apr-2019</c:v>
                </c:pt>
                <c:pt idx="1">
                  <c:v>Apr-2020</c:v>
                </c:pt>
                <c:pt idx="2">
                  <c:v>Apr-2021</c:v>
                </c:pt>
                <c:pt idx="3">
                  <c:v>Apr-2022</c:v>
                </c:pt>
                <c:pt idx="4">
                  <c:v>Apr-2023</c:v>
                </c:pt>
                <c:pt idx="5">
                  <c:v>Apr-2024</c:v>
                </c:pt>
                <c:pt idx="6">
                  <c:v>Apr-2025</c:v>
                </c:pt>
                <c:pt idx="7">
                  <c:v>Aug-2019</c:v>
                </c:pt>
                <c:pt idx="8">
                  <c:v>Aug-2020</c:v>
                </c:pt>
                <c:pt idx="9">
                  <c:v>Aug-2021</c:v>
                </c:pt>
                <c:pt idx="10">
                  <c:v>Aug-2022</c:v>
                </c:pt>
                <c:pt idx="11">
                  <c:v>Aug-2023</c:v>
                </c:pt>
                <c:pt idx="12">
                  <c:v>Aug-2024</c:v>
                </c:pt>
                <c:pt idx="13">
                  <c:v>Aug-2025</c:v>
                </c:pt>
                <c:pt idx="14">
                  <c:v>Dec-2019</c:v>
                </c:pt>
                <c:pt idx="15">
                  <c:v>Dec-2020</c:v>
                </c:pt>
                <c:pt idx="16">
                  <c:v>Dec-2021</c:v>
                </c:pt>
                <c:pt idx="17">
                  <c:v>Dec-2022</c:v>
                </c:pt>
                <c:pt idx="18">
                  <c:v>Dec-2023</c:v>
                </c:pt>
                <c:pt idx="19">
                  <c:v>Dec-2024</c:v>
                </c:pt>
                <c:pt idx="20">
                  <c:v>Dec-2025</c:v>
                </c:pt>
                <c:pt idx="21">
                  <c:v>Feb-2019</c:v>
                </c:pt>
                <c:pt idx="22">
                  <c:v>Feb-2020</c:v>
                </c:pt>
                <c:pt idx="23">
                  <c:v>Feb-2021</c:v>
                </c:pt>
                <c:pt idx="24">
                  <c:v>Feb-2022</c:v>
                </c:pt>
                <c:pt idx="25">
                  <c:v>Feb-2023</c:v>
                </c:pt>
                <c:pt idx="26">
                  <c:v>Feb-2024</c:v>
                </c:pt>
                <c:pt idx="27">
                  <c:v>Feb-2025</c:v>
                </c:pt>
                <c:pt idx="28">
                  <c:v>Jan-2019</c:v>
                </c:pt>
                <c:pt idx="29">
                  <c:v>Jan-2020</c:v>
                </c:pt>
                <c:pt idx="30">
                  <c:v>Jan-2021</c:v>
                </c:pt>
                <c:pt idx="31">
                  <c:v>Jan-2022</c:v>
                </c:pt>
                <c:pt idx="32">
                  <c:v>Jan-2023</c:v>
                </c:pt>
                <c:pt idx="33">
                  <c:v>Jan-2024</c:v>
                </c:pt>
                <c:pt idx="34">
                  <c:v>Jan-2025</c:v>
                </c:pt>
                <c:pt idx="35">
                  <c:v>Jul-2019</c:v>
                </c:pt>
                <c:pt idx="36">
                  <c:v>Jul-2020</c:v>
                </c:pt>
                <c:pt idx="37">
                  <c:v>Jul-2021</c:v>
                </c:pt>
                <c:pt idx="38">
                  <c:v>Jul-2022</c:v>
                </c:pt>
                <c:pt idx="39">
                  <c:v>Jul-2023</c:v>
                </c:pt>
                <c:pt idx="40">
                  <c:v>Jul-2024</c:v>
                </c:pt>
                <c:pt idx="41">
                  <c:v>Jul-2025</c:v>
                </c:pt>
                <c:pt idx="42">
                  <c:v>Jun-2019</c:v>
                </c:pt>
                <c:pt idx="43">
                  <c:v>Jun-2020</c:v>
                </c:pt>
                <c:pt idx="44">
                  <c:v>Jun-2021</c:v>
                </c:pt>
                <c:pt idx="45">
                  <c:v>Jun-2022</c:v>
                </c:pt>
                <c:pt idx="46">
                  <c:v>Jun-2023</c:v>
                </c:pt>
                <c:pt idx="47">
                  <c:v>Jun-2024</c:v>
                </c:pt>
                <c:pt idx="48">
                  <c:v>Jun-2025</c:v>
                </c:pt>
                <c:pt idx="49">
                  <c:v>Mar-2019</c:v>
                </c:pt>
                <c:pt idx="50">
                  <c:v>Mar-2020</c:v>
                </c:pt>
                <c:pt idx="51">
                  <c:v>Mar-2021</c:v>
                </c:pt>
                <c:pt idx="52">
                  <c:v>Mar-2022</c:v>
                </c:pt>
                <c:pt idx="53">
                  <c:v>Mar-2023</c:v>
                </c:pt>
                <c:pt idx="54">
                  <c:v>Mar-2024</c:v>
                </c:pt>
                <c:pt idx="55">
                  <c:v>Mar-2025</c:v>
                </c:pt>
                <c:pt idx="56">
                  <c:v>May-2019</c:v>
                </c:pt>
                <c:pt idx="57">
                  <c:v>May-2020</c:v>
                </c:pt>
                <c:pt idx="58">
                  <c:v>May-2021</c:v>
                </c:pt>
                <c:pt idx="59">
                  <c:v>May-2022</c:v>
                </c:pt>
                <c:pt idx="60">
                  <c:v>May-2023</c:v>
                </c:pt>
                <c:pt idx="61">
                  <c:v>May-2024</c:v>
                </c:pt>
                <c:pt idx="62">
                  <c:v>May-2025</c:v>
                </c:pt>
                <c:pt idx="63">
                  <c:v>Nov-2019</c:v>
                </c:pt>
                <c:pt idx="64">
                  <c:v>Nov-2020</c:v>
                </c:pt>
                <c:pt idx="65">
                  <c:v>Nov-2021</c:v>
                </c:pt>
                <c:pt idx="66">
                  <c:v>Nov-2022</c:v>
                </c:pt>
                <c:pt idx="67">
                  <c:v>Nov-2023</c:v>
                </c:pt>
                <c:pt idx="68">
                  <c:v>Nov-2024</c:v>
                </c:pt>
                <c:pt idx="69">
                  <c:v>Nov-2025</c:v>
                </c:pt>
                <c:pt idx="70">
                  <c:v>Oct-2019</c:v>
                </c:pt>
                <c:pt idx="71">
                  <c:v>Oct-2020</c:v>
                </c:pt>
                <c:pt idx="72">
                  <c:v>Oct-2021</c:v>
                </c:pt>
                <c:pt idx="73">
                  <c:v>Oct-2022</c:v>
                </c:pt>
                <c:pt idx="74">
                  <c:v>Oct-2023</c:v>
                </c:pt>
                <c:pt idx="75">
                  <c:v>Oct-2024</c:v>
                </c:pt>
                <c:pt idx="76">
                  <c:v>Oct-2025</c:v>
                </c:pt>
                <c:pt idx="77">
                  <c:v>Sep-2019</c:v>
                </c:pt>
                <c:pt idx="78">
                  <c:v>Sep-2020</c:v>
                </c:pt>
                <c:pt idx="79">
                  <c:v>Sep-2021</c:v>
                </c:pt>
                <c:pt idx="80">
                  <c:v>Sep-2022</c:v>
                </c:pt>
                <c:pt idx="81">
                  <c:v>Sep-2023</c:v>
                </c:pt>
                <c:pt idx="82">
                  <c:v>Sep-2024</c:v>
                </c:pt>
                <c:pt idx="83">
                  <c:v>Sep-2025</c:v>
                </c:pt>
              </c:strCache>
            </c:strRef>
          </c:cat>
          <c:val>
            <c:numRef>
              <c:f>Pivot_table!$B$4:$B$88</c:f>
              <c:numCache>
                <c:formatCode>General</c:formatCode>
                <c:ptCount val="84"/>
                <c:pt idx="0">
                  <c:v>2.8399999999999994</c:v>
                </c:pt>
                <c:pt idx="1">
                  <c:v>3.1900000000000004</c:v>
                </c:pt>
                <c:pt idx="2">
                  <c:v>3.54</c:v>
                </c:pt>
                <c:pt idx="3">
                  <c:v>3.8899999999999992</c:v>
                </c:pt>
                <c:pt idx="4">
                  <c:v>4.24</c:v>
                </c:pt>
                <c:pt idx="5">
                  <c:v>4.59</c:v>
                </c:pt>
                <c:pt idx="6">
                  <c:v>4.9399999999999995</c:v>
                </c:pt>
                <c:pt idx="7">
                  <c:v>2.54</c:v>
                </c:pt>
                <c:pt idx="8">
                  <c:v>2.8899999999999997</c:v>
                </c:pt>
                <c:pt idx="9">
                  <c:v>3.24</c:v>
                </c:pt>
                <c:pt idx="10">
                  <c:v>3.5899999999999994</c:v>
                </c:pt>
                <c:pt idx="11">
                  <c:v>3.9399999999999991</c:v>
                </c:pt>
                <c:pt idx="12">
                  <c:v>4.29</c:v>
                </c:pt>
                <c:pt idx="13">
                  <c:v>4.6399999999999997</c:v>
                </c:pt>
                <c:pt idx="14">
                  <c:v>2.2399999999999998</c:v>
                </c:pt>
                <c:pt idx="15">
                  <c:v>2.59</c:v>
                </c:pt>
                <c:pt idx="16">
                  <c:v>2.9400000000000004</c:v>
                </c:pt>
                <c:pt idx="17">
                  <c:v>3.29</c:v>
                </c:pt>
                <c:pt idx="18">
                  <c:v>3.6399999999999992</c:v>
                </c:pt>
                <c:pt idx="19">
                  <c:v>3.99</c:v>
                </c:pt>
                <c:pt idx="20">
                  <c:v>4.34</c:v>
                </c:pt>
                <c:pt idx="21">
                  <c:v>2.54</c:v>
                </c:pt>
                <c:pt idx="22">
                  <c:v>2.8899999999999997</c:v>
                </c:pt>
                <c:pt idx="23">
                  <c:v>3.24</c:v>
                </c:pt>
                <c:pt idx="24">
                  <c:v>3.5899999999999994</c:v>
                </c:pt>
                <c:pt idx="25">
                  <c:v>3.9399999999999991</c:v>
                </c:pt>
                <c:pt idx="26">
                  <c:v>4.29</c:v>
                </c:pt>
                <c:pt idx="27">
                  <c:v>4.6399999999999997</c:v>
                </c:pt>
                <c:pt idx="28">
                  <c:v>2.3899999999999997</c:v>
                </c:pt>
                <c:pt idx="29">
                  <c:v>2.7399999999999998</c:v>
                </c:pt>
                <c:pt idx="30">
                  <c:v>3.0899999999999994</c:v>
                </c:pt>
                <c:pt idx="31">
                  <c:v>3.4400000000000004</c:v>
                </c:pt>
                <c:pt idx="32">
                  <c:v>3.7900000000000009</c:v>
                </c:pt>
                <c:pt idx="33">
                  <c:v>4.1399999999999988</c:v>
                </c:pt>
                <c:pt idx="34">
                  <c:v>4.49</c:v>
                </c:pt>
                <c:pt idx="35">
                  <c:v>2.3899999999999997</c:v>
                </c:pt>
                <c:pt idx="36">
                  <c:v>2.7399999999999998</c:v>
                </c:pt>
                <c:pt idx="37">
                  <c:v>3.0899999999999994</c:v>
                </c:pt>
                <c:pt idx="38">
                  <c:v>3.4400000000000004</c:v>
                </c:pt>
                <c:pt idx="39">
                  <c:v>3.7900000000000009</c:v>
                </c:pt>
                <c:pt idx="40">
                  <c:v>4.1399999999999988</c:v>
                </c:pt>
                <c:pt idx="41">
                  <c:v>4.49</c:v>
                </c:pt>
                <c:pt idx="42">
                  <c:v>2.2399999999999998</c:v>
                </c:pt>
                <c:pt idx="43">
                  <c:v>2.59</c:v>
                </c:pt>
                <c:pt idx="44">
                  <c:v>2.9400000000000004</c:v>
                </c:pt>
                <c:pt idx="45">
                  <c:v>3.29</c:v>
                </c:pt>
                <c:pt idx="46">
                  <c:v>3.6399999999999992</c:v>
                </c:pt>
                <c:pt idx="47">
                  <c:v>3.99</c:v>
                </c:pt>
                <c:pt idx="48">
                  <c:v>4.34</c:v>
                </c:pt>
                <c:pt idx="49">
                  <c:v>2.69</c:v>
                </c:pt>
                <c:pt idx="50">
                  <c:v>3.04</c:v>
                </c:pt>
                <c:pt idx="51">
                  <c:v>3.3899999999999997</c:v>
                </c:pt>
                <c:pt idx="52">
                  <c:v>3.7399999999999998</c:v>
                </c:pt>
                <c:pt idx="53">
                  <c:v>4.09</c:v>
                </c:pt>
                <c:pt idx="54">
                  <c:v>4.4399999999999995</c:v>
                </c:pt>
                <c:pt idx="55">
                  <c:v>4.79</c:v>
                </c:pt>
                <c:pt idx="56">
                  <c:v>2.9899999999999998</c:v>
                </c:pt>
                <c:pt idx="57">
                  <c:v>3.3399999999999994</c:v>
                </c:pt>
                <c:pt idx="58">
                  <c:v>3.6900000000000004</c:v>
                </c:pt>
                <c:pt idx="59">
                  <c:v>4.04</c:v>
                </c:pt>
                <c:pt idx="60">
                  <c:v>4.3899999999999997</c:v>
                </c:pt>
                <c:pt idx="61">
                  <c:v>4.74</c:v>
                </c:pt>
                <c:pt idx="62">
                  <c:v>5.09</c:v>
                </c:pt>
                <c:pt idx="63">
                  <c:v>2.9899999999999998</c:v>
                </c:pt>
                <c:pt idx="64">
                  <c:v>3.3399999999999994</c:v>
                </c:pt>
                <c:pt idx="65">
                  <c:v>3.6900000000000004</c:v>
                </c:pt>
                <c:pt idx="66">
                  <c:v>4.04</c:v>
                </c:pt>
                <c:pt idx="67">
                  <c:v>4.3899999999999997</c:v>
                </c:pt>
                <c:pt idx="68">
                  <c:v>4.74</c:v>
                </c:pt>
                <c:pt idx="69">
                  <c:v>5.09</c:v>
                </c:pt>
                <c:pt idx="70">
                  <c:v>2.8399999999999994</c:v>
                </c:pt>
                <c:pt idx="71">
                  <c:v>3.1900000000000004</c:v>
                </c:pt>
                <c:pt idx="72">
                  <c:v>3.54</c:v>
                </c:pt>
                <c:pt idx="73">
                  <c:v>3.8899999999999992</c:v>
                </c:pt>
                <c:pt idx="74">
                  <c:v>4.24</c:v>
                </c:pt>
                <c:pt idx="75">
                  <c:v>4.59</c:v>
                </c:pt>
                <c:pt idx="76">
                  <c:v>4.9399999999999995</c:v>
                </c:pt>
                <c:pt idx="77">
                  <c:v>2.69</c:v>
                </c:pt>
                <c:pt idx="78">
                  <c:v>3.04</c:v>
                </c:pt>
                <c:pt idx="79">
                  <c:v>3.3899999999999997</c:v>
                </c:pt>
                <c:pt idx="80">
                  <c:v>3.7399999999999998</c:v>
                </c:pt>
                <c:pt idx="81">
                  <c:v>4.09</c:v>
                </c:pt>
                <c:pt idx="82">
                  <c:v>4.4399999999999995</c:v>
                </c:pt>
                <c:pt idx="83">
                  <c:v>4.79</c:v>
                </c:pt>
              </c:numCache>
            </c:numRef>
          </c:val>
          <c:smooth val="0"/>
          <c:extLst>
            <c:ext xmlns:c16="http://schemas.microsoft.com/office/drawing/2014/chart" uri="{C3380CC4-5D6E-409C-BE32-E72D297353CC}">
              <c16:uniqueId val="{00000000-7D17-4C29-BF0E-271099C2749D}"/>
            </c:ext>
          </c:extLst>
        </c:ser>
        <c:dLbls>
          <c:showLegendKey val="0"/>
          <c:showVal val="0"/>
          <c:showCatName val="0"/>
          <c:showSerName val="0"/>
          <c:showPercent val="0"/>
          <c:showBubbleSize val="0"/>
        </c:dLbls>
        <c:smooth val="0"/>
        <c:axId val="199046656"/>
        <c:axId val="199215744"/>
      </c:lineChart>
      <c:catAx>
        <c:axId val="199046656"/>
        <c:scaling>
          <c:orientation val="minMax"/>
        </c:scaling>
        <c:delete val="0"/>
        <c:axPos val="b"/>
        <c:numFmt formatCode="General" sourceLinked="0"/>
        <c:majorTickMark val="out"/>
        <c:minorTickMark val="none"/>
        <c:tickLblPos val="nextTo"/>
        <c:spPr>
          <a:ln>
            <a:noFill/>
          </a:ln>
        </c:spPr>
        <c:crossAx val="199215744"/>
        <c:crosses val="autoZero"/>
        <c:auto val="1"/>
        <c:lblAlgn val="ctr"/>
        <c:lblOffset val="100"/>
        <c:noMultiLvlLbl val="0"/>
      </c:catAx>
      <c:valAx>
        <c:axId val="199215744"/>
        <c:scaling>
          <c:orientation val="minMax"/>
        </c:scaling>
        <c:delete val="0"/>
        <c:axPos val="l"/>
        <c:numFmt formatCode="General" sourceLinked="1"/>
        <c:majorTickMark val="out"/>
        <c:minorTickMark val="none"/>
        <c:tickLblPos val="nextTo"/>
        <c:crossAx val="199046656"/>
        <c:crosses val="autoZero"/>
        <c:crossBetween val="between"/>
      </c:valAx>
      <c:spPr>
        <a:noFill/>
        <a:ln>
          <a:noFill/>
        </a:ln>
      </c:spPr>
    </c:plotArea>
    <c:plotVisOnly val="1"/>
    <c:dispBlanksAs val="gap"/>
    <c:showDLblsOverMax val="0"/>
  </c:chart>
  <c:spPr>
    <a:solidFill>
      <a:schemeClr val="bg1"/>
    </a:solidFill>
  </c:spPr>
  <c:txPr>
    <a:bodyPr/>
    <a:lstStyle/>
    <a:p>
      <a:pPr>
        <a:defRPr>
          <a:solidFill>
            <a:schemeClr val="tx1"/>
          </a:solidFill>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[CPI_final_project.xlsx]Pivot_table!PivotTable4</c:name>
    <c:fmtId val="1"/>
  </c:pivotSource>
  <c:chart>
    <c:title>
      <c:tx>
        <c:rich>
          <a:bodyPr/>
          <a:lstStyle/>
          <a:p>
            <a:pPr>
              <a:defRPr/>
            </a:pPr>
            <a:r>
              <a:rPr lang="en-US"/>
              <a:t>Category-wise Average CPI</a:t>
            </a:r>
          </a:p>
        </c:rich>
      </c:tx>
      <c:overlay val="0"/>
    </c:title>
    <c:autoTitleDeleted val="0"/>
    <c:pivotFmts>
      <c:pivotFmt>
        <c:idx val="0"/>
        <c:marker>
          <c:symbol val="none"/>
        </c:marker>
      </c:pivotFmt>
      <c:pivotFmt>
        <c:idx val="1"/>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Pivot_table!$H$3</c:f>
              <c:strCache>
                <c:ptCount val="1"/>
                <c:pt idx="0">
                  <c:v>Total</c:v>
                </c:pt>
              </c:strCache>
            </c:strRef>
          </c:tx>
          <c:invertIfNegative val="0"/>
          <c:cat>
            <c:strRef>
              <c:f>Pivot_table!$G$4:$G$11</c:f>
              <c:strCache>
                <c:ptCount val="7"/>
                <c:pt idx="0">
                  <c:v>Clothing &amp; Footwear</c:v>
                </c:pt>
                <c:pt idx="1">
                  <c:v>Food &amp; Beverages</c:v>
                </c:pt>
                <c:pt idx="2">
                  <c:v>Fuel &amp; Light</c:v>
                </c:pt>
                <c:pt idx="3">
                  <c:v>General</c:v>
                </c:pt>
                <c:pt idx="4">
                  <c:v>Housing</c:v>
                </c:pt>
                <c:pt idx="5">
                  <c:v>Miscellaneous</c:v>
                </c:pt>
                <c:pt idx="6">
                  <c:v>Pan, Tobacco &amp; Intoxicants</c:v>
                </c:pt>
              </c:strCache>
            </c:strRef>
          </c:cat>
          <c:val>
            <c:numRef>
              <c:f>Pivot_table!$H$4:$H$11</c:f>
              <c:numCache>
                <c:formatCode>General</c:formatCode>
                <c:ptCount val="7"/>
                <c:pt idx="0">
                  <c:v>159.20000000000005</c:v>
                </c:pt>
                <c:pt idx="1">
                  <c:v>155.20000000000002</c:v>
                </c:pt>
                <c:pt idx="2">
                  <c:v>163.20000000000005</c:v>
                </c:pt>
                <c:pt idx="3">
                  <c:v>153.20000000000002</c:v>
                </c:pt>
                <c:pt idx="4">
                  <c:v>161.20000000000002</c:v>
                </c:pt>
                <c:pt idx="5">
                  <c:v>165.20000000000005</c:v>
                </c:pt>
                <c:pt idx="6">
                  <c:v>157.20000000000005</c:v>
                </c:pt>
              </c:numCache>
            </c:numRef>
          </c:val>
          <c:extLst>
            <c:ext xmlns:c16="http://schemas.microsoft.com/office/drawing/2014/chart" uri="{C3380CC4-5D6E-409C-BE32-E72D297353CC}">
              <c16:uniqueId val="{00000000-437A-4145-AC53-998C0D0C5E44}"/>
            </c:ext>
          </c:extLst>
        </c:ser>
        <c:dLbls>
          <c:showLegendKey val="0"/>
          <c:showVal val="0"/>
          <c:showCatName val="0"/>
          <c:showSerName val="0"/>
          <c:showPercent val="0"/>
          <c:showBubbleSize val="0"/>
        </c:dLbls>
        <c:gapWidth val="150"/>
        <c:axId val="169891328"/>
        <c:axId val="169958784"/>
      </c:barChart>
      <c:catAx>
        <c:axId val="169891328"/>
        <c:scaling>
          <c:orientation val="minMax"/>
        </c:scaling>
        <c:delete val="0"/>
        <c:axPos val="l"/>
        <c:numFmt formatCode="General" sourceLinked="0"/>
        <c:majorTickMark val="out"/>
        <c:minorTickMark val="none"/>
        <c:tickLblPos val="nextTo"/>
        <c:crossAx val="169958784"/>
        <c:crosses val="autoZero"/>
        <c:auto val="1"/>
        <c:lblAlgn val="ctr"/>
        <c:lblOffset val="100"/>
        <c:noMultiLvlLbl val="0"/>
      </c:catAx>
      <c:valAx>
        <c:axId val="169958784"/>
        <c:scaling>
          <c:orientation val="minMax"/>
        </c:scaling>
        <c:delete val="0"/>
        <c:axPos val="b"/>
        <c:numFmt formatCode="General" sourceLinked="1"/>
        <c:majorTickMark val="out"/>
        <c:minorTickMark val="none"/>
        <c:tickLblPos val="nextTo"/>
        <c:crossAx val="169891328"/>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14000"/>
                  <a:lumOff val="86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plotArea>
    <c:plotVisOnly val="1"/>
    <c:dispBlanksAs val="gap"/>
    <c:showDLblsOverMax val="0"/>
  </c:chart>
  <c:txPr>
    <a:bodyPr/>
    <a:lstStyle/>
    <a:p>
      <a:pPr>
        <a:defRPr>
          <a:ln>
            <a:noFill/>
          </a:ln>
          <a:solidFill>
            <a:schemeClr val="tx1"/>
          </a:solidFill>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[CPI_final_project.xlsx]Pivot_table!PivotTable7</c:name>
    <c:fmtId val="1"/>
  </c:pivotSource>
  <c:chart>
    <c:title>
      <c:tx>
        <c:rich>
          <a:bodyPr/>
          <a:lstStyle/>
          <a:p>
            <a:pPr>
              <a:defRPr sz="1800">
                <a:solidFill>
                  <a:schemeClr val="tx2"/>
                </a:solidFill>
              </a:defRPr>
            </a:pPr>
            <a:r>
              <a:rPr lang="en-US" sz="1800" b="1" i="0" u="none" strike="noStrike" baseline="0">
                <a:solidFill>
                  <a:schemeClr val="tx1"/>
                </a:solidFill>
              </a:rPr>
              <a:t>Year-wise Average CPI </a:t>
            </a:r>
            <a:endParaRPr lang="en-US" sz="1800">
              <a:solidFill>
                <a:schemeClr val="tx1"/>
              </a:solidFill>
            </a:endParaRPr>
          </a:p>
        </c:rich>
      </c:tx>
      <c:overlay val="0"/>
    </c:title>
    <c:autoTitleDeleted val="0"/>
    <c:pivotFmts>
      <c:pivotFmt>
        <c:idx val="0"/>
        <c:marker>
          <c:symbol val="none"/>
        </c:marker>
      </c:pivotFmt>
      <c:pivotFmt>
        <c:idx val="1"/>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285385303848514"/>
          <c:y val="0.26758164375794491"/>
          <c:w val="0.74484241912289695"/>
          <c:h val="0.56702424392072948"/>
        </c:manualLayout>
      </c:layout>
      <c:barChart>
        <c:barDir val="col"/>
        <c:grouping val="stacked"/>
        <c:varyColors val="0"/>
        <c:ser>
          <c:idx val="0"/>
          <c:order val="0"/>
          <c:tx>
            <c:strRef>
              <c:f>Pivot_table!$H$16</c:f>
              <c:strCache>
                <c:ptCount val="1"/>
                <c:pt idx="0">
                  <c:v>Total</c:v>
                </c:pt>
              </c:strCache>
            </c:strRef>
          </c:tx>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c:spPr>
          <c:invertIfNegative val="0"/>
          <c:cat>
            <c:strRef>
              <c:f>Pivot_table!$G$17:$G$24</c:f>
              <c:strCache>
                <c:ptCount val="7"/>
                <c:pt idx="0">
                  <c:v>2019</c:v>
                </c:pt>
                <c:pt idx="1">
                  <c:v>2020</c:v>
                </c:pt>
                <c:pt idx="2">
                  <c:v>2021</c:v>
                </c:pt>
                <c:pt idx="3">
                  <c:v>2022</c:v>
                </c:pt>
                <c:pt idx="4">
                  <c:v>2023</c:v>
                </c:pt>
                <c:pt idx="5">
                  <c:v>2024</c:v>
                </c:pt>
                <c:pt idx="6">
                  <c:v>2025</c:v>
                </c:pt>
              </c:strCache>
            </c:strRef>
          </c:cat>
          <c:val>
            <c:numRef>
              <c:f>Pivot_table!$H$17:$H$24</c:f>
              <c:numCache>
                <c:formatCode>General</c:formatCode>
                <c:ptCount val="7"/>
                <c:pt idx="0">
                  <c:v>3.23</c:v>
                </c:pt>
                <c:pt idx="1">
                  <c:v>3.58</c:v>
                </c:pt>
                <c:pt idx="2">
                  <c:v>3.93</c:v>
                </c:pt>
                <c:pt idx="3">
                  <c:v>4.28</c:v>
                </c:pt>
                <c:pt idx="4">
                  <c:v>4.63</c:v>
                </c:pt>
                <c:pt idx="5">
                  <c:v>4.9800000000000004</c:v>
                </c:pt>
                <c:pt idx="6">
                  <c:v>5.33</c:v>
                </c:pt>
              </c:numCache>
            </c:numRef>
          </c:val>
          <c:extLst>
            <c:ext xmlns:c16="http://schemas.microsoft.com/office/drawing/2014/chart" uri="{C3380CC4-5D6E-409C-BE32-E72D297353CC}">
              <c16:uniqueId val="{00000000-A226-420B-9A4E-CA50326C39A5}"/>
            </c:ext>
          </c:extLst>
        </c:ser>
        <c:dLbls>
          <c:showLegendKey val="0"/>
          <c:showVal val="0"/>
          <c:showCatName val="0"/>
          <c:showSerName val="0"/>
          <c:showPercent val="0"/>
          <c:showBubbleSize val="0"/>
        </c:dLbls>
        <c:gapWidth val="150"/>
        <c:overlap val="100"/>
        <c:axId val="197172608"/>
        <c:axId val="198113536"/>
      </c:barChart>
      <c:catAx>
        <c:axId val="197172608"/>
        <c:scaling>
          <c:orientation val="minMax"/>
        </c:scaling>
        <c:delete val="0"/>
        <c:axPos val="b"/>
        <c:numFmt formatCode="General" sourceLinked="0"/>
        <c:majorTickMark val="out"/>
        <c:minorTickMark val="none"/>
        <c:tickLblPos val="nextTo"/>
        <c:crossAx val="198113536"/>
        <c:crosses val="autoZero"/>
        <c:auto val="1"/>
        <c:lblAlgn val="ctr"/>
        <c:lblOffset val="100"/>
        <c:noMultiLvlLbl val="0"/>
      </c:catAx>
      <c:valAx>
        <c:axId val="198113536"/>
        <c:scaling>
          <c:orientation val="minMax"/>
        </c:scaling>
        <c:delete val="0"/>
        <c:axPos val="l"/>
        <c:numFmt formatCode="General" sourceLinked="1"/>
        <c:majorTickMark val="out"/>
        <c:minorTickMark val="none"/>
        <c:tickLblPos val="nextTo"/>
        <c:crossAx val="197172608"/>
        <c:crosses val="autoZero"/>
        <c:crossBetween val="between"/>
      </c:valAx>
    </c:plotArea>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[CPI_final_project.xlsx]Pivot_table!PivotTable1</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ysClr val="windowText" lastClr="000000"/>
                </a:solidFill>
                <a:latin typeface="+mn-lt"/>
                <a:ea typeface="+mn-ea"/>
                <a:cs typeface="+mn-cs"/>
              </a:defRPr>
            </a:pPr>
            <a:r>
              <a:rPr lang="en-US" sz="1800" b="1" i="0" u="none" strike="noStrike" kern="1200" baseline="0">
                <a:solidFill>
                  <a:schemeClr val="tx1"/>
                </a:solidFill>
              </a:rPr>
              <a:t>Total Area-wise Inflation </a:t>
            </a:r>
          </a:p>
        </c:rich>
      </c:tx>
      <c:layout>
        <c:manualLayout>
          <c:xMode val="edge"/>
          <c:yMode val="edge"/>
          <c:x val="0.2185693350831146"/>
          <c:y val="3.217503217503217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Pivot_table!$E$27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B6-44E4-A5FD-66DA03F0A1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B6-44E4-A5FD-66DA03F0A1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B6-44E4-A5FD-66DA03F0A15E}"/>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Pivot_table!$D$28:$D$31</c:f>
              <c:strCache>
                <c:ptCount val="3"/>
                <c:pt idx="0">
                  <c:v>Combined</c:v>
                </c:pt>
                <c:pt idx="1">
                  <c:v>Rural</c:v>
                </c:pt>
                <c:pt idx="2">
                  <c:v>Urban</c:v>
                </c:pt>
              </c:strCache>
            </c:strRef>
          </c:cat>
          <c:val>
            <c:numRef>
              <c:f>Pivot_table!$E$28:$E$31</c:f>
              <c:numCache>
                <c:formatCode>General</c:formatCode>
                <c:ptCount val="3"/>
                <c:pt idx="0">
                  <c:v>159.80000000000004</c:v>
                </c:pt>
                <c:pt idx="1">
                  <c:v>158.60000000000016</c:v>
                </c:pt>
                <c:pt idx="2">
                  <c:v>159.19999999999987</c:v>
                </c:pt>
              </c:numCache>
            </c:numRef>
          </c:val>
          <c:extLst>
            <c:ext xmlns:c16="http://schemas.microsoft.com/office/drawing/2014/chart" uri="{C3380CC4-5D6E-409C-BE32-E72D297353CC}">
              <c16:uniqueId val="{00000006-AEB6-44E4-A5FD-66DA03F0A15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158199</xdr:colOff>
      <xdr:row>9</xdr:row>
      <xdr:rowOff>106064</xdr:rowOff>
    </xdr:from>
    <xdr:to>
      <xdr:col>14</xdr:col>
      <xdr:colOff>427056</xdr:colOff>
      <xdr:row>23</xdr:row>
      <xdr:rowOff>62104</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9586671A-6027-CED1-718F-8BF0FC2EA34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365854" y="1761443"/>
              <a:ext cx="2081892" cy="253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36107</xdr:colOff>
      <xdr:row>25</xdr:row>
      <xdr:rowOff>70477</xdr:rowOff>
    </xdr:from>
    <xdr:to>
      <xdr:col>13</xdr:col>
      <xdr:colOff>262372</xdr:colOff>
      <xdr:row>34</xdr:row>
      <xdr:rowOff>70477</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EAB04165-A3B9-2294-BA01-A1BD5CC0B38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394348" y="4668753"/>
              <a:ext cx="5284369" cy="1655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83918</xdr:colOff>
      <xdr:row>1</xdr:row>
      <xdr:rowOff>177520</xdr:rowOff>
    </xdr:from>
    <xdr:to>
      <xdr:col>10</xdr:col>
      <xdr:colOff>2363457</xdr:colOff>
      <xdr:row>8</xdr:row>
      <xdr:rowOff>54428</xdr:rowOff>
    </xdr:to>
    <mc:AlternateContent xmlns:mc="http://schemas.openxmlformats.org/markup-compatibility/2006">
      <mc:Choice xmlns:a14="http://schemas.microsoft.com/office/drawing/2010/main" Requires="a14">
        <xdr:graphicFrame macro="">
          <xdr:nvGraphicFramePr>
            <xdr:cNvPr id="4" name="Area">
              <a:extLst>
                <a:ext uri="{FF2B5EF4-FFF2-40B4-BE49-F238E27FC236}">
                  <a16:creationId xmlns:a16="http://schemas.microsoft.com/office/drawing/2014/main" id="{4F63B85A-A06D-D396-4C18-2DED10F97D0C}"/>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dr:sp macro="" textlink="">
          <xdr:nvSpPr>
            <xdr:cNvPr id="0" name=""/>
            <xdr:cNvSpPr>
              <a:spLocks noTextEdit="1"/>
            </xdr:cNvSpPr>
          </xdr:nvSpPr>
          <xdr:spPr>
            <a:xfrm>
              <a:off x="15442159" y="361451"/>
              <a:ext cx="3619608" cy="1164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24400</xdr:colOff>
      <xdr:row>9</xdr:row>
      <xdr:rowOff>135373</xdr:rowOff>
    </xdr:from>
    <xdr:to>
      <xdr:col>10</xdr:col>
      <xdr:colOff>2230179</xdr:colOff>
      <xdr:row>23</xdr:row>
      <xdr:rowOff>76757</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8EC23D87-AB6B-216F-8375-8401703F08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382641" y="1790752"/>
              <a:ext cx="3545848" cy="2516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343492</xdr:colOff>
      <xdr:row>4</xdr:row>
      <xdr:rowOff>78476</xdr:rowOff>
    </xdr:from>
    <xdr:to>
      <xdr:col>3</xdr:col>
      <xdr:colOff>331617</xdr:colOff>
      <xdr:row>8</xdr:row>
      <xdr:rowOff>97476</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343492" y="790995"/>
          <a:ext cx="1828800" cy="731520"/>
        </a:xfrm>
        <a:prstGeom prst="roundRect">
          <a:avLst/>
        </a:prstGeom>
        <a:solidFill>
          <a:srgbClr val="00B0F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0</xdr:col>
      <xdr:colOff>539579</xdr:colOff>
      <xdr:row>4</xdr:row>
      <xdr:rowOff>46398</xdr:rowOff>
    </xdr:from>
    <xdr:to>
      <xdr:col>3</xdr:col>
      <xdr:colOff>123944</xdr:colOff>
      <xdr:row>6</xdr:row>
      <xdr:rowOff>184294</xdr:rowOff>
    </xdr:to>
    <xdr:sp macro="" textlink="">
      <xdr:nvSpPr>
        <xdr:cNvPr id="10" name="TextBox 9">
          <a:extLst>
            <a:ext uri="{FF2B5EF4-FFF2-40B4-BE49-F238E27FC236}">
              <a16:creationId xmlns:a16="http://schemas.microsoft.com/office/drawing/2014/main" id="{00000000-0008-0000-0300-00000A000000}"/>
            </a:ext>
          </a:extLst>
        </xdr:cNvPr>
        <xdr:cNvSpPr txBox="1"/>
      </xdr:nvSpPr>
      <xdr:spPr>
        <a:xfrm rot="10800000" flipV="1">
          <a:off x="539579" y="795906"/>
          <a:ext cx="1420660" cy="512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200" b="1" i="0">
              <a:solidFill>
                <a:schemeClr val="tx1"/>
              </a:solidFill>
              <a:latin typeface="+mn-lt"/>
            </a:rPr>
            <a:t>Average</a:t>
          </a:r>
          <a:r>
            <a:rPr lang="en-US" sz="1200" b="1">
              <a:solidFill>
                <a:schemeClr val="tx1"/>
              </a:solidFill>
              <a:latin typeface="+mn-lt"/>
            </a:rPr>
            <a:t> CPI</a:t>
          </a:r>
        </a:p>
      </xdr:txBody>
    </xdr:sp>
    <xdr:clientData/>
  </xdr:twoCellAnchor>
  <xdr:twoCellAnchor>
    <xdr:from>
      <xdr:col>1</xdr:col>
      <xdr:colOff>138546</xdr:colOff>
      <xdr:row>6</xdr:row>
      <xdr:rowOff>79169</xdr:rowOff>
    </xdr:from>
    <xdr:to>
      <xdr:col>2</xdr:col>
      <xdr:colOff>445325</xdr:colOff>
      <xdr:row>8</xdr:row>
      <xdr:rowOff>9896</xdr:rowOff>
    </xdr:to>
    <xdr:sp macro="" textlink="">
      <xdr:nvSpPr>
        <xdr:cNvPr id="15" name="TextBox 14">
          <a:extLst>
            <a:ext uri="{FF2B5EF4-FFF2-40B4-BE49-F238E27FC236}">
              <a16:creationId xmlns:a16="http://schemas.microsoft.com/office/drawing/2014/main" id="{00000000-0008-0000-0300-00000F000000}"/>
            </a:ext>
          </a:extLst>
        </xdr:cNvPr>
        <xdr:cNvSpPr txBox="1"/>
      </xdr:nvSpPr>
      <xdr:spPr>
        <a:xfrm rot="10800000" flipV="1">
          <a:off x="752104" y="1147948"/>
          <a:ext cx="920338" cy="286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800" b="1"/>
            <a:t>159.2</a:t>
          </a:r>
        </a:p>
      </xdr:txBody>
    </xdr:sp>
    <xdr:clientData/>
  </xdr:twoCellAnchor>
  <xdr:twoCellAnchor>
    <xdr:from>
      <xdr:col>3</xdr:col>
      <xdr:colOff>425830</xdr:colOff>
      <xdr:row>4</xdr:row>
      <xdr:rowOff>111234</xdr:rowOff>
    </xdr:from>
    <xdr:to>
      <xdr:col>6</xdr:col>
      <xdr:colOff>413954</xdr:colOff>
      <xdr:row>8</xdr:row>
      <xdr:rowOff>130234</xdr:rowOff>
    </xdr:to>
    <xdr:sp macro="" textlink="">
      <xdr:nvSpPr>
        <xdr:cNvPr id="16" name="Rounded Rectangle 15">
          <a:extLst>
            <a:ext uri="{FF2B5EF4-FFF2-40B4-BE49-F238E27FC236}">
              <a16:creationId xmlns:a16="http://schemas.microsoft.com/office/drawing/2014/main" id="{00000000-0008-0000-0300-000010000000}"/>
            </a:ext>
          </a:extLst>
        </xdr:cNvPr>
        <xdr:cNvSpPr/>
      </xdr:nvSpPr>
      <xdr:spPr>
        <a:xfrm>
          <a:off x="2266505" y="823753"/>
          <a:ext cx="1828800" cy="731520"/>
        </a:xfrm>
        <a:prstGeom prst="roundRect">
          <a:avLst/>
        </a:prstGeom>
        <a:solidFill>
          <a:srgbClr val="00B0F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0</xdr:col>
      <xdr:colOff>571500</xdr:colOff>
      <xdr:row>1</xdr:row>
      <xdr:rowOff>167640</xdr:rowOff>
    </xdr:from>
    <xdr:ext cx="184731" cy="264560"/>
    <xdr:sp macro="" textlink="">
      <xdr:nvSpPr>
        <xdr:cNvPr id="17" name="TextBox 16">
          <a:extLst>
            <a:ext uri="{FF2B5EF4-FFF2-40B4-BE49-F238E27FC236}">
              <a16:creationId xmlns:a16="http://schemas.microsoft.com/office/drawing/2014/main" id="{00000000-0008-0000-0300-000011000000}"/>
            </a:ext>
          </a:extLst>
        </xdr:cNvPr>
        <xdr:cNvSpPr txBox="1"/>
      </xdr:nvSpPr>
      <xdr:spPr>
        <a:xfrm>
          <a:off x="571500" y="350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6</xdr:col>
      <xdr:colOff>527956</xdr:colOff>
      <xdr:row>4</xdr:row>
      <xdr:rowOff>108858</xdr:rowOff>
    </xdr:from>
    <xdr:to>
      <xdr:col>9</xdr:col>
      <xdr:colOff>516081</xdr:colOff>
      <xdr:row>8</xdr:row>
      <xdr:rowOff>127858</xdr:rowOff>
    </xdr:to>
    <xdr:sp macro="" textlink="">
      <xdr:nvSpPr>
        <xdr:cNvPr id="19" name="Rounded Rectangle 18">
          <a:extLst>
            <a:ext uri="{FF2B5EF4-FFF2-40B4-BE49-F238E27FC236}">
              <a16:creationId xmlns:a16="http://schemas.microsoft.com/office/drawing/2014/main" id="{00000000-0008-0000-0300-000013000000}"/>
            </a:ext>
          </a:extLst>
        </xdr:cNvPr>
        <xdr:cNvSpPr/>
      </xdr:nvSpPr>
      <xdr:spPr>
        <a:xfrm>
          <a:off x="4209307" y="821377"/>
          <a:ext cx="1828800" cy="731520"/>
        </a:xfrm>
        <a:prstGeom prst="roundRect">
          <a:avLst/>
        </a:prstGeom>
        <a:solidFill>
          <a:srgbClr val="00B0F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10</xdr:col>
      <xdr:colOff>50767</xdr:colOff>
      <xdr:row>4</xdr:row>
      <xdr:rowOff>127958</xdr:rowOff>
    </xdr:from>
    <xdr:to>
      <xdr:col>13</xdr:col>
      <xdr:colOff>38891</xdr:colOff>
      <xdr:row>8</xdr:row>
      <xdr:rowOff>146958</xdr:rowOff>
    </xdr:to>
    <xdr:sp macro="" textlink="">
      <xdr:nvSpPr>
        <xdr:cNvPr id="20" name="Rounded Rectangle 19">
          <a:extLst>
            <a:ext uri="{FF2B5EF4-FFF2-40B4-BE49-F238E27FC236}">
              <a16:creationId xmlns:a16="http://schemas.microsoft.com/office/drawing/2014/main" id="{00000000-0008-0000-0300-000014000000}"/>
            </a:ext>
          </a:extLst>
        </xdr:cNvPr>
        <xdr:cNvSpPr/>
      </xdr:nvSpPr>
      <xdr:spPr>
        <a:xfrm>
          <a:off x="6186351" y="840477"/>
          <a:ext cx="1828800" cy="731520"/>
        </a:xfrm>
        <a:prstGeom prst="roundRect">
          <a:avLst/>
        </a:prstGeom>
        <a:solidFill>
          <a:srgbClr val="00B0F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13</xdr:col>
      <xdr:colOff>163680</xdr:colOff>
      <xdr:row>4</xdr:row>
      <xdr:rowOff>133300</xdr:rowOff>
    </xdr:from>
    <xdr:to>
      <xdr:col>16</xdr:col>
      <xdr:colOff>151805</xdr:colOff>
      <xdr:row>8</xdr:row>
      <xdr:rowOff>152300</xdr:rowOff>
    </xdr:to>
    <xdr:sp macro="" textlink="">
      <xdr:nvSpPr>
        <xdr:cNvPr id="21" name="Rounded Rectangle 20">
          <a:extLst>
            <a:ext uri="{FF2B5EF4-FFF2-40B4-BE49-F238E27FC236}">
              <a16:creationId xmlns:a16="http://schemas.microsoft.com/office/drawing/2014/main" id="{00000000-0008-0000-0300-000015000000}"/>
            </a:ext>
          </a:extLst>
        </xdr:cNvPr>
        <xdr:cNvSpPr/>
      </xdr:nvSpPr>
      <xdr:spPr>
        <a:xfrm>
          <a:off x="8139940" y="845819"/>
          <a:ext cx="1828800" cy="731520"/>
        </a:xfrm>
        <a:prstGeom prst="roundRect">
          <a:avLst/>
        </a:prstGeom>
        <a:solidFill>
          <a:srgbClr val="00B0F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16</xdr:col>
      <xdr:colOff>262742</xdr:colOff>
      <xdr:row>4</xdr:row>
      <xdr:rowOff>126473</xdr:rowOff>
    </xdr:from>
    <xdr:to>
      <xdr:col>19</xdr:col>
      <xdr:colOff>250867</xdr:colOff>
      <xdr:row>8</xdr:row>
      <xdr:rowOff>145473</xdr:rowOff>
    </xdr:to>
    <xdr:sp macro="" textlink="">
      <xdr:nvSpPr>
        <xdr:cNvPr id="22" name="Rounded Rectangle 21">
          <a:extLst>
            <a:ext uri="{FF2B5EF4-FFF2-40B4-BE49-F238E27FC236}">
              <a16:creationId xmlns:a16="http://schemas.microsoft.com/office/drawing/2014/main" id="{00000000-0008-0000-0300-000016000000}"/>
            </a:ext>
          </a:extLst>
        </xdr:cNvPr>
        <xdr:cNvSpPr/>
      </xdr:nvSpPr>
      <xdr:spPr>
        <a:xfrm>
          <a:off x="10079677" y="838992"/>
          <a:ext cx="1828800" cy="731520"/>
        </a:xfrm>
        <a:prstGeom prst="roundRect">
          <a:avLst/>
        </a:prstGeom>
        <a:solidFill>
          <a:srgbClr val="00B0F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4</xdr:col>
      <xdr:colOff>22389</xdr:colOff>
      <xdr:row>4</xdr:row>
      <xdr:rowOff>152081</xdr:rowOff>
    </xdr:from>
    <xdr:to>
      <xdr:col>6</xdr:col>
      <xdr:colOff>339064</xdr:colOff>
      <xdr:row>6</xdr:row>
      <xdr:rowOff>176568</xdr:rowOff>
    </xdr:to>
    <xdr:sp macro="" textlink="">
      <xdr:nvSpPr>
        <xdr:cNvPr id="23" name="TextBox 22">
          <a:extLst>
            <a:ext uri="{FF2B5EF4-FFF2-40B4-BE49-F238E27FC236}">
              <a16:creationId xmlns:a16="http://schemas.microsoft.com/office/drawing/2014/main" id="{00000000-0008-0000-0300-000017000000}"/>
            </a:ext>
          </a:extLst>
        </xdr:cNvPr>
        <xdr:cNvSpPr txBox="1"/>
      </xdr:nvSpPr>
      <xdr:spPr>
        <a:xfrm>
          <a:off x="2470782" y="901589"/>
          <a:ext cx="1540872" cy="39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200" b="1">
              <a:solidFill>
                <a:schemeClr val="tx1"/>
              </a:solidFill>
            </a:rPr>
            <a:t>Average</a:t>
          </a:r>
          <a:r>
            <a:rPr lang="en-US" b="1">
              <a:solidFill>
                <a:schemeClr val="tx1"/>
              </a:solidFill>
            </a:rPr>
            <a:t> Inflation (%)</a:t>
          </a:r>
          <a:endParaRPr lang="en-US" sz="1100" b="1">
            <a:solidFill>
              <a:schemeClr val="tx1"/>
            </a:solidFill>
          </a:endParaRPr>
        </a:p>
      </xdr:txBody>
    </xdr:sp>
    <xdr:clientData/>
  </xdr:twoCellAnchor>
  <xdr:twoCellAnchor>
    <xdr:from>
      <xdr:col>7</xdr:col>
      <xdr:colOff>197922</xdr:colOff>
      <xdr:row>5</xdr:row>
      <xdr:rowOff>19792</xdr:rowOff>
    </xdr:from>
    <xdr:to>
      <xdr:col>9</xdr:col>
      <xdr:colOff>247403</xdr:colOff>
      <xdr:row>6</xdr:row>
      <xdr:rowOff>168233</xdr:rowOff>
    </xdr:to>
    <xdr:sp macro="" textlink="">
      <xdr:nvSpPr>
        <xdr:cNvPr id="24" name="TextBox 23">
          <a:extLst>
            <a:ext uri="{FF2B5EF4-FFF2-40B4-BE49-F238E27FC236}">
              <a16:creationId xmlns:a16="http://schemas.microsoft.com/office/drawing/2014/main" id="{00000000-0008-0000-0300-000018000000}"/>
            </a:ext>
          </a:extLst>
        </xdr:cNvPr>
        <xdr:cNvSpPr txBox="1"/>
      </xdr:nvSpPr>
      <xdr:spPr>
        <a:xfrm>
          <a:off x="4492831" y="910441"/>
          <a:ext cx="1276598"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200" b="1"/>
            <a:t>Highest CPI</a:t>
          </a:r>
        </a:p>
      </xdr:txBody>
    </xdr:sp>
    <xdr:clientData/>
  </xdr:twoCellAnchor>
  <xdr:twoCellAnchor>
    <xdr:from>
      <xdr:col>10</xdr:col>
      <xdr:colOff>158338</xdr:colOff>
      <xdr:row>5</xdr:row>
      <xdr:rowOff>49481</xdr:rowOff>
    </xdr:from>
    <xdr:to>
      <xdr:col>12</xdr:col>
      <xdr:colOff>524494</xdr:colOff>
      <xdr:row>7</xdr:row>
      <xdr:rowOff>19792</xdr:rowOff>
    </xdr:to>
    <xdr:sp macro="" textlink="">
      <xdr:nvSpPr>
        <xdr:cNvPr id="25" name="TextBox 24">
          <a:extLst>
            <a:ext uri="{FF2B5EF4-FFF2-40B4-BE49-F238E27FC236}">
              <a16:creationId xmlns:a16="http://schemas.microsoft.com/office/drawing/2014/main" id="{00000000-0008-0000-0300-000019000000}"/>
            </a:ext>
          </a:extLst>
        </xdr:cNvPr>
        <xdr:cNvSpPr txBox="1"/>
      </xdr:nvSpPr>
      <xdr:spPr>
        <a:xfrm>
          <a:off x="6293922" y="940130"/>
          <a:ext cx="1593273"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200" b="1"/>
            <a:t>Highest Inflation (%)</a:t>
          </a:r>
        </a:p>
      </xdr:txBody>
    </xdr:sp>
    <xdr:clientData/>
  </xdr:twoCellAnchor>
  <xdr:twoCellAnchor>
    <xdr:from>
      <xdr:col>13</xdr:col>
      <xdr:colOff>517193</xdr:colOff>
      <xdr:row>4</xdr:row>
      <xdr:rowOff>131153</xdr:rowOff>
    </xdr:from>
    <xdr:to>
      <xdr:col>15</xdr:col>
      <xdr:colOff>388544</xdr:colOff>
      <xdr:row>7</xdr:row>
      <xdr:rowOff>46398</xdr:rowOff>
    </xdr:to>
    <xdr:sp macro="" textlink="">
      <xdr:nvSpPr>
        <xdr:cNvPr id="26" name="TextBox 25">
          <a:extLst>
            <a:ext uri="{FF2B5EF4-FFF2-40B4-BE49-F238E27FC236}">
              <a16:creationId xmlns:a16="http://schemas.microsoft.com/office/drawing/2014/main" id="{00000000-0008-0000-0300-00001A000000}"/>
            </a:ext>
          </a:extLst>
        </xdr:cNvPr>
        <xdr:cNvSpPr txBox="1"/>
      </xdr:nvSpPr>
      <xdr:spPr>
        <a:xfrm>
          <a:off x="8474472" y="880661"/>
          <a:ext cx="1095547" cy="477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b="1"/>
            <a:t>Total Records</a:t>
          </a:r>
          <a:endParaRPr lang="en-US" sz="1100" b="1"/>
        </a:p>
      </xdr:txBody>
    </xdr:sp>
    <xdr:clientData/>
  </xdr:twoCellAnchor>
  <xdr:twoCellAnchor>
    <xdr:from>
      <xdr:col>16</xdr:col>
      <xdr:colOff>524655</xdr:colOff>
      <xdr:row>5</xdr:row>
      <xdr:rowOff>2</xdr:rowOff>
    </xdr:from>
    <xdr:to>
      <xdr:col>18</xdr:col>
      <xdr:colOff>574622</xdr:colOff>
      <xdr:row>6</xdr:row>
      <xdr:rowOff>149903</xdr:rowOff>
    </xdr:to>
    <xdr:sp macro="" textlink="">
      <xdr:nvSpPr>
        <xdr:cNvPr id="27" name="TextBox 26">
          <a:extLst>
            <a:ext uri="{FF2B5EF4-FFF2-40B4-BE49-F238E27FC236}">
              <a16:creationId xmlns:a16="http://schemas.microsoft.com/office/drawing/2014/main" id="{00000000-0008-0000-0300-00001B000000}"/>
            </a:ext>
          </a:extLst>
        </xdr:cNvPr>
        <xdr:cNvSpPr txBox="1"/>
      </xdr:nvSpPr>
      <xdr:spPr>
        <a:xfrm>
          <a:off x="10318229" y="936887"/>
          <a:ext cx="1274163" cy="33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200" b="1"/>
            <a:t>Analysis</a:t>
          </a:r>
          <a:r>
            <a:rPr lang="en-US" b="1"/>
            <a:t> Period</a:t>
          </a:r>
          <a:endParaRPr lang="en-US" sz="1100" b="1"/>
        </a:p>
      </xdr:txBody>
    </xdr:sp>
    <xdr:clientData/>
  </xdr:twoCellAnchor>
  <xdr:twoCellAnchor>
    <xdr:from>
      <xdr:col>4</xdr:col>
      <xdr:colOff>324787</xdr:colOff>
      <xdr:row>6</xdr:row>
      <xdr:rowOff>47372</xdr:rowOff>
    </xdr:from>
    <xdr:to>
      <xdr:col>5</xdr:col>
      <xdr:colOff>448559</xdr:colOff>
      <xdr:row>8</xdr:row>
      <xdr:rowOff>137410</xdr:rowOff>
    </xdr:to>
    <xdr:sp macro="" textlink="">
      <xdr:nvSpPr>
        <xdr:cNvPr id="28" name="TextBox 27">
          <a:extLst>
            <a:ext uri="{FF2B5EF4-FFF2-40B4-BE49-F238E27FC236}">
              <a16:creationId xmlns:a16="http://schemas.microsoft.com/office/drawing/2014/main" id="{00000000-0008-0000-0300-00001C000000}"/>
            </a:ext>
          </a:extLst>
        </xdr:cNvPr>
        <xdr:cNvSpPr txBox="1"/>
      </xdr:nvSpPr>
      <xdr:spPr>
        <a:xfrm>
          <a:off x="2773180" y="1171634"/>
          <a:ext cx="735871" cy="464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800" b="1" i="0" u="none" strike="noStrike">
              <a:solidFill>
                <a:schemeClr val="dk1"/>
              </a:solidFill>
              <a:latin typeface="+mn-lt"/>
              <a:ea typeface="+mn-ea"/>
              <a:cs typeface="+mn-cs"/>
            </a:rPr>
            <a:t>3.665</a:t>
          </a:r>
          <a:r>
            <a:rPr lang="en-US" sz="1800" b="1"/>
            <a:t> </a:t>
          </a:r>
        </a:p>
      </xdr:txBody>
    </xdr:sp>
    <xdr:clientData/>
  </xdr:twoCellAnchor>
  <xdr:twoCellAnchor>
    <xdr:from>
      <xdr:col>7</xdr:col>
      <xdr:colOff>217712</xdr:colOff>
      <xdr:row>6</xdr:row>
      <xdr:rowOff>79420</xdr:rowOff>
    </xdr:from>
    <xdr:to>
      <xdr:col>9</xdr:col>
      <xdr:colOff>148441</xdr:colOff>
      <xdr:row>8</xdr:row>
      <xdr:rowOff>54185</xdr:rowOff>
    </xdr:to>
    <xdr:sp macro="" textlink="">
      <xdr:nvSpPr>
        <xdr:cNvPr id="29" name="TextBox 28">
          <a:extLst>
            <a:ext uri="{FF2B5EF4-FFF2-40B4-BE49-F238E27FC236}">
              <a16:creationId xmlns:a16="http://schemas.microsoft.com/office/drawing/2014/main" id="{00000000-0008-0000-0300-00001D000000}"/>
            </a:ext>
          </a:extLst>
        </xdr:cNvPr>
        <xdr:cNvSpPr txBox="1"/>
      </xdr:nvSpPr>
      <xdr:spPr>
        <a:xfrm rot="10800000" flipV="1">
          <a:off x="4502401" y="1203682"/>
          <a:ext cx="1154925" cy="349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800" b="1" i="0" u="none" strike="noStrike">
              <a:solidFill>
                <a:schemeClr val="dk1"/>
              </a:solidFill>
              <a:latin typeface="+mn-lt"/>
              <a:ea typeface="+mn-ea"/>
              <a:cs typeface="+mn-cs"/>
            </a:rPr>
            <a:t>183</a:t>
          </a:r>
          <a:r>
            <a:rPr lang="en-US" sz="1800" b="1"/>
            <a:t> </a:t>
          </a:r>
        </a:p>
      </xdr:txBody>
    </xdr:sp>
    <xdr:clientData/>
  </xdr:twoCellAnchor>
  <xdr:twoCellAnchor>
    <xdr:from>
      <xdr:col>10</xdr:col>
      <xdr:colOff>499672</xdr:colOff>
      <xdr:row>6</xdr:row>
      <xdr:rowOff>95451</xdr:rowOff>
    </xdr:from>
    <xdr:to>
      <xdr:col>11</xdr:col>
      <xdr:colOff>591856</xdr:colOff>
      <xdr:row>8</xdr:row>
      <xdr:rowOff>87443</xdr:rowOff>
    </xdr:to>
    <xdr:sp macro="" textlink="">
      <xdr:nvSpPr>
        <xdr:cNvPr id="30" name="TextBox 29">
          <a:extLst>
            <a:ext uri="{FF2B5EF4-FFF2-40B4-BE49-F238E27FC236}">
              <a16:creationId xmlns:a16="http://schemas.microsoft.com/office/drawing/2014/main" id="{00000000-0008-0000-0300-00001E000000}"/>
            </a:ext>
          </a:extLst>
        </xdr:cNvPr>
        <xdr:cNvSpPr txBox="1"/>
      </xdr:nvSpPr>
      <xdr:spPr>
        <a:xfrm>
          <a:off x="6620656" y="1219713"/>
          <a:ext cx="704282" cy="366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800" b="1" i="0" u="none" strike="noStrike">
              <a:solidFill>
                <a:schemeClr val="dk1"/>
              </a:solidFill>
              <a:latin typeface="+mn-lt"/>
              <a:ea typeface="+mn-ea"/>
              <a:cs typeface="+mn-cs"/>
            </a:rPr>
            <a:t>5.33</a:t>
          </a:r>
          <a:r>
            <a:rPr lang="en-US" sz="1800" b="1"/>
            <a:t> </a:t>
          </a:r>
        </a:p>
      </xdr:txBody>
    </xdr:sp>
    <xdr:clientData/>
  </xdr:twoCellAnchor>
  <xdr:twoCellAnchor>
    <xdr:from>
      <xdr:col>14</xdr:col>
      <xdr:colOff>30457</xdr:colOff>
      <xdr:row>6</xdr:row>
      <xdr:rowOff>78835</xdr:rowOff>
    </xdr:from>
    <xdr:to>
      <xdr:col>15</xdr:col>
      <xdr:colOff>99036</xdr:colOff>
      <xdr:row>7</xdr:row>
      <xdr:rowOff>187141</xdr:rowOff>
    </xdr:to>
    <xdr:sp macro="" textlink="">
      <xdr:nvSpPr>
        <xdr:cNvPr id="31" name="TextBox 30">
          <a:extLst>
            <a:ext uri="{FF2B5EF4-FFF2-40B4-BE49-F238E27FC236}">
              <a16:creationId xmlns:a16="http://schemas.microsoft.com/office/drawing/2014/main" id="{00000000-0008-0000-0300-00001F000000}"/>
            </a:ext>
          </a:extLst>
        </xdr:cNvPr>
        <xdr:cNvSpPr txBox="1"/>
      </xdr:nvSpPr>
      <xdr:spPr>
        <a:xfrm rot="10800000" flipV="1">
          <a:off x="8599834" y="1203097"/>
          <a:ext cx="680677" cy="295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800" b="1" i="0" u="none" strike="noStrike">
              <a:solidFill>
                <a:schemeClr val="dk1"/>
              </a:solidFill>
              <a:latin typeface="+mn-lt"/>
              <a:ea typeface="+mn-ea"/>
              <a:cs typeface="+mn-cs"/>
            </a:rPr>
            <a:t>1764</a:t>
          </a:r>
          <a:r>
            <a:rPr lang="en-US" sz="1800" b="1"/>
            <a:t> </a:t>
          </a:r>
        </a:p>
      </xdr:txBody>
    </xdr:sp>
    <xdr:clientData/>
  </xdr:twoCellAnchor>
  <xdr:twoCellAnchor>
    <xdr:from>
      <xdr:col>16</xdr:col>
      <xdr:colOff>331761</xdr:colOff>
      <xdr:row>6</xdr:row>
      <xdr:rowOff>73493</xdr:rowOff>
    </xdr:from>
    <xdr:to>
      <xdr:col>19</xdr:col>
      <xdr:colOff>193215</xdr:colOff>
      <xdr:row>8</xdr:row>
      <xdr:rowOff>83388</xdr:rowOff>
    </xdr:to>
    <xdr:sp macro="" textlink="">
      <xdr:nvSpPr>
        <xdr:cNvPr id="32" name="TextBox 31">
          <a:extLst>
            <a:ext uri="{FF2B5EF4-FFF2-40B4-BE49-F238E27FC236}">
              <a16:creationId xmlns:a16="http://schemas.microsoft.com/office/drawing/2014/main" id="{00000000-0008-0000-0300-000020000000}"/>
            </a:ext>
          </a:extLst>
        </xdr:cNvPr>
        <xdr:cNvSpPr txBox="1"/>
      </xdr:nvSpPr>
      <xdr:spPr>
        <a:xfrm rot="10800000" flipV="1">
          <a:off x="10125335" y="1197755"/>
          <a:ext cx="1697749" cy="384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800" b="1"/>
            <a:t>2019 - 2025</a:t>
          </a:r>
        </a:p>
      </xdr:txBody>
    </xdr:sp>
    <xdr:clientData/>
  </xdr:twoCellAnchor>
  <xdr:twoCellAnchor>
    <xdr:from>
      <xdr:col>0</xdr:col>
      <xdr:colOff>479767</xdr:colOff>
      <xdr:row>9</xdr:row>
      <xdr:rowOff>124919</xdr:rowOff>
    </xdr:from>
    <xdr:to>
      <xdr:col>8</xdr:col>
      <xdr:colOff>154980</xdr:colOff>
      <xdr:row>22</xdr:row>
      <xdr:rowOff>66457</xdr:rowOff>
    </xdr:to>
    <xdr:graphicFrame macro="">
      <xdr:nvGraphicFramePr>
        <xdr:cNvPr id="34" name="Chart 33">
          <a:extLst>
            <a:ext uri="{FF2B5EF4-FFF2-40B4-BE49-F238E27FC236}">
              <a16:creationId xmlns:a16="http://schemas.microsoft.com/office/drawing/2014/main" id="{00000000-0008-0000-03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272113</xdr:colOff>
      <xdr:row>9</xdr:row>
      <xdr:rowOff>142853</xdr:rowOff>
    </xdr:from>
    <xdr:to>
      <xdr:col>15</xdr:col>
      <xdr:colOff>559425</xdr:colOff>
      <xdr:row>22</xdr:row>
      <xdr:rowOff>75247</xdr:rowOff>
    </xdr:to>
    <xdr:graphicFrame macro="">
      <xdr:nvGraphicFramePr>
        <xdr:cNvPr id="35" name="Chart 34">
          <a:extLst>
            <a:ext uri="{FF2B5EF4-FFF2-40B4-BE49-F238E27FC236}">
              <a16:creationId xmlns:a16="http://schemas.microsoft.com/office/drawing/2014/main" id="{00000000-0008-0000-03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475313</xdr:colOff>
      <xdr:row>23</xdr:row>
      <xdr:rowOff>158436</xdr:rowOff>
    </xdr:from>
    <xdr:to>
      <xdr:col>8</xdr:col>
      <xdr:colOff>150526</xdr:colOff>
      <xdr:row>36</xdr:row>
      <xdr:rowOff>90830</xdr:rowOff>
    </xdr:to>
    <xdr:graphicFrame macro="">
      <xdr:nvGraphicFramePr>
        <xdr:cNvPr id="37" name="Chart 36">
          <a:extLst>
            <a:ext uri="{FF2B5EF4-FFF2-40B4-BE49-F238E27FC236}">
              <a16:creationId xmlns:a16="http://schemas.microsoft.com/office/drawing/2014/main" id="{00000000-0008-0000-03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512164</xdr:colOff>
      <xdr:row>0</xdr:row>
      <xdr:rowOff>87442</xdr:rowOff>
    </xdr:from>
    <xdr:to>
      <xdr:col>19</xdr:col>
      <xdr:colOff>449705</xdr:colOff>
      <xdr:row>3</xdr:row>
      <xdr:rowOff>124917</xdr:rowOff>
    </xdr:to>
    <xdr:sp macro="" textlink="">
      <xdr:nvSpPr>
        <xdr:cNvPr id="5" name="TextBox 4">
          <a:extLst>
            <a:ext uri="{FF2B5EF4-FFF2-40B4-BE49-F238E27FC236}">
              <a16:creationId xmlns:a16="http://schemas.microsoft.com/office/drawing/2014/main" id="{B35C1886-45E6-A1E4-3E0A-C2131271FFDA}"/>
            </a:ext>
          </a:extLst>
        </xdr:cNvPr>
        <xdr:cNvSpPr txBox="1"/>
      </xdr:nvSpPr>
      <xdr:spPr>
        <a:xfrm>
          <a:off x="6021049" y="87442"/>
          <a:ext cx="6058525" cy="599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1"/>
              </a:solidFill>
            </a:rPr>
            <a:t>India Consumer Price Index (CPI) Dashboard</a:t>
          </a:r>
        </a:p>
      </xdr:txBody>
    </xdr:sp>
    <xdr:clientData/>
  </xdr:twoCellAnchor>
  <xdr:twoCellAnchor>
    <xdr:from>
      <xdr:col>16</xdr:col>
      <xdr:colOff>194377</xdr:colOff>
      <xdr:row>9</xdr:row>
      <xdr:rowOff>162416</xdr:rowOff>
    </xdr:from>
    <xdr:to>
      <xdr:col>23</xdr:col>
      <xdr:colOff>481689</xdr:colOff>
      <xdr:row>22</xdr:row>
      <xdr:rowOff>94810</xdr:rowOff>
    </xdr:to>
    <xdr:graphicFrame macro="">
      <xdr:nvGraphicFramePr>
        <xdr:cNvPr id="6" name="Chart 5">
          <a:extLst>
            <a:ext uri="{FF2B5EF4-FFF2-40B4-BE49-F238E27FC236}">
              <a16:creationId xmlns:a16="http://schemas.microsoft.com/office/drawing/2014/main" id="{C8245ECE-EB1D-6A4B-1E0F-6860D4208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55589</xdr:colOff>
      <xdr:row>24</xdr:row>
      <xdr:rowOff>76451</xdr:rowOff>
    </xdr:from>
    <xdr:to>
      <xdr:col>11</xdr:col>
      <xdr:colOff>587115</xdr:colOff>
      <xdr:row>31</xdr:row>
      <xdr:rowOff>74950</xdr:rowOff>
    </xdr:to>
    <mc:AlternateContent xmlns:mc="http://schemas.openxmlformats.org/markup-compatibility/2006">
      <mc:Choice xmlns:a14="http://schemas.microsoft.com/office/drawing/2010/main" Requires="a14">
        <xdr:graphicFrame macro="">
          <xdr:nvGraphicFramePr>
            <xdr:cNvPr id="7" name="Year 1">
              <a:extLst>
                <a:ext uri="{FF2B5EF4-FFF2-40B4-BE49-F238E27FC236}">
                  <a16:creationId xmlns:a16="http://schemas.microsoft.com/office/drawing/2014/main" id="{68FD687C-6533-C995-C1C0-935FAFC479B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564474" y="4573500"/>
              <a:ext cx="1755723" cy="1310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210862</xdr:colOff>
      <xdr:row>24</xdr:row>
      <xdr:rowOff>124917</xdr:rowOff>
    </xdr:from>
    <xdr:to>
      <xdr:col>15</xdr:col>
      <xdr:colOff>237345</xdr:colOff>
      <xdr:row>31</xdr:row>
      <xdr:rowOff>62458</xdr:rowOff>
    </xdr:to>
    <mc:AlternateContent xmlns:mc="http://schemas.openxmlformats.org/markup-compatibility/2006">
      <mc:Choice xmlns:a14="http://schemas.microsoft.com/office/drawing/2010/main" Requires="a14">
        <xdr:graphicFrame macro="">
          <xdr:nvGraphicFramePr>
            <xdr:cNvPr id="8" name="Area 1">
              <a:extLst>
                <a:ext uri="{FF2B5EF4-FFF2-40B4-BE49-F238E27FC236}">
                  <a16:creationId xmlns:a16="http://schemas.microsoft.com/office/drawing/2014/main" id="{4F48EFA1-BE15-50AF-22A7-6AAA323A2130}"/>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dr:sp macro="" textlink="">
          <xdr:nvSpPr>
            <xdr:cNvPr id="0" name=""/>
            <xdr:cNvSpPr>
              <a:spLocks noTextEdit="1"/>
            </xdr:cNvSpPr>
          </xdr:nvSpPr>
          <xdr:spPr>
            <a:xfrm>
              <a:off x="7556042" y="4621966"/>
              <a:ext cx="1862778" cy="1249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578495</xdr:colOff>
      <xdr:row>33</xdr:row>
      <xdr:rowOff>17115</xdr:rowOff>
    </xdr:from>
    <xdr:to>
      <xdr:col>12</xdr:col>
      <xdr:colOff>399738</xdr:colOff>
      <xdr:row>45</xdr:row>
      <xdr:rowOff>24985</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B85E4D04-ADE8-5DAB-1B04-E27CBD15CEB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475282" y="6200558"/>
              <a:ext cx="2269636" cy="2256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483931</xdr:colOff>
      <xdr:row>24</xdr:row>
      <xdr:rowOff>142533</xdr:rowOff>
    </xdr:from>
    <xdr:to>
      <xdr:col>22</xdr:col>
      <xdr:colOff>199869</xdr:colOff>
      <xdr:row>37</xdr:row>
      <xdr:rowOff>124919</xdr:rowOff>
    </xdr:to>
    <mc:AlternateContent xmlns:mc="http://schemas.openxmlformats.org/markup-compatibility/2006">
      <mc:Choice xmlns:a14="http://schemas.microsoft.com/office/drawing/2010/main" Requires="a14">
        <xdr:graphicFrame macro="">
          <xdr:nvGraphicFramePr>
            <xdr:cNvPr id="11" name="Year_Month">
              <a:extLst>
                <a:ext uri="{FF2B5EF4-FFF2-40B4-BE49-F238E27FC236}">
                  <a16:creationId xmlns:a16="http://schemas.microsoft.com/office/drawing/2014/main" id="{C875A80E-695F-126F-F62C-881BB378AA19}"/>
                </a:ext>
              </a:extLst>
            </xdr:cNvPr>
            <xdr:cNvGraphicFramePr/>
          </xdr:nvGraphicFramePr>
          <xdr:xfrm>
            <a:off x="0" y="0"/>
            <a:ext cx="0" cy="0"/>
          </xdr:xfrm>
          <a:graphic>
            <a:graphicData uri="http://schemas.microsoft.com/office/drawing/2010/slicer">
              <sle:slicer xmlns:sle="http://schemas.microsoft.com/office/drawing/2010/slicer" name="Year_Month"/>
            </a:graphicData>
          </a:graphic>
        </xdr:graphicFrame>
      </mc:Choice>
      <mc:Fallback>
        <xdr:sp macro="" textlink="">
          <xdr:nvSpPr>
            <xdr:cNvPr id="0" name=""/>
            <xdr:cNvSpPr>
              <a:spLocks noTextEdit="1"/>
            </xdr:cNvSpPr>
          </xdr:nvSpPr>
          <xdr:spPr>
            <a:xfrm>
              <a:off x="9665406" y="4639582"/>
              <a:ext cx="4000627" cy="2418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532197</xdr:colOff>
      <xdr:row>0</xdr:row>
      <xdr:rowOff>66574</xdr:rowOff>
    </xdr:from>
    <xdr:to>
      <xdr:col>15</xdr:col>
      <xdr:colOff>280737</xdr:colOff>
      <xdr:row>2</xdr:row>
      <xdr:rowOff>20854</xdr:rowOff>
    </xdr:to>
    <xdr:sp macro="" textlink="">
      <xdr:nvSpPr>
        <xdr:cNvPr id="2" name="TextBox 1">
          <a:extLst>
            <a:ext uri="{FF2B5EF4-FFF2-40B4-BE49-F238E27FC236}">
              <a16:creationId xmlns:a16="http://schemas.microsoft.com/office/drawing/2014/main" id="{9F7163CD-B2EC-0724-899B-7AD46DAEB9DB}"/>
            </a:ext>
          </a:extLst>
        </xdr:cNvPr>
        <xdr:cNvSpPr txBox="1"/>
      </xdr:nvSpPr>
      <xdr:spPr>
        <a:xfrm>
          <a:off x="5425039" y="66574"/>
          <a:ext cx="4029777" cy="315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2"/>
              </a:solidFill>
            </a:rPr>
            <a:t>Business Insights Report</a:t>
          </a:r>
        </a:p>
      </xdr:txBody>
    </xdr:sp>
    <xdr:clientData/>
  </xdr:twoCellAnchor>
  <xdr:twoCellAnchor>
    <xdr:from>
      <xdr:col>9</xdr:col>
      <xdr:colOff>551448</xdr:colOff>
      <xdr:row>2</xdr:row>
      <xdr:rowOff>84622</xdr:rowOff>
    </xdr:from>
    <xdr:to>
      <xdr:col>14</xdr:col>
      <xdr:colOff>425115</xdr:colOff>
      <xdr:row>5</xdr:row>
      <xdr:rowOff>130343</xdr:rowOff>
    </xdr:to>
    <xdr:sp macro="" textlink="">
      <xdr:nvSpPr>
        <xdr:cNvPr id="3" name="TextBox 2">
          <a:extLst>
            <a:ext uri="{FF2B5EF4-FFF2-40B4-BE49-F238E27FC236}">
              <a16:creationId xmlns:a16="http://schemas.microsoft.com/office/drawing/2014/main" id="{7C59B368-B9E7-21AA-871C-D17EC2B84EDF}"/>
            </a:ext>
          </a:extLst>
        </xdr:cNvPr>
        <xdr:cNvSpPr txBox="1"/>
      </xdr:nvSpPr>
      <xdr:spPr>
        <a:xfrm>
          <a:off x="6055895" y="445569"/>
          <a:ext cx="2931694" cy="5871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Project: India Consumer Price Index (CPI) Dashboard (2019–2025)</a:t>
          </a:r>
        </a:p>
      </xdr:txBody>
    </xdr:sp>
    <xdr:clientData/>
  </xdr:twoCellAnchor>
  <xdr:twoCellAnchor>
    <xdr:from>
      <xdr:col>4</xdr:col>
      <xdr:colOff>253866</xdr:colOff>
      <xdr:row>6</xdr:row>
      <xdr:rowOff>51335</xdr:rowOff>
    </xdr:from>
    <xdr:to>
      <xdr:col>22</xdr:col>
      <xdr:colOff>467226</xdr:colOff>
      <xdr:row>34</xdr:row>
      <xdr:rowOff>80211</xdr:rowOff>
    </xdr:to>
    <xdr:sp macro="" textlink="">
      <xdr:nvSpPr>
        <xdr:cNvPr id="4" name="TextBox 3">
          <a:extLst>
            <a:ext uri="{FF2B5EF4-FFF2-40B4-BE49-F238E27FC236}">
              <a16:creationId xmlns:a16="http://schemas.microsoft.com/office/drawing/2014/main" id="{2F999640-A4E7-A00F-68DB-24493C6B8C05}"/>
            </a:ext>
          </a:extLst>
        </xdr:cNvPr>
        <xdr:cNvSpPr txBox="1"/>
      </xdr:nvSpPr>
      <xdr:spPr>
        <a:xfrm>
          <a:off x="2700287" y="1134177"/>
          <a:ext cx="11222255" cy="5082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Executive Summary:-</a:t>
          </a:r>
        </a:p>
        <a:p>
          <a:r>
            <a:rPr lang="en-IN" sz="1100"/>
            <a:t>This dashboard analyzes India's Consumer Price Index (CPI) and inflation trends from 2019 to 2025. It helps identify yearly trends, category-wise price movements, and area-wise CPI patterns using interactive Excel dashboards.</a:t>
          </a:r>
        </a:p>
        <a:p>
          <a:endParaRPr lang="en-IN" sz="1100"/>
        </a:p>
        <a:p>
          <a:r>
            <a:rPr lang="en-IN" sz="1400" b="1"/>
            <a:t>Key Insights:-</a:t>
          </a:r>
        </a:p>
        <a:p>
          <a:endParaRPr lang="en-IN" sz="1400" b="1"/>
        </a:p>
        <a:p>
          <a:r>
            <a:rPr lang="en-IN" sz="1400" b="1"/>
            <a:t>1. </a:t>
          </a:r>
          <a:r>
            <a:rPr lang="en-IN" sz="1100" b="0"/>
            <a:t>The average CPI across the analysis period is </a:t>
          </a:r>
          <a:r>
            <a:rPr lang="en-IN" sz="1100" b="1"/>
            <a:t>159.2,</a:t>
          </a:r>
          <a:r>
            <a:rPr lang="en-IN" sz="1100" b="0"/>
            <a:t> indicating a gradual rise in consumer prices.</a:t>
          </a:r>
        </a:p>
        <a:p>
          <a:r>
            <a:rPr lang="en-IN" sz="1400" b="1"/>
            <a:t>2</a:t>
          </a:r>
          <a:r>
            <a:rPr lang="en-IN" sz="1100" b="0"/>
            <a:t>. The highest recorded CPI is </a:t>
          </a:r>
          <a:r>
            <a:rPr lang="en-IN" sz="1100" b="1"/>
            <a:t>183, </a:t>
          </a:r>
          <a:r>
            <a:rPr lang="en-IN" sz="1100" b="0"/>
            <a:t>reflecting the peak price level during the analysis period.</a:t>
          </a:r>
        </a:p>
        <a:p>
          <a:r>
            <a:rPr lang="en-IN" sz="1400" b="1"/>
            <a:t>3. </a:t>
          </a:r>
          <a:r>
            <a:rPr lang="en-IN" sz="1100" b="0"/>
            <a:t>The highest inflation recorded is </a:t>
          </a:r>
          <a:r>
            <a:rPr lang="en-IN" sz="1100" b="1"/>
            <a:t>5.33%, </a:t>
          </a:r>
          <a:r>
            <a:rPr lang="en-IN" sz="1100" b="0"/>
            <a:t>showing periods of increased price pressure</a:t>
          </a:r>
          <a:r>
            <a:rPr lang="en-IN" sz="1400" b="1"/>
            <a:t>.</a:t>
          </a:r>
        </a:p>
        <a:p>
          <a:r>
            <a:rPr lang="en-IN" sz="1400" b="1"/>
            <a:t>4. </a:t>
          </a:r>
          <a:r>
            <a:rPr lang="en-IN" sz="1100" b="0"/>
            <a:t>CPI shows a consistent upward trend from </a:t>
          </a:r>
          <a:r>
            <a:rPr lang="en-IN" sz="1100" b="1"/>
            <a:t>2019 to 2025</a:t>
          </a:r>
          <a:r>
            <a:rPr lang="en-IN" sz="1100" b="0"/>
            <a:t>, indicating long-term inflation growth.</a:t>
          </a:r>
        </a:p>
        <a:p>
          <a:r>
            <a:rPr lang="en-IN" sz="1400" b="1"/>
            <a:t>5. </a:t>
          </a:r>
          <a:r>
            <a:rPr lang="en-IN" sz="1100" b="0"/>
            <a:t>Housing and Miscellaneous categories have relatively </a:t>
          </a:r>
          <a:r>
            <a:rPr lang="en-IN" sz="1100" b="1"/>
            <a:t>higher average CPI </a:t>
          </a:r>
          <a:r>
            <a:rPr lang="en-IN" sz="1100" b="0"/>
            <a:t>compared to other categories</a:t>
          </a:r>
          <a:r>
            <a:rPr lang="en-IN" sz="1400" b="1"/>
            <a:t>.</a:t>
          </a:r>
        </a:p>
        <a:p>
          <a:r>
            <a:rPr lang="en-IN" sz="1400" b="1"/>
            <a:t>6</a:t>
          </a:r>
          <a:r>
            <a:rPr lang="en-IN" sz="1100" b="1"/>
            <a:t>. Area-wise average CPI values </a:t>
          </a:r>
          <a:r>
            <a:rPr lang="en-IN" sz="1100" b="0"/>
            <a:t>are similar, with Combined having the highest average CPI.</a:t>
          </a:r>
        </a:p>
        <a:p>
          <a:endParaRPr lang="en-IN" sz="1100" b="0"/>
        </a:p>
        <a:p>
          <a:r>
            <a:rPr lang="en-IN" sz="1400" b="1"/>
            <a:t>Business Recommendations</a:t>
          </a:r>
        </a:p>
        <a:p>
          <a:endParaRPr lang="en-IN" sz="1400" b="1"/>
        </a:p>
        <a:p>
          <a:r>
            <a:rPr lang="en-IN" sz="1100" b="0"/>
            <a:t>Monitor high-CPI categories to understand price increases.</a:t>
          </a:r>
        </a:p>
        <a:p>
          <a:r>
            <a:rPr lang="en-IN" sz="1100" b="0"/>
            <a:t>Track inflation trends regularly for better economic planning.</a:t>
          </a:r>
        </a:p>
        <a:p>
          <a:r>
            <a:rPr lang="en-IN" sz="1100" b="0"/>
            <a:t>Focus on categories with consistently increasing CPI.</a:t>
          </a:r>
        </a:p>
        <a:p>
          <a:r>
            <a:rPr lang="en-IN" sz="1100" b="0"/>
            <a:t>Use yearly CPI analysis to support forecasting and policy decisions.</a:t>
          </a:r>
        </a:p>
        <a:p>
          <a:r>
            <a:rPr lang="en-IN" sz="1100" b="0"/>
            <a:t>Compare area-wise CPI to identify regional pricing patterns.</a:t>
          </a:r>
        </a:p>
        <a:p>
          <a:endParaRPr lang="en-IN" sz="1100" b="0"/>
        </a:p>
        <a:p>
          <a:r>
            <a:rPr lang="en-IN" sz="1400" b="1"/>
            <a:t>Conclusion</a:t>
          </a:r>
        </a:p>
        <a:p>
          <a:endParaRPr lang="en-IN" sz="1100" b="0"/>
        </a:p>
        <a:p>
          <a:r>
            <a:rPr lang="en-IN" sz="1100" b="0"/>
            <a:t>The dashboard provides a clear view of CPI and inflation trends between 2019 and 2025. Interactive filters and visualizations enable quick analysis of price movements across years, categories, and areas, supporting data-driven decision-making.</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c" refreshedDate="46209.7291625" createdVersion="3" refreshedVersion="3" minRefreshableVersion="3" recordCount="1765" xr:uid="{00000000-000A-0000-FFFF-FFFF00000000}">
  <cacheSource type="worksheet">
    <worksheetSource ref="A1:L1048576" sheet="clean_data"/>
  </cacheSource>
  <cacheFields count="12">
    <cacheField name="Year" numFmtId="0">
      <sharedItems containsString="0" containsBlank="1" containsNumber="1" containsInteger="1" minValue="2019" maxValue="2025" count="8">
        <n v="2019"/>
        <n v="2020"/>
        <n v="2021"/>
        <n v="2022"/>
        <n v="2023"/>
        <n v="2024"/>
        <n v="2025"/>
        <m/>
      </sharedItems>
    </cacheField>
    <cacheField name="Month" numFmtId="0">
      <sharedItems containsBlank="1" count="13">
        <s v="January"/>
        <s v="February"/>
        <s v="March"/>
        <s v="April"/>
        <s v="May"/>
        <s v="June"/>
        <s v="July"/>
        <s v="August"/>
        <s v="September"/>
        <s v="October"/>
        <s v="November"/>
        <s v="December"/>
        <m/>
      </sharedItems>
    </cacheField>
    <cacheField name="Area" numFmtId="0">
      <sharedItems containsBlank="1" count="4">
        <s v="Rural"/>
        <s v="Urban"/>
        <s v="Combined"/>
        <m/>
      </sharedItems>
    </cacheField>
    <cacheField name="Category" numFmtId="0">
      <sharedItems containsBlank="1" count="8">
        <s v="General"/>
        <s v="Food &amp; Beverages"/>
        <s v="Pan, Tobacco &amp; Intoxicants"/>
        <s v="Clothing &amp; Footwear"/>
        <s v="Housing"/>
        <s v="Fuel &amp; Light"/>
        <s v="Miscellaneous"/>
        <m/>
      </sharedItems>
    </cacheField>
    <cacheField name="Weight" numFmtId="0">
      <sharedItems containsString="0" containsBlank="1" containsNumber="1" minValue="2.38" maxValue="100" count="8">
        <n v="100"/>
        <n v="45.86"/>
        <n v="2.38"/>
        <n v="6.53"/>
        <n v="10.07"/>
        <n v="6.84"/>
        <n v="28.32"/>
        <m/>
      </sharedItems>
    </cacheField>
    <cacheField name="CPI_Index" numFmtId="0">
      <sharedItems containsString="0" containsBlank="1" containsNumber="1" minValue="135.4" maxValue="183" count="238">
        <n v="135.4"/>
        <n v="137.4"/>
        <n v="139.4"/>
        <n v="141.4"/>
        <n v="143.4"/>
        <n v="145.4"/>
        <n v="147.4"/>
        <n v="136"/>
        <n v="138"/>
        <n v="140"/>
        <n v="142"/>
        <n v="144"/>
        <n v="146"/>
        <n v="148"/>
        <n v="136.6"/>
        <n v="138.6"/>
        <n v="140.6"/>
        <n v="142.6"/>
        <n v="144.6"/>
        <n v="146.6"/>
        <n v="148.6"/>
        <n v="135.80000000000001"/>
        <n v="137.80000000000001"/>
        <n v="139.80000000000001"/>
        <n v="141.80000000000001"/>
        <n v="143.80000000000001"/>
        <n v="145.80000000000001"/>
        <n v="147.80000000000001"/>
        <n v="136.4"/>
        <n v="138.4"/>
        <n v="140.4"/>
        <n v="142.4"/>
        <n v="144.4"/>
        <n v="146.4"/>
        <n v="148.4"/>
        <n v="137"/>
        <n v="139"/>
        <n v="141"/>
        <n v="143"/>
        <n v="145"/>
        <n v="147"/>
        <n v="149"/>
        <n v="136.19999999999999"/>
        <n v="138.19999999999999"/>
        <n v="140.19999999999999"/>
        <n v="142.19999999999999"/>
        <n v="144.19999999999999"/>
        <n v="146.19999999999999"/>
        <n v="148.19999999999999"/>
        <n v="136.80000000000001"/>
        <n v="138.80000000000001"/>
        <n v="140.80000000000001"/>
        <n v="142.80000000000001"/>
        <n v="144.80000000000001"/>
        <n v="146.80000000000001"/>
        <n v="148.80000000000001"/>
        <n v="149.4"/>
        <n v="137.19999999999999"/>
        <n v="139.19999999999999"/>
        <n v="141.19999999999999"/>
        <n v="143.19999999999999"/>
        <n v="145.19999999999999"/>
        <n v="147.19999999999999"/>
        <n v="149.19999999999999"/>
        <n v="149.80000000000001"/>
        <n v="137.6"/>
        <n v="139.6"/>
        <n v="141.6"/>
        <n v="143.6"/>
        <n v="145.6"/>
        <n v="147.6"/>
        <n v="149.6"/>
        <n v="150.19999999999999"/>
        <n v="150"/>
        <n v="150.6"/>
        <n v="150.4"/>
        <n v="151"/>
        <n v="150.80000000000001"/>
        <n v="151.4"/>
        <n v="151.19999999999999"/>
        <n v="151.80000000000001"/>
        <n v="151.6"/>
        <n v="152.19999999999999"/>
        <n v="152"/>
        <n v="152.6"/>
        <n v="152.4"/>
        <n v="153"/>
        <n v="153.6"/>
        <n v="152.80000000000001"/>
        <n v="153.4"/>
        <n v="154"/>
        <n v="153.19999999999999"/>
        <n v="153.80000000000001"/>
        <n v="154.4"/>
        <n v="154.19999999999999"/>
        <n v="154.80000000000001"/>
        <n v="154.6"/>
        <n v="155.19999999999999"/>
        <n v="155"/>
        <n v="155.6"/>
        <n v="155.4"/>
        <n v="156"/>
        <n v="155.80000000000001"/>
        <n v="156.4"/>
        <n v="156.19999999999999"/>
        <n v="156.80000000000001"/>
        <n v="156.6"/>
        <n v="157.19999999999999"/>
        <n v="157"/>
        <n v="157.6"/>
        <n v="157.4"/>
        <n v="158"/>
        <n v="158.6"/>
        <n v="157.80000000000001"/>
        <n v="158.4"/>
        <n v="159"/>
        <n v="158.19999999999999"/>
        <n v="158.80000000000001"/>
        <n v="159.4"/>
        <n v="159.19999999999999"/>
        <n v="159.80000000000001"/>
        <n v="159.6"/>
        <n v="160.19999999999999"/>
        <n v="160"/>
        <n v="160.6"/>
        <n v="160.4"/>
        <n v="161"/>
        <n v="160.80000000000001"/>
        <n v="161.4"/>
        <n v="161.19999999999999"/>
        <n v="161.80000000000001"/>
        <n v="161.6"/>
        <n v="162.19999999999999"/>
        <n v="162"/>
        <n v="162.6"/>
        <n v="162.4"/>
        <n v="163"/>
        <n v="163.6"/>
        <n v="162.80000000000001"/>
        <n v="163.4"/>
        <n v="164"/>
        <n v="163.19999999999999"/>
        <n v="163.80000000000001"/>
        <n v="164.4"/>
        <n v="164.2"/>
        <n v="164.8"/>
        <n v="164.6"/>
        <n v="165.2"/>
        <n v="165"/>
        <n v="165.6"/>
        <n v="165.4"/>
        <n v="166"/>
        <n v="165.8"/>
        <n v="166.4"/>
        <n v="166.2"/>
        <n v="166.8"/>
        <n v="166.6"/>
        <n v="167.2"/>
        <n v="167"/>
        <n v="167.6"/>
        <n v="167.4"/>
        <n v="168"/>
        <n v="168.6"/>
        <n v="167.8"/>
        <n v="168.4"/>
        <n v="169"/>
        <n v="168.2"/>
        <n v="168.8"/>
        <n v="169.4"/>
        <n v="169.2"/>
        <n v="169.8"/>
        <n v="169.6"/>
        <n v="170.2"/>
        <n v="170"/>
        <n v="170.6"/>
        <n v="170.4"/>
        <n v="171"/>
        <n v="170.8"/>
        <n v="171.4"/>
        <n v="171.2"/>
        <n v="171.8"/>
        <n v="171.6"/>
        <n v="172.2"/>
        <n v="172"/>
        <n v="172.6"/>
        <n v="172.4"/>
        <n v="173"/>
        <n v="173.6"/>
        <n v="172.8"/>
        <n v="173.4"/>
        <n v="174"/>
        <n v="173.2"/>
        <n v="173.8"/>
        <n v="174.4"/>
        <n v="174.2"/>
        <n v="174.8"/>
        <n v="174.6"/>
        <n v="175.2"/>
        <n v="175"/>
        <n v="175.6"/>
        <n v="175.4"/>
        <n v="176"/>
        <n v="175.8"/>
        <n v="176.4"/>
        <n v="176.2"/>
        <n v="176.8"/>
        <n v="176.6"/>
        <n v="177.2"/>
        <n v="177"/>
        <n v="177.6"/>
        <n v="177.4"/>
        <n v="178"/>
        <n v="178.6"/>
        <n v="177.8"/>
        <n v="178.4"/>
        <n v="179"/>
        <n v="178.2"/>
        <n v="178.8"/>
        <n v="179.4"/>
        <n v="179.2"/>
        <n v="179.8"/>
        <n v="179.6"/>
        <n v="180.2"/>
        <n v="180"/>
        <n v="180.6"/>
        <n v="180.4"/>
        <n v="181"/>
        <n v="180.8"/>
        <n v="181.4"/>
        <n v="181.2"/>
        <n v="181.8"/>
        <n v="181.6"/>
        <n v="182.2"/>
        <n v="182"/>
        <n v="182.6"/>
        <n v="182.4"/>
        <n v="183"/>
        <m/>
      </sharedItems>
    </cacheField>
    <cacheField name="Inflation_Percent" numFmtId="0">
      <sharedItems containsString="0" containsBlank="1" containsNumber="1" minValue="2" maxValue="5.33"/>
    </cacheField>
    <cacheField name="Date" numFmtId="0">
      <sharedItems containsNonDate="0" containsDate="1" containsString="0" containsBlank="1" minDate="2019-01-01T00:00:00" maxDate="2025-12-02T00:00:00"/>
    </cacheField>
    <cacheField name="Month_No" numFmtId="0">
      <sharedItems containsString="0" containsBlank="1" containsNumber="1" containsInteger="1" minValue="1" maxValue="12"/>
    </cacheField>
    <cacheField name="Quarter" numFmtId="0">
      <sharedItems containsBlank="1"/>
    </cacheField>
    <cacheField name="Year_Month" numFmtId="0">
      <sharedItems containsBlank="1" count="85">
        <s v="Jan-2019"/>
        <s v="Feb-2019"/>
        <s v="Mar-2019"/>
        <s v="Apr-2019"/>
        <s v="May-2019"/>
        <s v="Jun-2019"/>
        <s v="Jul-2019"/>
        <s v="Aug-2019"/>
        <s v="Sep-2019"/>
        <s v="Oct-2019"/>
        <s v="Nov-2019"/>
        <s v="Dec-2019"/>
        <s v="Jan-2020"/>
        <s v="Feb-2020"/>
        <s v="Mar-2020"/>
        <s v="Apr-2020"/>
        <s v="May-2020"/>
        <s v="Jun-2020"/>
        <s v="Jul-2020"/>
        <s v="Aug-2020"/>
        <s v="Sep-2020"/>
        <s v="Oct-2020"/>
        <s v="Nov-2020"/>
        <s v="Dec-2020"/>
        <s v="Jan-2021"/>
        <s v="Feb-2021"/>
        <s v="Mar-2021"/>
        <s v="Apr-2021"/>
        <s v="May-2021"/>
        <s v="Jun-2021"/>
        <s v="Jul-2021"/>
        <s v="Aug-2021"/>
        <s v="Sep-2021"/>
        <s v="Oct-2021"/>
        <s v="Nov-2021"/>
        <s v="Dec-2021"/>
        <s v="Jan-2022"/>
        <s v="Feb-2022"/>
        <s v="Mar-2022"/>
        <s v="Apr-2022"/>
        <s v="May-2022"/>
        <s v="Jun-2022"/>
        <s v="Jul-2022"/>
        <s v="Aug-2022"/>
        <s v="Sep-2022"/>
        <s v="Oct-2022"/>
        <s v="Nov-2022"/>
        <s v="Dec-2022"/>
        <s v="Jan-2023"/>
        <s v="Feb-2023"/>
        <s v="Mar-2023"/>
        <s v="Apr-2023"/>
        <s v="May-2023"/>
        <s v="Jun-2023"/>
        <s v="Jul-2023"/>
        <s v="Aug-2023"/>
        <s v="Sep-2023"/>
        <s v="Oct-2023"/>
        <s v="Nov-2023"/>
        <s v="Dec-2023"/>
        <s v="Jan-2024"/>
        <s v="Feb-2024"/>
        <s v="Mar-2024"/>
        <s v="Apr-2024"/>
        <s v="May-2024"/>
        <s v="Jun-2024"/>
        <s v="Jul-2024"/>
        <s v="Aug-2024"/>
        <s v="Sep-2024"/>
        <s v="Oct-2024"/>
        <s v="Nov-2024"/>
        <s v="Dec-2024"/>
        <s v="Jan-2025"/>
        <s v="Feb-2025"/>
        <s v="Mar-2025"/>
        <s v="Apr-2025"/>
        <s v="May-2025"/>
        <s v="Jun-2025"/>
        <s v="Jul-2025"/>
        <s v="Aug-2025"/>
        <s v="Sep-2025"/>
        <s v="Oct-2025"/>
        <s v="Nov-2025"/>
        <s v="Dec-2025"/>
        <m/>
      </sharedItems>
    </cacheField>
    <cacheField name="Inflation_Level" numFmtId="0">
      <sharedItems containsBlank="1"/>
    </cacheField>
  </cacheFields>
  <extLst>
    <ext xmlns:x14="http://schemas.microsoft.com/office/spreadsheetml/2009/9/main" uri="{725AE2AE-9491-48be-B2B4-4EB974FC3084}">
      <x14:pivotCacheDefinition pivotCacheId="17350715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5">
  <r>
    <x v="0"/>
    <x v="0"/>
    <x v="0"/>
    <x v="0"/>
    <x v="0"/>
    <x v="0"/>
    <n v="2.15"/>
    <d v="2019-01-01T00:00:00"/>
    <n v="1"/>
    <s v="Q1"/>
    <x v="0"/>
    <s v="Medium"/>
  </r>
  <r>
    <x v="0"/>
    <x v="0"/>
    <x v="0"/>
    <x v="1"/>
    <x v="1"/>
    <x v="1"/>
    <n v="2.23"/>
    <d v="2019-01-01T00:00:00"/>
    <n v="1"/>
    <s v="Q1"/>
    <x v="0"/>
    <s v="Medium"/>
  </r>
  <r>
    <x v="0"/>
    <x v="0"/>
    <x v="0"/>
    <x v="2"/>
    <x v="2"/>
    <x v="2"/>
    <n v="2.31"/>
    <d v="2019-01-01T00:00:00"/>
    <n v="1"/>
    <s v="Q1"/>
    <x v="0"/>
    <s v="Medium"/>
  </r>
  <r>
    <x v="0"/>
    <x v="0"/>
    <x v="0"/>
    <x v="3"/>
    <x v="3"/>
    <x v="3"/>
    <n v="2.39"/>
    <d v="2019-01-01T00:00:00"/>
    <n v="1"/>
    <s v="Q1"/>
    <x v="0"/>
    <s v="Medium"/>
  </r>
  <r>
    <x v="0"/>
    <x v="0"/>
    <x v="0"/>
    <x v="4"/>
    <x v="4"/>
    <x v="4"/>
    <n v="2.4700000000000002"/>
    <d v="2019-01-01T00:00:00"/>
    <n v="1"/>
    <s v="Q1"/>
    <x v="0"/>
    <s v="Medium"/>
  </r>
  <r>
    <x v="0"/>
    <x v="0"/>
    <x v="0"/>
    <x v="5"/>
    <x v="5"/>
    <x v="5"/>
    <n v="2.5499999999999998"/>
    <d v="2019-01-01T00:00:00"/>
    <n v="1"/>
    <s v="Q1"/>
    <x v="0"/>
    <s v="Medium"/>
  </r>
  <r>
    <x v="0"/>
    <x v="0"/>
    <x v="0"/>
    <x v="6"/>
    <x v="6"/>
    <x v="6"/>
    <n v="2.63"/>
    <d v="2019-01-01T00:00:00"/>
    <n v="1"/>
    <s v="Q1"/>
    <x v="0"/>
    <s v="Medium"/>
  </r>
  <r>
    <x v="0"/>
    <x v="0"/>
    <x v="1"/>
    <x v="0"/>
    <x v="0"/>
    <x v="7"/>
    <n v="2.15"/>
    <d v="2019-01-01T00:00:00"/>
    <n v="1"/>
    <s v="Q1"/>
    <x v="0"/>
    <s v="Medium"/>
  </r>
  <r>
    <x v="0"/>
    <x v="0"/>
    <x v="1"/>
    <x v="1"/>
    <x v="1"/>
    <x v="8"/>
    <n v="2.23"/>
    <d v="2019-01-01T00:00:00"/>
    <n v="1"/>
    <s v="Q1"/>
    <x v="0"/>
    <s v="Medium"/>
  </r>
  <r>
    <x v="0"/>
    <x v="0"/>
    <x v="1"/>
    <x v="2"/>
    <x v="2"/>
    <x v="9"/>
    <n v="2.31"/>
    <d v="2019-01-01T00:00:00"/>
    <n v="1"/>
    <s v="Q1"/>
    <x v="0"/>
    <s v="Medium"/>
  </r>
  <r>
    <x v="0"/>
    <x v="0"/>
    <x v="1"/>
    <x v="3"/>
    <x v="3"/>
    <x v="10"/>
    <n v="2.39"/>
    <d v="2019-01-01T00:00:00"/>
    <n v="1"/>
    <s v="Q1"/>
    <x v="0"/>
    <s v="Medium"/>
  </r>
  <r>
    <x v="0"/>
    <x v="0"/>
    <x v="1"/>
    <x v="4"/>
    <x v="4"/>
    <x v="11"/>
    <n v="2.4700000000000002"/>
    <d v="2019-01-01T00:00:00"/>
    <n v="1"/>
    <s v="Q1"/>
    <x v="0"/>
    <s v="Medium"/>
  </r>
  <r>
    <x v="0"/>
    <x v="0"/>
    <x v="1"/>
    <x v="5"/>
    <x v="5"/>
    <x v="12"/>
    <n v="2.5499999999999998"/>
    <d v="2019-01-01T00:00:00"/>
    <n v="1"/>
    <s v="Q1"/>
    <x v="0"/>
    <s v="Medium"/>
  </r>
  <r>
    <x v="0"/>
    <x v="0"/>
    <x v="1"/>
    <x v="6"/>
    <x v="6"/>
    <x v="13"/>
    <n v="2.63"/>
    <d v="2019-01-01T00:00:00"/>
    <n v="1"/>
    <s v="Q1"/>
    <x v="0"/>
    <s v="Medium"/>
  </r>
  <r>
    <x v="0"/>
    <x v="0"/>
    <x v="2"/>
    <x v="0"/>
    <x v="0"/>
    <x v="14"/>
    <n v="2.15"/>
    <d v="2019-01-01T00:00:00"/>
    <n v="1"/>
    <s v="Q1"/>
    <x v="0"/>
    <s v="Medium"/>
  </r>
  <r>
    <x v="0"/>
    <x v="0"/>
    <x v="2"/>
    <x v="1"/>
    <x v="1"/>
    <x v="15"/>
    <n v="2.23"/>
    <d v="2019-01-01T00:00:00"/>
    <n v="1"/>
    <s v="Q1"/>
    <x v="0"/>
    <s v="Medium"/>
  </r>
  <r>
    <x v="0"/>
    <x v="0"/>
    <x v="2"/>
    <x v="2"/>
    <x v="2"/>
    <x v="16"/>
    <n v="2.31"/>
    <d v="2019-01-01T00:00:00"/>
    <n v="1"/>
    <s v="Q1"/>
    <x v="0"/>
    <s v="Medium"/>
  </r>
  <r>
    <x v="0"/>
    <x v="0"/>
    <x v="2"/>
    <x v="3"/>
    <x v="3"/>
    <x v="17"/>
    <n v="2.39"/>
    <d v="2019-01-01T00:00:00"/>
    <n v="1"/>
    <s v="Q1"/>
    <x v="0"/>
    <s v="Medium"/>
  </r>
  <r>
    <x v="0"/>
    <x v="0"/>
    <x v="2"/>
    <x v="4"/>
    <x v="4"/>
    <x v="18"/>
    <n v="2.4700000000000002"/>
    <d v="2019-01-01T00:00:00"/>
    <n v="1"/>
    <s v="Q1"/>
    <x v="0"/>
    <s v="Medium"/>
  </r>
  <r>
    <x v="0"/>
    <x v="0"/>
    <x v="2"/>
    <x v="5"/>
    <x v="5"/>
    <x v="19"/>
    <n v="2.5499999999999998"/>
    <d v="2019-01-01T00:00:00"/>
    <n v="1"/>
    <s v="Q1"/>
    <x v="0"/>
    <s v="Medium"/>
  </r>
  <r>
    <x v="0"/>
    <x v="0"/>
    <x v="2"/>
    <x v="6"/>
    <x v="6"/>
    <x v="20"/>
    <n v="2.63"/>
    <d v="2019-01-01T00:00:00"/>
    <n v="1"/>
    <s v="Q1"/>
    <x v="0"/>
    <s v="Medium"/>
  </r>
  <r>
    <x v="0"/>
    <x v="1"/>
    <x v="0"/>
    <x v="0"/>
    <x v="0"/>
    <x v="21"/>
    <n v="2.2999999999999998"/>
    <d v="2019-02-01T00:00:00"/>
    <n v="2"/>
    <s v="Q1"/>
    <x v="1"/>
    <s v="Medium"/>
  </r>
  <r>
    <x v="0"/>
    <x v="1"/>
    <x v="0"/>
    <x v="1"/>
    <x v="1"/>
    <x v="22"/>
    <n v="2.38"/>
    <d v="2019-02-01T00:00:00"/>
    <n v="2"/>
    <s v="Q1"/>
    <x v="1"/>
    <s v="Medium"/>
  </r>
  <r>
    <x v="0"/>
    <x v="1"/>
    <x v="0"/>
    <x v="2"/>
    <x v="2"/>
    <x v="23"/>
    <n v="2.46"/>
    <d v="2019-02-01T00:00:00"/>
    <n v="2"/>
    <s v="Q1"/>
    <x v="1"/>
    <s v="Medium"/>
  </r>
  <r>
    <x v="0"/>
    <x v="1"/>
    <x v="0"/>
    <x v="3"/>
    <x v="3"/>
    <x v="24"/>
    <n v="2.54"/>
    <d v="2019-02-01T00:00:00"/>
    <n v="2"/>
    <s v="Q1"/>
    <x v="1"/>
    <s v="Medium"/>
  </r>
  <r>
    <x v="0"/>
    <x v="1"/>
    <x v="0"/>
    <x v="4"/>
    <x v="4"/>
    <x v="25"/>
    <n v="2.62"/>
    <d v="2019-02-01T00:00:00"/>
    <n v="2"/>
    <s v="Q1"/>
    <x v="1"/>
    <s v="Medium"/>
  </r>
  <r>
    <x v="0"/>
    <x v="1"/>
    <x v="0"/>
    <x v="5"/>
    <x v="5"/>
    <x v="26"/>
    <n v="2.7"/>
    <d v="2019-02-01T00:00:00"/>
    <n v="2"/>
    <s v="Q1"/>
    <x v="1"/>
    <s v="Medium"/>
  </r>
  <r>
    <x v="0"/>
    <x v="1"/>
    <x v="0"/>
    <x v="6"/>
    <x v="6"/>
    <x v="27"/>
    <n v="2.78"/>
    <d v="2019-02-01T00:00:00"/>
    <n v="2"/>
    <s v="Q1"/>
    <x v="1"/>
    <s v="Medium"/>
  </r>
  <r>
    <x v="0"/>
    <x v="1"/>
    <x v="1"/>
    <x v="0"/>
    <x v="0"/>
    <x v="28"/>
    <n v="2.2999999999999998"/>
    <d v="2019-02-01T00:00:00"/>
    <n v="2"/>
    <s v="Q1"/>
    <x v="1"/>
    <s v="Medium"/>
  </r>
  <r>
    <x v="0"/>
    <x v="1"/>
    <x v="1"/>
    <x v="1"/>
    <x v="1"/>
    <x v="29"/>
    <n v="2.38"/>
    <d v="2019-02-01T00:00:00"/>
    <n v="2"/>
    <s v="Q1"/>
    <x v="1"/>
    <s v="Medium"/>
  </r>
  <r>
    <x v="0"/>
    <x v="1"/>
    <x v="1"/>
    <x v="2"/>
    <x v="2"/>
    <x v="30"/>
    <n v="2.46"/>
    <d v="2019-02-01T00:00:00"/>
    <n v="2"/>
    <s v="Q1"/>
    <x v="1"/>
    <s v="Medium"/>
  </r>
  <r>
    <x v="0"/>
    <x v="1"/>
    <x v="1"/>
    <x v="3"/>
    <x v="3"/>
    <x v="31"/>
    <n v="2.54"/>
    <d v="2019-02-01T00:00:00"/>
    <n v="2"/>
    <s v="Q1"/>
    <x v="1"/>
    <s v="Medium"/>
  </r>
  <r>
    <x v="0"/>
    <x v="1"/>
    <x v="1"/>
    <x v="4"/>
    <x v="4"/>
    <x v="32"/>
    <n v="2.62"/>
    <d v="2019-02-01T00:00:00"/>
    <n v="2"/>
    <s v="Q1"/>
    <x v="1"/>
    <s v="Medium"/>
  </r>
  <r>
    <x v="0"/>
    <x v="1"/>
    <x v="1"/>
    <x v="5"/>
    <x v="5"/>
    <x v="33"/>
    <n v="2.7"/>
    <d v="2019-02-01T00:00:00"/>
    <n v="2"/>
    <s v="Q1"/>
    <x v="1"/>
    <s v="Medium"/>
  </r>
  <r>
    <x v="0"/>
    <x v="1"/>
    <x v="1"/>
    <x v="6"/>
    <x v="6"/>
    <x v="34"/>
    <n v="2.78"/>
    <d v="2019-02-01T00:00:00"/>
    <n v="2"/>
    <s v="Q1"/>
    <x v="1"/>
    <s v="Medium"/>
  </r>
  <r>
    <x v="0"/>
    <x v="1"/>
    <x v="2"/>
    <x v="0"/>
    <x v="0"/>
    <x v="35"/>
    <n v="2.2999999999999998"/>
    <d v="2019-02-01T00:00:00"/>
    <n v="2"/>
    <s v="Q1"/>
    <x v="1"/>
    <s v="Medium"/>
  </r>
  <r>
    <x v="0"/>
    <x v="1"/>
    <x v="2"/>
    <x v="1"/>
    <x v="1"/>
    <x v="36"/>
    <n v="2.38"/>
    <d v="2019-02-01T00:00:00"/>
    <n v="2"/>
    <s v="Q1"/>
    <x v="1"/>
    <s v="Medium"/>
  </r>
  <r>
    <x v="0"/>
    <x v="1"/>
    <x v="2"/>
    <x v="2"/>
    <x v="2"/>
    <x v="37"/>
    <n v="2.46"/>
    <d v="2019-02-01T00:00:00"/>
    <n v="2"/>
    <s v="Q1"/>
    <x v="1"/>
    <s v="Medium"/>
  </r>
  <r>
    <x v="0"/>
    <x v="1"/>
    <x v="2"/>
    <x v="3"/>
    <x v="3"/>
    <x v="38"/>
    <n v="2.54"/>
    <d v="2019-02-01T00:00:00"/>
    <n v="2"/>
    <s v="Q1"/>
    <x v="1"/>
    <s v="Medium"/>
  </r>
  <r>
    <x v="0"/>
    <x v="1"/>
    <x v="2"/>
    <x v="4"/>
    <x v="4"/>
    <x v="39"/>
    <n v="2.62"/>
    <d v="2019-02-01T00:00:00"/>
    <n v="2"/>
    <s v="Q1"/>
    <x v="1"/>
    <s v="Medium"/>
  </r>
  <r>
    <x v="0"/>
    <x v="1"/>
    <x v="2"/>
    <x v="5"/>
    <x v="5"/>
    <x v="40"/>
    <n v="2.7"/>
    <d v="2019-02-01T00:00:00"/>
    <n v="2"/>
    <s v="Q1"/>
    <x v="1"/>
    <s v="Medium"/>
  </r>
  <r>
    <x v="0"/>
    <x v="1"/>
    <x v="2"/>
    <x v="6"/>
    <x v="6"/>
    <x v="41"/>
    <n v="2.78"/>
    <d v="2019-02-01T00:00:00"/>
    <n v="2"/>
    <s v="Q1"/>
    <x v="1"/>
    <s v="Medium"/>
  </r>
  <r>
    <x v="0"/>
    <x v="2"/>
    <x v="0"/>
    <x v="0"/>
    <x v="0"/>
    <x v="42"/>
    <n v="2.4500000000000002"/>
    <d v="2019-03-01T00:00:00"/>
    <n v="3"/>
    <s v="Q1"/>
    <x v="2"/>
    <s v="Medium"/>
  </r>
  <r>
    <x v="0"/>
    <x v="2"/>
    <x v="0"/>
    <x v="1"/>
    <x v="1"/>
    <x v="43"/>
    <n v="2.5299999999999998"/>
    <d v="2019-03-01T00:00:00"/>
    <n v="3"/>
    <s v="Q1"/>
    <x v="2"/>
    <s v="Medium"/>
  </r>
  <r>
    <x v="0"/>
    <x v="2"/>
    <x v="0"/>
    <x v="2"/>
    <x v="2"/>
    <x v="44"/>
    <n v="2.61"/>
    <d v="2019-03-01T00:00:00"/>
    <n v="3"/>
    <s v="Q1"/>
    <x v="2"/>
    <s v="Medium"/>
  </r>
  <r>
    <x v="0"/>
    <x v="2"/>
    <x v="0"/>
    <x v="3"/>
    <x v="3"/>
    <x v="45"/>
    <n v="2.69"/>
    <d v="2019-03-01T00:00:00"/>
    <n v="3"/>
    <s v="Q1"/>
    <x v="2"/>
    <s v="Medium"/>
  </r>
  <r>
    <x v="0"/>
    <x v="2"/>
    <x v="0"/>
    <x v="4"/>
    <x v="4"/>
    <x v="46"/>
    <n v="2.77"/>
    <d v="2019-03-01T00:00:00"/>
    <n v="3"/>
    <s v="Q1"/>
    <x v="2"/>
    <s v="Medium"/>
  </r>
  <r>
    <x v="0"/>
    <x v="2"/>
    <x v="0"/>
    <x v="5"/>
    <x v="5"/>
    <x v="47"/>
    <n v="2.85"/>
    <d v="2019-03-01T00:00:00"/>
    <n v="3"/>
    <s v="Q1"/>
    <x v="2"/>
    <s v="Medium"/>
  </r>
  <r>
    <x v="0"/>
    <x v="2"/>
    <x v="0"/>
    <x v="6"/>
    <x v="6"/>
    <x v="48"/>
    <n v="2.93"/>
    <d v="2019-03-01T00:00:00"/>
    <n v="3"/>
    <s v="Q1"/>
    <x v="2"/>
    <s v="Medium"/>
  </r>
  <r>
    <x v="0"/>
    <x v="2"/>
    <x v="1"/>
    <x v="0"/>
    <x v="0"/>
    <x v="49"/>
    <n v="2.4500000000000002"/>
    <d v="2019-03-01T00:00:00"/>
    <n v="3"/>
    <s v="Q1"/>
    <x v="2"/>
    <s v="Medium"/>
  </r>
  <r>
    <x v="0"/>
    <x v="2"/>
    <x v="1"/>
    <x v="1"/>
    <x v="1"/>
    <x v="50"/>
    <n v="2.5299999999999998"/>
    <d v="2019-03-01T00:00:00"/>
    <n v="3"/>
    <s v="Q1"/>
    <x v="2"/>
    <s v="Medium"/>
  </r>
  <r>
    <x v="0"/>
    <x v="2"/>
    <x v="1"/>
    <x v="2"/>
    <x v="2"/>
    <x v="51"/>
    <n v="2.61"/>
    <d v="2019-03-01T00:00:00"/>
    <n v="3"/>
    <s v="Q1"/>
    <x v="2"/>
    <s v="Medium"/>
  </r>
  <r>
    <x v="0"/>
    <x v="2"/>
    <x v="1"/>
    <x v="3"/>
    <x v="3"/>
    <x v="52"/>
    <n v="2.69"/>
    <d v="2019-03-01T00:00:00"/>
    <n v="3"/>
    <s v="Q1"/>
    <x v="2"/>
    <s v="Medium"/>
  </r>
  <r>
    <x v="0"/>
    <x v="2"/>
    <x v="1"/>
    <x v="4"/>
    <x v="4"/>
    <x v="53"/>
    <n v="2.77"/>
    <d v="2019-03-01T00:00:00"/>
    <n v="3"/>
    <s v="Q1"/>
    <x v="2"/>
    <s v="Medium"/>
  </r>
  <r>
    <x v="0"/>
    <x v="2"/>
    <x v="1"/>
    <x v="5"/>
    <x v="5"/>
    <x v="54"/>
    <n v="2.85"/>
    <d v="2019-03-01T00:00:00"/>
    <n v="3"/>
    <s v="Q1"/>
    <x v="2"/>
    <s v="Medium"/>
  </r>
  <r>
    <x v="0"/>
    <x v="2"/>
    <x v="1"/>
    <x v="6"/>
    <x v="6"/>
    <x v="55"/>
    <n v="2.93"/>
    <d v="2019-03-01T00:00:00"/>
    <n v="3"/>
    <s v="Q1"/>
    <x v="2"/>
    <s v="Medium"/>
  </r>
  <r>
    <x v="0"/>
    <x v="2"/>
    <x v="2"/>
    <x v="0"/>
    <x v="0"/>
    <x v="1"/>
    <n v="2.4500000000000002"/>
    <d v="2019-03-01T00:00:00"/>
    <n v="3"/>
    <s v="Q1"/>
    <x v="2"/>
    <s v="Medium"/>
  </r>
  <r>
    <x v="0"/>
    <x v="2"/>
    <x v="2"/>
    <x v="1"/>
    <x v="1"/>
    <x v="2"/>
    <n v="2.5299999999999998"/>
    <d v="2019-03-01T00:00:00"/>
    <n v="3"/>
    <s v="Q1"/>
    <x v="2"/>
    <s v="Medium"/>
  </r>
  <r>
    <x v="0"/>
    <x v="2"/>
    <x v="2"/>
    <x v="2"/>
    <x v="2"/>
    <x v="3"/>
    <n v="2.61"/>
    <d v="2019-03-01T00:00:00"/>
    <n v="3"/>
    <s v="Q1"/>
    <x v="2"/>
    <s v="Medium"/>
  </r>
  <r>
    <x v="0"/>
    <x v="2"/>
    <x v="2"/>
    <x v="3"/>
    <x v="3"/>
    <x v="4"/>
    <n v="2.69"/>
    <d v="2019-03-01T00:00:00"/>
    <n v="3"/>
    <s v="Q1"/>
    <x v="2"/>
    <s v="Medium"/>
  </r>
  <r>
    <x v="0"/>
    <x v="2"/>
    <x v="2"/>
    <x v="4"/>
    <x v="4"/>
    <x v="5"/>
    <n v="2.77"/>
    <d v="2019-03-01T00:00:00"/>
    <n v="3"/>
    <s v="Q1"/>
    <x v="2"/>
    <s v="Medium"/>
  </r>
  <r>
    <x v="0"/>
    <x v="2"/>
    <x v="2"/>
    <x v="5"/>
    <x v="5"/>
    <x v="6"/>
    <n v="2.85"/>
    <d v="2019-03-01T00:00:00"/>
    <n v="3"/>
    <s v="Q1"/>
    <x v="2"/>
    <s v="Medium"/>
  </r>
  <r>
    <x v="0"/>
    <x v="2"/>
    <x v="2"/>
    <x v="6"/>
    <x v="6"/>
    <x v="56"/>
    <n v="2.93"/>
    <d v="2019-03-01T00:00:00"/>
    <n v="3"/>
    <s v="Q1"/>
    <x v="2"/>
    <s v="Medium"/>
  </r>
  <r>
    <x v="0"/>
    <x v="3"/>
    <x v="0"/>
    <x v="0"/>
    <x v="0"/>
    <x v="14"/>
    <n v="2.6"/>
    <d v="2019-04-01T00:00:00"/>
    <n v="4"/>
    <s v="Q2"/>
    <x v="3"/>
    <s v="Medium"/>
  </r>
  <r>
    <x v="0"/>
    <x v="3"/>
    <x v="0"/>
    <x v="1"/>
    <x v="1"/>
    <x v="15"/>
    <n v="2.68"/>
    <d v="2019-04-01T00:00:00"/>
    <n v="4"/>
    <s v="Q2"/>
    <x v="3"/>
    <s v="Medium"/>
  </r>
  <r>
    <x v="0"/>
    <x v="3"/>
    <x v="0"/>
    <x v="2"/>
    <x v="2"/>
    <x v="16"/>
    <n v="2.76"/>
    <d v="2019-04-01T00:00:00"/>
    <n v="4"/>
    <s v="Q2"/>
    <x v="3"/>
    <s v="Medium"/>
  </r>
  <r>
    <x v="0"/>
    <x v="3"/>
    <x v="0"/>
    <x v="3"/>
    <x v="3"/>
    <x v="17"/>
    <n v="2.84"/>
    <d v="2019-04-01T00:00:00"/>
    <n v="4"/>
    <s v="Q2"/>
    <x v="3"/>
    <s v="Medium"/>
  </r>
  <r>
    <x v="0"/>
    <x v="3"/>
    <x v="0"/>
    <x v="4"/>
    <x v="4"/>
    <x v="18"/>
    <n v="2.92"/>
    <d v="2019-04-01T00:00:00"/>
    <n v="4"/>
    <s v="Q2"/>
    <x v="3"/>
    <s v="Medium"/>
  </r>
  <r>
    <x v="0"/>
    <x v="3"/>
    <x v="0"/>
    <x v="5"/>
    <x v="5"/>
    <x v="19"/>
    <n v="3"/>
    <d v="2019-04-01T00:00:00"/>
    <n v="4"/>
    <s v="Q2"/>
    <x v="3"/>
    <s v="Medium"/>
  </r>
  <r>
    <x v="0"/>
    <x v="3"/>
    <x v="0"/>
    <x v="6"/>
    <x v="6"/>
    <x v="20"/>
    <n v="3.08"/>
    <d v="2019-04-01T00:00:00"/>
    <n v="4"/>
    <s v="Q2"/>
    <x v="3"/>
    <s v="Medium"/>
  </r>
  <r>
    <x v="0"/>
    <x v="3"/>
    <x v="1"/>
    <x v="0"/>
    <x v="0"/>
    <x v="57"/>
    <n v="2.6"/>
    <d v="2019-04-01T00:00:00"/>
    <n v="4"/>
    <s v="Q2"/>
    <x v="3"/>
    <s v="Medium"/>
  </r>
  <r>
    <x v="0"/>
    <x v="3"/>
    <x v="1"/>
    <x v="1"/>
    <x v="1"/>
    <x v="58"/>
    <n v="2.68"/>
    <d v="2019-04-01T00:00:00"/>
    <n v="4"/>
    <s v="Q2"/>
    <x v="3"/>
    <s v="Medium"/>
  </r>
  <r>
    <x v="0"/>
    <x v="3"/>
    <x v="1"/>
    <x v="2"/>
    <x v="2"/>
    <x v="59"/>
    <n v="2.76"/>
    <d v="2019-04-01T00:00:00"/>
    <n v="4"/>
    <s v="Q2"/>
    <x v="3"/>
    <s v="Medium"/>
  </r>
  <r>
    <x v="0"/>
    <x v="3"/>
    <x v="1"/>
    <x v="3"/>
    <x v="3"/>
    <x v="60"/>
    <n v="2.84"/>
    <d v="2019-04-01T00:00:00"/>
    <n v="4"/>
    <s v="Q2"/>
    <x v="3"/>
    <s v="Medium"/>
  </r>
  <r>
    <x v="0"/>
    <x v="3"/>
    <x v="1"/>
    <x v="4"/>
    <x v="4"/>
    <x v="61"/>
    <n v="2.92"/>
    <d v="2019-04-01T00:00:00"/>
    <n v="4"/>
    <s v="Q2"/>
    <x v="3"/>
    <s v="Medium"/>
  </r>
  <r>
    <x v="0"/>
    <x v="3"/>
    <x v="1"/>
    <x v="5"/>
    <x v="5"/>
    <x v="62"/>
    <n v="3"/>
    <d v="2019-04-01T00:00:00"/>
    <n v="4"/>
    <s v="Q2"/>
    <x v="3"/>
    <s v="Medium"/>
  </r>
  <r>
    <x v="0"/>
    <x v="3"/>
    <x v="1"/>
    <x v="6"/>
    <x v="6"/>
    <x v="63"/>
    <n v="3.08"/>
    <d v="2019-04-01T00:00:00"/>
    <n v="4"/>
    <s v="Q2"/>
    <x v="3"/>
    <s v="Medium"/>
  </r>
  <r>
    <x v="0"/>
    <x v="3"/>
    <x v="2"/>
    <x v="0"/>
    <x v="0"/>
    <x v="22"/>
    <n v="2.6"/>
    <d v="2019-04-01T00:00:00"/>
    <n v="4"/>
    <s v="Q2"/>
    <x v="3"/>
    <s v="Medium"/>
  </r>
  <r>
    <x v="0"/>
    <x v="3"/>
    <x v="2"/>
    <x v="1"/>
    <x v="1"/>
    <x v="23"/>
    <n v="2.68"/>
    <d v="2019-04-01T00:00:00"/>
    <n v="4"/>
    <s v="Q2"/>
    <x v="3"/>
    <s v="Medium"/>
  </r>
  <r>
    <x v="0"/>
    <x v="3"/>
    <x v="2"/>
    <x v="2"/>
    <x v="2"/>
    <x v="24"/>
    <n v="2.76"/>
    <d v="2019-04-01T00:00:00"/>
    <n v="4"/>
    <s v="Q2"/>
    <x v="3"/>
    <s v="Medium"/>
  </r>
  <r>
    <x v="0"/>
    <x v="3"/>
    <x v="2"/>
    <x v="3"/>
    <x v="3"/>
    <x v="25"/>
    <n v="2.84"/>
    <d v="2019-04-01T00:00:00"/>
    <n v="4"/>
    <s v="Q2"/>
    <x v="3"/>
    <s v="Medium"/>
  </r>
  <r>
    <x v="0"/>
    <x v="3"/>
    <x v="2"/>
    <x v="4"/>
    <x v="4"/>
    <x v="26"/>
    <n v="2.92"/>
    <d v="2019-04-01T00:00:00"/>
    <n v="4"/>
    <s v="Q2"/>
    <x v="3"/>
    <s v="Medium"/>
  </r>
  <r>
    <x v="0"/>
    <x v="3"/>
    <x v="2"/>
    <x v="5"/>
    <x v="5"/>
    <x v="27"/>
    <n v="3"/>
    <d v="2019-04-01T00:00:00"/>
    <n v="4"/>
    <s v="Q2"/>
    <x v="3"/>
    <s v="Medium"/>
  </r>
  <r>
    <x v="0"/>
    <x v="3"/>
    <x v="2"/>
    <x v="6"/>
    <x v="6"/>
    <x v="64"/>
    <n v="3.08"/>
    <d v="2019-04-01T00:00:00"/>
    <n v="4"/>
    <s v="Q2"/>
    <x v="3"/>
    <s v="Medium"/>
  </r>
  <r>
    <x v="0"/>
    <x v="4"/>
    <x v="0"/>
    <x v="0"/>
    <x v="0"/>
    <x v="35"/>
    <n v="2.75"/>
    <d v="2019-05-01T00:00:00"/>
    <n v="5"/>
    <s v="Q2"/>
    <x v="4"/>
    <s v="Medium"/>
  </r>
  <r>
    <x v="0"/>
    <x v="4"/>
    <x v="0"/>
    <x v="1"/>
    <x v="1"/>
    <x v="36"/>
    <n v="2.83"/>
    <d v="2019-05-01T00:00:00"/>
    <n v="5"/>
    <s v="Q2"/>
    <x v="4"/>
    <s v="Medium"/>
  </r>
  <r>
    <x v="0"/>
    <x v="4"/>
    <x v="0"/>
    <x v="2"/>
    <x v="2"/>
    <x v="37"/>
    <n v="2.91"/>
    <d v="2019-05-01T00:00:00"/>
    <n v="5"/>
    <s v="Q2"/>
    <x v="4"/>
    <s v="Medium"/>
  </r>
  <r>
    <x v="0"/>
    <x v="4"/>
    <x v="0"/>
    <x v="3"/>
    <x v="3"/>
    <x v="38"/>
    <n v="2.99"/>
    <d v="2019-05-01T00:00:00"/>
    <n v="5"/>
    <s v="Q2"/>
    <x v="4"/>
    <s v="Medium"/>
  </r>
  <r>
    <x v="0"/>
    <x v="4"/>
    <x v="0"/>
    <x v="4"/>
    <x v="4"/>
    <x v="39"/>
    <n v="3.07"/>
    <d v="2019-05-01T00:00:00"/>
    <n v="5"/>
    <s v="Q2"/>
    <x v="4"/>
    <s v="Medium"/>
  </r>
  <r>
    <x v="0"/>
    <x v="4"/>
    <x v="0"/>
    <x v="5"/>
    <x v="5"/>
    <x v="40"/>
    <n v="3.15"/>
    <d v="2019-05-01T00:00:00"/>
    <n v="5"/>
    <s v="Q2"/>
    <x v="4"/>
    <s v="Medium"/>
  </r>
  <r>
    <x v="0"/>
    <x v="4"/>
    <x v="0"/>
    <x v="6"/>
    <x v="6"/>
    <x v="41"/>
    <n v="3.23"/>
    <d v="2019-05-01T00:00:00"/>
    <n v="5"/>
    <s v="Q2"/>
    <x v="4"/>
    <s v="Medium"/>
  </r>
  <r>
    <x v="0"/>
    <x v="4"/>
    <x v="1"/>
    <x v="0"/>
    <x v="0"/>
    <x v="65"/>
    <n v="2.75"/>
    <d v="2019-05-01T00:00:00"/>
    <n v="5"/>
    <s v="Q2"/>
    <x v="4"/>
    <s v="Medium"/>
  </r>
  <r>
    <x v="0"/>
    <x v="4"/>
    <x v="1"/>
    <x v="1"/>
    <x v="1"/>
    <x v="66"/>
    <n v="2.83"/>
    <d v="2019-05-01T00:00:00"/>
    <n v="5"/>
    <s v="Q2"/>
    <x v="4"/>
    <s v="Medium"/>
  </r>
  <r>
    <x v="0"/>
    <x v="4"/>
    <x v="1"/>
    <x v="2"/>
    <x v="2"/>
    <x v="67"/>
    <n v="2.91"/>
    <d v="2019-05-01T00:00:00"/>
    <n v="5"/>
    <s v="Q2"/>
    <x v="4"/>
    <s v="Medium"/>
  </r>
  <r>
    <x v="0"/>
    <x v="4"/>
    <x v="1"/>
    <x v="3"/>
    <x v="3"/>
    <x v="68"/>
    <n v="2.99"/>
    <d v="2019-05-01T00:00:00"/>
    <n v="5"/>
    <s v="Q2"/>
    <x v="4"/>
    <s v="Medium"/>
  </r>
  <r>
    <x v="0"/>
    <x v="4"/>
    <x v="1"/>
    <x v="4"/>
    <x v="4"/>
    <x v="69"/>
    <n v="3.07"/>
    <d v="2019-05-01T00:00:00"/>
    <n v="5"/>
    <s v="Q2"/>
    <x v="4"/>
    <s v="Medium"/>
  </r>
  <r>
    <x v="0"/>
    <x v="4"/>
    <x v="1"/>
    <x v="5"/>
    <x v="5"/>
    <x v="70"/>
    <n v="3.15"/>
    <d v="2019-05-01T00:00:00"/>
    <n v="5"/>
    <s v="Q2"/>
    <x v="4"/>
    <s v="Medium"/>
  </r>
  <r>
    <x v="0"/>
    <x v="4"/>
    <x v="1"/>
    <x v="6"/>
    <x v="6"/>
    <x v="71"/>
    <n v="3.23"/>
    <d v="2019-05-01T00:00:00"/>
    <n v="5"/>
    <s v="Q2"/>
    <x v="4"/>
    <s v="Medium"/>
  </r>
  <r>
    <x v="0"/>
    <x v="4"/>
    <x v="2"/>
    <x v="0"/>
    <x v="0"/>
    <x v="43"/>
    <n v="2.75"/>
    <d v="2019-05-01T00:00:00"/>
    <n v="5"/>
    <s v="Q2"/>
    <x v="4"/>
    <s v="Medium"/>
  </r>
  <r>
    <x v="0"/>
    <x v="4"/>
    <x v="2"/>
    <x v="1"/>
    <x v="1"/>
    <x v="44"/>
    <n v="2.83"/>
    <d v="2019-05-01T00:00:00"/>
    <n v="5"/>
    <s v="Q2"/>
    <x v="4"/>
    <s v="Medium"/>
  </r>
  <r>
    <x v="0"/>
    <x v="4"/>
    <x v="2"/>
    <x v="2"/>
    <x v="2"/>
    <x v="45"/>
    <n v="2.91"/>
    <d v="2019-05-01T00:00:00"/>
    <n v="5"/>
    <s v="Q2"/>
    <x v="4"/>
    <s v="Medium"/>
  </r>
  <r>
    <x v="0"/>
    <x v="4"/>
    <x v="2"/>
    <x v="3"/>
    <x v="3"/>
    <x v="46"/>
    <n v="2.99"/>
    <d v="2019-05-01T00:00:00"/>
    <n v="5"/>
    <s v="Q2"/>
    <x v="4"/>
    <s v="Medium"/>
  </r>
  <r>
    <x v="0"/>
    <x v="4"/>
    <x v="2"/>
    <x v="4"/>
    <x v="4"/>
    <x v="47"/>
    <n v="3.07"/>
    <d v="2019-05-01T00:00:00"/>
    <n v="5"/>
    <s v="Q2"/>
    <x v="4"/>
    <s v="Medium"/>
  </r>
  <r>
    <x v="0"/>
    <x v="4"/>
    <x v="2"/>
    <x v="5"/>
    <x v="5"/>
    <x v="48"/>
    <n v="3.15"/>
    <d v="2019-05-01T00:00:00"/>
    <n v="5"/>
    <s v="Q2"/>
    <x v="4"/>
    <s v="Medium"/>
  </r>
  <r>
    <x v="0"/>
    <x v="4"/>
    <x v="2"/>
    <x v="6"/>
    <x v="6"/>
    <x v="72"/>
    <n v="3.23"/>
    <d v="2019-05-01T00:00:00"/>
    <n v="5"/>
    <s v="Q2"/>
    <x v="4"/>
    <s v="Medium"/>
  </r>
  <r>
    <x v="0"/>
    <x v="5"/>
    <x v="0"/>
    <x v="0"/>
    <x v="0"/>
    <x v="1"/>
    <n v="2"/>
    <d v="2019-06-01T00:00:00"/>
    <n v="6"/>
    <s v="Q2"/>
    <x v="5"/>
    <s v="Medium"/>
  </r>
  <r>
    <x v="0"/>
    <x v="5"/>
    <x v="0"/>
    <x v="1"/>
    <x v="1"/>
    <x v="2"/>
    <n v="2.08"/>
    <d v="2019-06-01T00:00:00"/>
    <n v="6"/>
    <s v="Q2"/>
    <x v="5"/>
    <s v="Medium"/>
  </r>
  <r>
    <x v="0"/>
    <x v="5"/>
    <x v="0"/>
    <x v="2"/>
    <x v="2"/>
    <x v="3"/>
    <n v="2.16"/>
    <d v="2019-06-01T00:00:00"/>
    <n v="6"/>
    <s v="Q2"/>
    <x v="5"/>
    <s v="Medium"/>
  </r>
  <r>
    <x v="0"/>
    <x v="5"/>
    <x v="0"/>
    <x v="3"/>
    <x v="3"/>
    <x v="4"/>
    <n v="2.2400000000000002"/>
    <d v="2019-06-01T00:00:00"/>
    <n v="6"/>
    <s v="Q2"/>
    <x v="5"/>
    <s v="Medium"/>
  </r>
  <r>
    <x v="0"/>
    <x v="5"/>
    <x v="0"/>
    <x v="4"/>
    <x v="4"/>
    <x v="5"/>
    <n v="2.3199999999999998"/>
    <d v="2019-06-01T00:00:00"/>
    <n v="6"/>
    <s v="Q2"/>
    <x v="5"/>
    <s v="Medium"/>
  </r>
  <r>
    <x v="0"/>
    <x v="5"/>
    <x v="0"/>
    <x v="5"/>
    <x v="5"/>
    <x v="6"/>
    <n v="2.4"/>
    <d v="2019-06-01T00:00:00"/>
    <n v="6"/>
    <s v="Q2"/>
    <x v="5"/>
    <s v="Medium"/>
  </r>
  <r>
    <x v="0"/>
    <x v="5"/>
    <x v="0"/>
    <x v="6"/>
    <x v="6"/>
    <x v="56"/>
    <n v="2.48"/>
    <d v="2019-06-01T00:00:00"/>
    <n v="6"/>
    <s v="Q2"/>
    <x v="5"/>
    <s v="Medium"/>
  </r>
  <r>
    <x v="0"/>
    <x v="5"/>
    <x v="1"/>
    <x v="0"/>
    <x v="0"/>
    <x v="8"/>
    <n v="2"/>
    <d v="2019-06-01T00:00:00"/>
    <n v="6"/>
    <s v="Q2"/>
    <x v="5"/>
    <s v="Medium"/>
  </r>
  <r>
    <x v="0"/>
    <x v="5"/>
    <x v="1"/>
    <x v="1"/>
    <x v="1"/>
    <x v="9"/>
    <n v="2.08"/>
    <d v="2019-06-01T00:00:00"/>
    <n v="6"/>
    <s v="Q2"/>
    <x v="5"/>
    <s v="Medium"/>
  </r>
  <r>
    <x v="0"/>
    <x v="5"/>
    <x v="1"/>
    <x v="2"/>
    <x v="2"/>
    <x v="10"/>
    <n v="2.16"/>
    <d v="2019-06-01T00:00:00"/>
    <n v="6"/>
    <s v="Q2"/>
    <x v="5"/>
    <s v="Medium"/>
  </r>
  <r>
    <x v="0"/>
    <x v="5"/>
    <x v="1"/>
    <x v="3"/>
    <x v="3"/>
    <x v="11"/>
    <n v="2.2400000000000002"/>
    <d v="2019-06-01T00:00:00"/>
    <n v="6"/>
    <s v="Q2"/>
    <x v="5"/>
    <s v="Medium"/>
  </r>
  <r>
    <x v="0"/>
    <x v="5"/>
    <x v="1"/>
    <x v="4"/>
    <x v="4"/>
    <x v="12"/>
    <n v="2.3199999999999998"/>
    <d v="2019-06-01T00:00:00"/>
    <n v="6"/>
    <s v="Q2"/>
    <x v="5"/>
    <s v="Medium"/>
  </r>
  <r>
    <x v="0"/>
    <x v="5"/>
    <x v="1"/>
    <x v="5"/>
    <x v="5"/>
    <x v="13"/>
    <n v="2.4"/>
    <d v="2019-06-01T00:00:00"/>
    <n v="6"/>
    <s v="Q2"/>
    <x v="5"/>
    <s v="Medium"/>
  </r>
  <r>
    <x v="0"/>
    <x v="5"/>
    <x v="1"/>
    <x v="6"/>
    <x v="6"/>
    <x v="73"/>
    <n v="2.48"/>
    <d v="2019-06-01T00:00:00"/>
    <n v="6"/>
    <s v="Q2"/>
    <x v="5"/>
    <s v="Medium"/>
  </r>
  <r>
    <x v="0"/>
    <x v="5"/>
    <x v="2"/>
    <x v="0"/>
    <x v="0"/>
    <x v="15"/>
    <n v="2"/>
    <d v="2019-06-01T00:00:00"/>
    <n v="6"/>
    <s v="Q2"/>
    <x v="5"/>
    <s v="Medium"/>
  </r>
  <r>
    <x v="0"/>
    <x v="5"/>
    <x v="2"/>
    <x v="1"/>
    <x v="1"/>
    <x v="16"/>
    <n v="2.08"/>
    <d v="2019-06-01T00:00:00"/>
    <n v="6"/>
    <s v="Q2"/>
    <x v="5"/>
    <s v="Medium"/>
  </r>
  <r>
    <x v="0"/>
    <x v="5"/>
    <x v="2"/>
    <x v="2"/>
    <x v="2"/>
    <x v="17"/>
    <n v="2.16"/>
    <d v="2019-06-01T00:00:00"/>
    <n v="6"/>
    <s v="Q2"/>
    <x v="5"/>
    <s v="Medium"/>
  </r>
  <r>
    <x v="0"/>
    <x v="5"/>
    <x v="2"/>
    <x v="3"/>
    <x v="3"/>
    <x v="18"/>
    <n v="2.2400000000000002"/>
    <d v="2019-06-01T00:00:00"/>
    <n v="6"/>
    <s v="Q2"/>
    <x v="5"/>
    <s v="Medium"/>
  </r>
  <r>
    <x v="0"/>
    <x v="5"/>
    <x v="2"/>
    <x v="4"/>
    <x v="4"/>
    <x v="19"/>
    <n v="2.3199999999999998"/>
    <d v="2019-06-01T00:00:00"/>
    <n v="6"/>
    <s v="Q2"/>
    <x v="5"/>
    <s v="Medium"/>
  </r>
  <r>
    <x v="0"/>
    <x v="5"/>
    <x v="2"/>
    <x v="5"/>
    <x v="5"/>
    <x v="20"/>
    <n v="2.4"/>
    <d v="2019-06-01T00:00:00"/>
    <n v="6"/>
    <s v="Q2"/>
    <x v="5"/>
    <s v="Medium"/>
  </r>
  <r>
    <x v="0"/>
    <x v="5"/>
    <x v="2"/>
    <x v="6"/>
    <x v="6"/>
    <x v="74"/>
    <n v="2.48"/>
    <d v="2019-06-01T00:00:00"/>
    <n v="6"/>
    <s v="Q2"/>
    <x v="5"/>
    <s v="Medium"/>
  </r>
  <r>
    <x v="0"/>
    <x v="6"/>
    <x v="0"/>
    <x v="0"/>
    <x v="0"/>
    <x v="22"/>
    <n v="2.15"/>
    <d v="2019-07-01T00:00:00"/>
    <n v="7"/>
    <s v="Q3"/>
    <x v="6"/>
    <s v="Medium"/>
  </r>
  <r>
    <x v="0"/>
    <x v="6"/>
    <x v="0"/>
    <x v="1"/>
    <x v="1"/>
    <x v="23"/>
    <n v="2.23"/>
    <d v="2019-07-01T00:00:00"/>
    <n v="7"/>
    <s v="Q3"/>
    <x v="6"/>
    <s v="Medium"/>
  </r>
  <r>
    <x v="0"/>
    <x v="6"/>
    <x v="0"/>
    <x v="2"/>
    <x v="2"/>
    <x v="24"/>
    <n v="2.31"/>
    <d v="2019-07-01T00:00:00"/>
    <n v="7"/>
    <s v="Q3"/>
    <x v="6"/>
    <s v="Medium"/>
  </r>
  <r>
    <x v="0"/>
    <x v="6"/>
    <x v="0"/>
    <x v="3"/>
    <x v="3"/>
    <x v="25"/>
    <n v="2.39"/>
    <d v="2019-07-01T00:00:00"/>
    <n v="7"/>
    <s v="Q3"/>
    <x v="6"/>
    <s v="Medium"/>
  </r>
  <r>
    <x v="0"/>
    <x v="6"/>
    <x v="0"/>
    <x v="4"/>
    <x v="4"/>
    <x v="26"/>
    <n v="2.4700000000000002"/>
    <d v="2019-07-01T00:00:00"/>
    <n v="7"/>
    <s v="Q3"/>
    <x v="6"/>
    <s v="Medium"/>
  </r>
  <r>
    <x v="0"/>
    <x v="6"/>
    <x v="0"/>
    <x v="5"/>
    <x v="5"/>
    <x v="27"/>
    <n v="2.5499999999999998"/>
    <d v="2019-07-01T00:00:00"/>
    <n v="7"/>
    <s v="Q3"/>
    <x v="6"/>
    <s v="Medium"/>
  </r>
  <r>
    <x v="0"/>
    <x v="6"/>
    <x v="0"/>
    <x v="6"/>
    <x v="6"/>
    <x v="64"/>
    <n v="2.63"/>
    <d v="2019-07-01T00:00:00"/>
    <n v="7"/>
    <s v="Q3"/>
    <x v="6"/>
    <s v="Medium"/>
  </r>
  <r>
    <x v="0"/>
    <x v="6"/>
    <x v="1"/>
    <x v="0"/>
    <x v="0"/>
    <x v="29"/>
    <n v="2.15"/>
    <d v="2019-07-01T00:00:00"/>
    <n v="7"/>
    <s v="Q3"/>
    <x v="6"/>
    <s v="Medium"/>
  </r>
  <r>
    <x v="0"/>
    <x v="6"/>
    <x v="1"/>
    <x v="1"/>
    <x v="1"/>
    <x v="30"/>
    <n v="2.23"/>
    <d v="2019-07-01T00:00:00"/>
    <n v="7"/>
    <s v="Q3"/>
    <x v="6"/>
    <s v="Medium"/>
  </r>
  <r>
    <x v="0"/>
    <x v="6"/>
    <x v="1"/>
    <x v="2"/>
    <x v="2"/>
    <x v="31"/>
    <n v="2.31"/>
    <d v="2019-07-01T00:00:00"/>
    <n v="7"/>
    <s v="Q3"/>
    <x v="6"/>
    <s v="Medium"/>
  </r>
  <r>
    <x v="0"/>
    <x v="6"/>
    <x v="1"/>
    <x v="3"/>
    <x v="3"/>
    <x v="32"/>
    <n v="2.39"/>
    <d v="2019-07-01T00:00:00"/>
    <n v="7"/>
    <s v="Q3"/>
    <x v="6"/>
    <s v="Medium"/>
  </r>
  <r>
    <x v="0"/>
    <x v="6"/>
    <x v="1"/>
    <x v="4"/>
    <x v="4"/>
    <x v="33"/>
    <n v="2.4700000000000002"/>
    <d v="2019-07-01T00:00:00"/>
    <n v="7"/>
    <s v="Q3"/>
    <x v="6"/>
    <s v="Medium"/>
  </r>
  <r>
    <x v="0"/>
    <x v="6"/>
    <x v="1"/>
    <x v="5"/>
    <x v="5"/>
    <x v="34"/>
    <n v="2.5499999999999998"/>
    <d v="2019-07-01T00:00:00"/>
    <n v="7"/>
    <s v="Q3"/>
    <x v="6"/>
    <s v="Medium"/>
  </r>
  <r>
    <x v="0"/>
    <x v="6"/>
    <x v="1"/>
    <x v="6"/>
    <x v="6"/>
    <x v="75"/>
    <n v="2.63"/>
    <d v="2019-07-01T00:00:00"/>
    <n v="7"/>
    <s v="Q3"/>
    <x v="6"/>
    <s v="Medium"/>
  </r>
  <r>
    <x v="0"/>
    <x v="6"/>
    <x v="2"/>
    <x v="0"/>
    <x v="0"/>
    <x v="36"/>
    <n v="2.15"/>
    <d v="2019-07-01T00:00:00"/>
    <n v="7"/>
    <s v="Q3"/>
    <x v="6"/>
    <s v="Medium"/>
  </r>
  <r>
    <x v="0"/>
    <x v="6"/>
    <x v="2"/>
    <x v="1"/>
    <x v="1"/>
    <x v="37"/>
    <n v="2.23"/>
    <d v="2019-07-01T00:00:00"/>
    <n v="7"/>
    <s v="Q3"/>
    <x v="6"/>
    <s v="Medium"/>
  </r>
  <r>
    <x v="0"/>
    <x v="6"/>
    <x v="2"/>
    <x v="2"/>
    <x v="2"/>
    <x v="38"/>
    <n v="2.31"/>
    <d v="2019-07-01T00:00:00"/>
    <n v="7"/>
    <s v="Q3"/>
    <x v="6"/>
    <s v="Medium"/>
  </r>
  <r>
    <x v="0"/>
    <x v="6"/>
    <x v="2"/>
    <x v="3"/>
    <x v="3"/>
    <x v="39"/>
    <n v="2.39"/>
    <d v="2019-07-01T00:00:00"/>
    <n v="7"/>
    <s v="Q3"/>
    <x v="6"/>
    <s v="Medium"/>
  </r>
  <r>
    <x v="0"/>
    <x v="6"/>
    <x v="2"/>
    <x v="4"/>
    <x v="4"/>
    <x v="40"/>
    <n v="2.4700000000000002"/>
    <d v="2019-07-01T00:00:00"/>
    <n v="7"/>
    <s v="Q3"/>
    <x v="6"/>
    <s v="Medium"/>
  </r>
  <r>
    <x v="0"/>
    <x v="6"/>
    <x v="2"/>
    <x v="5"/>
    <x v="5"/>
    <x v="41"/>
    <n v="2.5499999999999998"/>
    <d v="2019-07-01T00:00:00"/>
    <n v="7"/>
    <s v="Q3"/>
    <x v="6"/>
    <s v="Medium"/>
  </r>
  <r>
    <x v="0"/>
    <x v="6"/>
    <x v="2"/>
    <x v="6"/>
    <x v="6"/>
    <x v="76"/>
    <n v="2.63"/>
    <d v="2019-07-01T00:00:00"/>
    <n v="7"/>
    <s v="Q3"/>
    <x v="6"/>
    <s v="Medium"/>
  </r>
  <r>
    <x v="0"/>
    <x v="7"/>
    <x v="0"/>
    <x v="0"/>
    <x v="0"/>
    <x v="43"/>
    <n v="2.2999999999999998"/>
    <d v="2019-08-01T00:00:00"/>
    <n v="8"/>
    <s v="Q3"/>
    <x v="7"/>
    <s v="Medium"/>
  </r>
  <r>
    <x v="0"/>
    <x v="7"/>
    <x v="0"/>
    <x v="1"/>
    <x v="1"/>
    <x v="44"/>
    <n v="2.38"/>
    <d v="2019-08-01T00:00:00"/>
    <n v="8"/>
    <s v="Q3"/>
    <x v="7"/>
    <s v="Medium"/>
  </r>
  <r>
    <x v="0"/>
    <x v="7"/>
    <x v="0"/>
    <x v="2"/>
    <x v="2"/>
    <x v="45"/>
    <n v="2.46"/>
    <d v="2019-08-01T00:00:00"/>
    <n v="8"/>
    <s v="Q3"/>
    <x v="7"/>
    <s v="Medium"/>
  </r>
  <r>
    <x v="0"/>
    <x v="7"/>
    <x v="0"/>
    <x v="3"/>
    <x v="3"/>
    <x v="46"/>
    <n v="2.54"/>
    <d v="2019-08-01T00:00:00"/>
    <n v="8"/>
    <s v="Q3"/>
    <x v="7"/>
    <s v="Medium"/>
  </r>
  <r>
    <x v="0"/>
    <x v="7"/>
    <x v="0"/>
    <x v="4"/>
    <x v="4"/>
    <x v="47"/>
    <n v="2.62"/>
    <d v="2019-08-01T00:00:00"/>
    <n v="8"/>
    <s v="Q3"/>
    <x v="7"/>
    <s v="Medium"/>
  </r>
  <r>
    <x v="0"/>
    <x v="7"/>
    <x v="0"/>
    <x v="5"/>
    <x v="5"/>
    <x v="48"/>
    <n v="2.7"/>
    <d v="2019-08-01T00:00:00"/>
    <n v="8"/>
    <s v="Q3"/>
    <x v="7"/>
    <s v="Medium"/>
  </r>
  <r>
    <x v="0"/>
    <x v="7"/>
    <x v="0"/>
    <x v="6"/>
    <x v="6"/>
    <x v="72"/>
    <n v="2.78"/>
    <d v="2019-08-01T00:00:00"/>
    <n v="8"/>
    <s v="Q3"/>
    <x v="7"/>
    <s v="Medium"/>
  </r>
  <r>
    <x v="0"/>
    <x v="7"/>
    <x v="1"/>
    <x v="0"/>
    <x v="0"/>
    <x v="50"/>
    <n v="2.2999999999999998"/>
    <d v="2019-08-01T00:00:00"/>
    <n v="8"/>
    <s v="Q3"/>
    <x v="7"/>
    <s v="Medium"/>
  </r>
  <r>
    <x v="0"/>
    <x v="7"/>
    <x v="1"/>
    <x v="1"/>
    <x v="1"/>
    <x v="51"/>
    <n v="2.38"/>
    <d v="2019-08-01T00:00:00"/>
    <n v="8"/>
    <s v="Q3"/>
    <x v="7"/>
    <s v="Medium"/>
  </r>
  <r>
    <x v="0"/>
    <x v="7"/>
    <x v="1"/>
    <x v="2"/>
    <x v="2"/>
    <x v="52"/>
    <n v="2.46"/>
    <d v="2019-08-01T00:00:00"/>
    <n v="8"/>
    <s v="Q3"/>
    <x v="7"/>
    <s v="Medium"/>
  </r>
  <r>
    <x v="0"/>
    <x v="7"/>
    <x v="1"/>
    <x v="3"/>
    <x v="3"/>
    <x v="53"/>
    <n v="2.54"/>
    <d v="2019-08-01T00:00:00"/>
    <n v="8"/>
    <s v="Q3"/>
    <x v="7"/>
    <s v="Medium"/>
  </r>
  <r>
    <x v="0"/>
    <x v="7"/>
    <x v="1"/>
    <x v="4"/>
    <x v="4"/>
    <x v="54"/>
    <n v="2.62"/>
    <d v="2019-08-01T00:00:00"/>
    <n v="8"/>
    <s v="Q3"/>
    <x v="7"/>
    <s v="Medium"/>
  </r>
  <r>
    <x v="0"/>
    <x v="7"/>
    <x v="1"/>
    <x v="5"/>
    <x v="5"/>
    <x v="55"/>
    <n v="2.7"/>
    <d v="2019-08-01T00:00:00"/>
    <n v="8"/>
    <s v="Q3"/>
    <x v="7"/>
    <s v="Medium"/>
  </r>
  <r>
    <x v="0"/>
    <x v="7"/>
    <x v="1"/>
    <x v="6"/>
    <x v="6"/>
    <x v="77"/>
    <n v="2.78"/>
    <d v="2019-08-01T00:00:00"/>
    <n v="8"/>
    <s v="Q3"/>
    <x v="7"/>
    <s v="Medium"/>
  </r>
  <r>
    <x v="0"/>
    <x v="7"/>
    <x v="2"/>
    <x v="0"/>
    <x v="0"/>
    <x v="2"/>
    <n v="2.2999999999999998"/>
    <d v="2019-08-01T00:00:00"/>
    <n v="8"/>
    <s v="Q3"/>
    <x v="7"/>
    <s v="Medium"/>
  </r>
  <r>
    <x v="0"/>
    <x v="7"/>
    <x v="2"/>
    <x v="1"/>
    <x v="1"/>
    <x v="3"/>
    <n v="2.38"/>
    <d v="2019-08-01T00:00:00"/>
    <n v="8"/>
    <s v="Q3"/>
    <x v="7"/>
    <s v="Medium"/>
  </r>
  <r>
    <x v="0"/>
    <x v="7"/>
    <x v="2"/>
    <x v="2"/>
    <x v="2"/>
    <x v="4"/>
    <n v="2.46"/>
    <d v="2019-08-01T00:00:00"/>
    <n v="8"/>
    <s v="Q3"/>
    <x v="7"/>
    <s v="Medium"/>
  </r>
  <r>
    <x v="0"/>
    <x v="7"/>
    <x v="2"/>
    <x v="3"/>
    <x v="3"/>
    <x v="5"/>
    <n v="2.54"/>
    <d v="2019-08-01T00:00:00"/>
    <n v="8"/>
    <s v="Q3"/>
    <x v="7"/>
    <s v="Medium"/>
  </r>
  <r>
    <x v="0"/>
    <x v="7"/>
    <x v="2"/>
    <x v="4"/>
    <x v="4"/>
    <x v="6"/>
    <n v="2.62"/>
    <d v="2019-08-01T00:00:00"/>
    <n v="8"/>
    <s v="Q3"/>
    <x v="7"/>
    <s v="Medium"/>
  </r>
  <r>
    <x v="0"/>
    <x v="7"/>
    <x v="2"/>
    <x v="5"/>
    <x v="5"/>
    <x v="56"/>
    <n v="2.7"/>
    <d v="2019-08-01T00:00:00"/>
    <n v="8"/>
    <s v="Q3"/>
    <x v="7"/>
    <s v="Medium"/>
  </r>
  <r>
    <x v="0"/>
    <x v="7"/>
    <x v="2"/>
    <x v="6"/>
    <x v="6"/>
    <x v="78"/>
    <n v="2.78"/>
    <d v="2019-08-01T00:00:00"/>
    <n v="8"/>
    <s v="Q3"/>
    <x v="7"/>
    <s v="Medium"/>
  </r>
  <r>
    <x v="0"/>
    <x v="8"/>
    <x v="0"/>
    <x v="0"/>
    <x v="0"/>
    <x v="15"/>
    <n v="2.4500000000000002"/>
    <d v="2019-09-01T00:00:00"/>
    <n v="9"/>
    <s v="Q3"/>
    <x v="8"/>
    <s v="Medium"/>
  </r>
  <r>
    <x v="0"/>
    <x v="8"/>
    <x v="0"/>
    <x v="1"/>
    <x v="1"/>
    <x v="16"/>
    <n v="2.5299999999999998"/>
    <d v="2019-09-01T00:00:00"/>
    <n v="9"/>
    <s v="Q3"/>
    <x v="8"/>
    <s v="Medium"/>
  </r>
  <r>
    <x v="0"/>
    <x v="8"/>
    <x v="0"/>
    <x v="2"/>
    <x v="2"/>
    <x v="17"/>
    <n v="2.61"/>
    <d v="2019-09-01T00:00:00"/>
    <n v="9"/>
    <s v="Q3"/>
    <x v="8"/>
    <s v="Medium"/>
  </r>
  <r>
    <x v="0"/>
    <x v="8"/>
    <x v="0"/>
    <x v="3"/>
    <x v="3"/>
    <x v="18"/>
    <n v="2.69"/>
    <d v="2019-09-01T00:00:00"/>
    <n v="9"/>
    <s v="Q3"/>
    <x v="8"/>
    <s v="Medium"/>
  </r>
  <r>
    <x v="0"/>
    <x v="8"/>
    <x v="0"/>
    <x v="4"/>
    <x v="4"/>
    <x v="19"/>
    <n v="2.77"/>
    <d v="2019-09-01T00:00:00"/>
    <n v="9"/>
    <s v="Q3"/>
    <x v="8"/>
    <s v="Medium"/>
  </r>
  <r>
    <x v="0"/>
    <x v="8"/>
    <x v="0"/>
    <x v="5"/>
    <x v="5"/>
    <x v="20"/>
    <n v="2.85"/>
    <d v="2019-09-01T00:00:00"/>
    <n v="9"/>
    <s v="Q3"/>
    <x v="8"/>
    <s v="Medium"/>
  </r>
  <r>
    <x v="0"/>
    <x v="8"/>
    <x v="0"/>
    <x v="6"/>
    <x v="6"/>
    <x v="74"/>
    <n v="2.93"/>
    <d v="2019-09-01T00:00:00"/>
    <n v="9"/>
    <s v="Q3"/>
    <x v="8"/>
    <s v="Medium"/>
  </r>
  <r>
    <x v="0"/>
    <x v="8"/>
    <x v="1"/>
    <x v="0"/>
    <x v="0"/>
    <x v="58"/>
    <n v="2.4500000000000002"/>
    <d v="2019-09-01T00:00:00"/>
    <n v="9"/>
    <s v="Q3"/>
    <x v="8"/>
    <s v="Medium"/>
  </r>
  <r>
    <x v="0"/>
    <x v="8"/>
    <x v="1"/>
    <x v="1"/>
    <x v="1"/>
    <x v="59"/>
    <n v="2.5299999999999998"/>
    <d v="2019-09-01T00:00:00"/>
    <n v="9"/>
    <s v="Q3"/>
    <x v="8"/>
    <s v="Medium"/>
  </r>
  <r>
    <x v="0"/>
    <x v="8"/>
    <x v="1"/>
    <x v="2"/>
    <x v="2"/>
    <x v="60"/>
    <n v="2.61"/>
    <d v="2019-09-01T00:00:00"/>
    <n v="9"/>
    <s v="Q3"/>
    <x v="8"/>
    <s v="Medium"/>
  </r>
  <r>
    <x v="0"/>
    <x v="8"/>
    <x v="1"/>
    <x v="3"/>
    <x v="3"/>
    <x v="61"/>
    <n v="2.69"/>
    <d v="2019-09-01T00:00:00"/>
    <n v="9"/>
    <s v="Q3"/>
    <x v="8"/>
    <s v="Medium"/>
  </r>
  <r>
    <x v="0"/>
    <x v="8"/>
    <x v="1"/>
    <x v="4"/>
    <x v="4"/>
    <x v="62"/>
    <n v="2.77"/>
    <d v="2019-09-01T00:00:00"/>
    <n v="9"/>
    <s v="Q3"/>
    <x v="8"/>
    <s v="Medium"/>
  </r>
  <r>
    <x v="0"/>
    <x v="8"/>
    <x v="1"/>
    <x v="5"/>
    <x v="5"/>
    <x v="63"/>
    <n v="2.85"/>
    <d v="2019-09-01T00:00:00"/>
    <n v="9"/>
    <s v="Q3"/>
    <x v="8"/>
    <s v="Medium"/>
  </r>
  <r>
    <x v="0"/>
    <x v="8"/>
    <x v="1"/>
    <x v="6"/>
    <x v="6"/>
    <x v="79"/>
    <n v="2.93"/>
    <d v="2019-09-01T00:00:00"/>
    <n v="9"/>
    <s v="Q3"/>
    <x v="8"/>
    <s v="Medium"/>
  </r>
  <r>
    <x v="0"/>
    <x v="8"/>
    <x v="2"/>
    <x v="0"/>
    <x v="0"/>
    <x v="23"/>
    <n v="2.4500000000000002"/>
    <d v="2019-09-01T00:00:00"/>
    <n v="9"/>
    <s v="Q3"/>
    <x v="8"/>
    <s v="Medium"/>
  </r>
  <r>
    <x v="0"/>
    <x v="8"/>
    <x v="2"/>
    <x v="1"/>
    <x v="1"/>
    <x v="24"/>
    <n v="2.5299999999999998"/>
    <d v="2019-09-01T00:00:00"/>
    <n v="9"/>
    <s v="Q3"/>
    <x v="8"/>
    <s v="Medium"/>
  </r>
  <r>
    <x v="0"/>
    <x v="8"/>
    <x v="2"/>
    <x v="2"/>
    <x v="2"/>
    <x v="25"/>
    <n v="2.61"/>
    <d v="2019-09-01T00:00:00"/>
    <n v="9"/>
    <s v="Q3"/>
    <x v="8"/>
    <s v="Medium"/>
  </r>
  <r>
    <x v="0"/>
    <x v="8"/>
    <x v="2"/>
    <x v="3"/>
    <x v="3"/>
    <x v="26"/>
    <n v="2.69"/>
    <d v="2019-09-01T00:00:00"/>
    <n v="9"/>
    <s v="Q3"/>
    <x v="8"/>
    <s v="Medium"/>
  </r>
  <r>
    <x v="0"/>
    <x v="8"/>
    <x v="2"/>
    <x v="4"/>
    <x v="4"/>
    <x v="27"/>
    <n v="2.77"/>
    <d v="2019-09-01T00:00:00"/>
    <n v="9"/>
    <s v="Q3"/>
    <x v="8"/>
    <s v="Medium"/>
  </r>
  <r>
    <x v="0"/>
    <x v="8"/>
    <x v="2"/>
    <x v="5"/>
    <x v="5"/>
    <x v="64"/>
    <n v="2.85"/>
    <d v="2019-09-01T00:00:00"/>
    <n v="9"/>
    <s v="Q3"/>
    <x v="8"/>
    <s v="Medium"/>
  </r>
  <r>
    <x v="0"/>
    <x v="8"/>
    <x v="2"/>
    <x v="6"/>
    <x v="6"/>
    <x v="80"/>
    <n v="2.93"/>
    <d v="2019-09-01T00:00:00"/>
    <n v="9"/>
    <s v="Q3"/>
    <x v="8"/>
    <s v="Medium"/>
  </r>
  <r>
    <x v="0"/>
    <x v="9"/>
    <x v="0"/>
    <x v="0"/>
    <x v="0"/>
    <x v="36"/>
    <n v="2.6"/>
    <d v="2019-10-01T00:00:00"/>
    <n v="10"/>
    <s v="Q4"/>
    <x v="9"/>
    <s v="Medium"/>
  </r>
  <r>
    <x v="0"/>
    <x v="9"/>
    <x v="0"/>
    <x v="1"/>
    <x v="1"/>
    <x v="37"/>
    <n v="2.68"/>
    <d v="2019-10-01T00:00:00"/>
    <n v="10"/>
    <s v="Q4"/>
    <x v="9"/>
    <s v="Medium"/>
  </r>
  <r>
    <x v="0"/>
    <x v="9"/>
    <x v="0"/>
    <x v="2"/>
    <x v="2"/>
    <x v="38"/>
    <n v="2.76"/>
    <d v="2019-10-01T00:00:00"/>
    <n v="10"/>
    <s v="Q4"/>
    <x v="9"/>
    <s v="Medium"/>
  </r>
  <r>
    <x v="0"/>
    <x v="9"/>
    <x v="0"/>
    <x v="3"/>
    <x v="3"/>
    <x v="39"/>
    <n v="2.84"/>
    <d v="2019-10-01T00:00:00"/>
    <n v="10"/>
    <s v="Q4"/>
    <x v="9"/>
    <s v="Medium"/>
  </r>
  <r>
    <x v="0"/>
    <x v="9"/>
    <x v="0"/>
    <x v="4"/>
    <x v="4"/>
    <x v="40"/>
    <n v="2.92"/>
    <d v="2019-10-01T00:00:00"/>
    <n v="10"/>
    <s v="Q4"/>
    <x v="9"/>
    <s v="Medium"/>
  </r>
  <r>
    <x v="0"/>
    <x v="9"/>
    <x v="0"/>
    <x v="5"/>
    <x v="5"/>
    <x v="41"/>
    <n v="3"/>
    <d v="2019-10-01T00:00:00"/>
    <n v="10"/>
    <s v="Q4"/>
    <x v="9"/>
    <s v="Medium"/>
  </r>
  <r>
    <x v="0"/>
    <x v="9"/>
    <x v="0"/>
    <x v="6"/>
    <x v="6"/>
    <x v="76"/>
    <n v="3.08"/>
    <d v="2019-10-01T00:00:00"/>
    <n v="10"/>
    <s v="Q4"/>
    <x v="9"/>
    <s v="Medium"/>
  </r>
  <r>
    <x v="0"/>
    <x v="9"/>
    <x v="1"/>
    <x v="0"/>
    <x v="0"/>
    <x v="66"/>
    <n v="2.6"/>
    <d v="2019-10-01T00:00:00"/>
    <n v="10"/>
    <s v="Q4"/>
    <x v="9"/>
    <s v="Medium"/>
  </r>
  <r>
    <x v="0"/>
    <x v="9"/>
    <x v="1"/>
    <x v="1"/>
    <x v="1"/>
    <x v="67"/>
    <n v="2.68"/>
    <d v="2019-10-01T00:00:00"/>
    <n v="10"/>
    <s v="Q4"/>
    <x v="9"/>
    <s v="Medium"/>
  </r>
  <r>
    <x v="0"/>
    <x v="9"/>
    <x v="1"/>
    <x v="2"/>
    <x v="2"/>
    <x v="68"/>
    <n v="2.76"/>
    <d v="2019-10-01T00:00:00"/>
    <n v="10"/>
    <s v="Q4"/>
    <x v="9"/>
    <s v="Medium"/>
  </r>
  <r>
    <x v="0"/>
    <x v="9"/>
    <x v="1"/>
    <x v="3"/>
    <x v="3"/>
    <x v="69"/>
    <n v="2.84"/>
    <d v="2019-10-01T00:00:00"/>
    <n v="10"/>
    <s v="Q4"/>
    <x v="9"/>
    <s v="Medium"/>
  </r>
  <r>
    <x v="0"/>
    <x v="9"/>
    <x v="1"/>
    <x v="4"/>
    <x v="4"/>
    <x v="70"/>
    <n v="2.92"/>
    <d v="2019-10-01T00:00:00"/>
    <n v="10"/>
    <s v="Q4"/>
    <x v="9"/>
    <s v="Medium"/>
  </r>
  <r>
    <x v="0"/>
    <x v="9"/>
    <x v="1"/>
    <x v="5"/>
    <x v="5"/>
    <x v="71"/>
    <n v="3"/>
    <d v="2019-10-01T00:00:00"/>
    <n v="10"/>
    <s v="Q4"/>
    <x v="9"/>
    <s v="Medium"/>
  </r>
  <r>
    <x v="0"/>
    <x v="9"/>
    <x v="1"/>
    <x v="6"/>
    <x v="6"/>
    <x v="81"/>
    <n v="3.08"/>
    <d v="2019-10-01T00:00:00"/>
    <n v="10"/>
    <s v="Q4"/>
    <x v="9"/>
    <s v="Medium"/>
  </r>
  <r>
    <x v="0"/>
    <x v="9"/>
    <x v="2"/>
    <x v="0"/>
    <x v="0"/>
    <x v="44"/>
    <n v="2.6"/>
    <d v="2019-10-01T00:00:00"/>
    <n v="10"/>
    <s v="Q4"/>
    <x v="9"/>
    <s v="Medium"/>
  </r>
  <r>
    <x v="0"/>
    <x v="9"/>
    <x v="2"/>
    <x v="1"/>
    <x v="1"/>
    <x v="45"/>
    <n v="2.68"/>
    <d v="2019-10-01T00:00:00"/>
    <n v="10"/>
    <s v="Q4"/>
    <x v="9"/>
    <s v="Medium"/>
  </r>
  <r>
    <x v="0"/>
    <x v="9"/>
    <x v="2"/>
    <x v="2"/>
    <x v="2"/>
    <x v="46"/>
    <n v="2.76"/>
    <d v="2019-10-01T00:00:00"/>
    <n v="10"/>
    <s v="Q4"/>
    <x v="9"/>
    <s v="Medium"/>
  </r>
  <r>
    <x v="0"/>
    <x v="9"/>
    <x v="2"/>
    <x v="3"/>
    <x v="3"/>
    <x v="47"/>
    <n v="2.84"/>
    <d v="2019-10-01T00:00:00"/>
    <n v="10"/>
    <s v="Q4"/>
    <x v="9"/>
    <s v="Medium"/>
  </r>
  <r>
    <x v="0"/>
    <x v="9"/>
    <x v="2"/>
    <x v="4"/>
    <x v="4"/>
    <x v="48"/>
    <n v="2.92"/>
    <d v="2019-10-01T00:00:00"/>
    <n v="10"/>
    <s v="Q4"/>
    <x v="9"/>
    <s v="Medium"/>
  </r>
  <r>
    <x v="0"/>
    <x v="9"/>
    <x v="2"/>
    <x v="5"/>
    <x v="5"/>
    <x v="72"/>
    <n v="3"/>
    <d v="2019-10-01T00:00:00"/>
    <n v="10"/>
    <s v="Q4"/>
    <x v="9"/>
    <s v="Medium"/>
  </r>
  <r>
    <x v="0"/>
    <x v="9"/>
    <x v="2"/>
    <x v="6"/>
    <x v="6"/>
    <x v="82"/>
    <n v="3.08"/>
    <d v="2019-10-01T00:00:00"/>
    <n v="10"/>
    <s v="Q4"/>
    <x v="9"/>
    <s v="Medium"/>
  </r>
  <r>
    <x v="0"/>
    <x v="10"/>
    <x v="0"/>
    <x v="0"/>
    <x v="0"/>
    <x v="2"/>
    <n v="2.75"/>
    <d v="2019-11-01T00:00:00"/>
    <n v="11"/>
    <s v="Q4"/>
    <x v="10"/>
    <s v="Medium"/>
  </r>
  <r>
    <x v="0"/>
    <x v="10"/>
    <x v="0"/>
    <x v="1"/>
    <x v="1"/>
    <x v="3"/>
    <n v="2.83"/>
    <d v="2019-11-01T00:00:00"/>
    <n v="11"/>
    <s v="Q4"/>
    <x v="10"/>
    <s v="Medium"/>
  </r>
  <r>
    <x v="0"/>
    <x v="10"/>
    <x v="0"/>
    <x v="2"/>
    <x v="2"/>
    <x v="4"/>
    <n v="2.91"/>
    <d v="2019-11-01T00:00:00"/>
    <n v="11"/>
    <s v="Q4"/>
    <x v="10"/>
    <s v="Medium"/>
  </r>
  <r>
    <x v="0"/>
    <x v="10"/>
    <x v="0"/>
    <x v="3"/>
    <x v="3"/>
    <x v="5"/>
    <n v="2.99"/>
    <d v="2019-11-01T00:00:00"/>
    <n v="11"/>
    <s v="Q4"/>
    <x v="10"/>
    <s v="Medium"/>
  </r>
  <r>
    <x v="0"/>
    <x v="10"/>
    <x v="0"/>
    <x v="4"/>
    <x v="4"/>
    <x v="6"/>
    <n v="3.07"/>
    <d v="2019-11-01T00:00:00"/>
    <n v="11"/>
    <s v="Q4"/>
    <x v="10"/>
    <s v="Medium"/>
  </r>
  <r>
    <x v="0"/>
    <x v="10"/>
    <x v="0"/>
    <x v="5"/>
    <x v="5"/>
    <x v="56"/>
    <n v="3.15"/>
    <d v="2019-11-01T00:00:00"/>
    <n v="11"/>
    <s v="Q4"/>
    <x v="10"/>
    <s v="Medium"/>
  </r>
  <r>
    <x v="0"/>
    <x v="10"/>
    <x v="0"/>
    <x v="6"/>
    <x v="6"/>
    <x v="78"/>
    <n v="3.23"/>
    <d v="2019-11-01T00:00:00"/>
    <n v="11"/>
    <s v="Q4"/>
    <x v="10"/>
    <s v="Medium"/>
  </r>
  <r>
    <x v="0"/>
    <x v="10"/>
    <x v="1"/>
    <x v="0"/>
    <x v="0"/>
    <x v="9"/>
    <n v="2.75"/>
    <d v="2019-11-01T00:00:00"/>
    <n v="11"/>
    <s v="Q4"/>
    <x v="10"/>
    <s v="Medium"/>
  </r>
  <r>
    <x v="0"/>
    <x v="10"/>
    <x v="1"/>
    <x v="1"/>
    <x v="1"/>
    <x v="10"/>
    <n v="2.83"/>
    <d v="2019-11-01T00:00:00"/>
    <n v="11"/>
    <s v="Q4"/>
    <x v="10"/>
    <s v="Medium"/>
  </r>
  <r>
    <x v="0"/>
    <x v="10"/>
    <x v="1"/>
    <x v="2"/>
    <x v="2"/>
    <x v="11"/>
    <n v="2.91"/>
    <d v="2019-11-01T00:00:00"/>
    <n v="11"/>
    <s v="Q4"/>
    <x v="10"/>
    <s v="Medium"/>
  </r>
  <r>
    <x v="0"/>
    <x v="10"/>
    <x v="1"/>
    <x v="3"/>
    <x v="3"/>
    <x v="12"/>
    <n v="2.99"/>
    <d v="2019-11-01T00:00:00"/>
    <n v="11"/>
    <s v="Q4"/>
    <x v="10"/>
    <s v="Medium"/>
  </r>
  <r>
    <x v="0"/>
    <x v="10"/>
    <x v="1"/>
    <x v="4"/>
    <x v="4"/>
    <x v="13"/>
    <n v="3.07"/>
    <d v="2019-11-01T00:00:00"/>
    <n v="11"/>
    <s v="Q4"/>
    <x v="10"/>
    <s v="Medium"/>
  </r>
  <r>
    <x v="0"/>
    <x v="10"/>
    <x v="1"/>
    <x v="5"/>
    <x v="5"/>
    <x v="73"/>
    <n v="3.15"/>
    <d v="2019-11-01T00:00:00"/>
    <n v="11"/>
    <s v="Q4"/>
    <x v="10"/>
    <s v="Medium"/>
  </r>
  <r>
    <x v="0"/>
    <x v="10"/>
    <x v="1"/>
    <x v="6"/>
    <x v="6"/>
    <x v="83"/>
    <n v="3.23"/>
    <d v="2019-11-01T00:00:00"/>
    <n v="11"/>
    <s v="Q4"/>
    <x v="10"/>
    <s v="Medium"/>
  </r>
  <r>
    <x v="0"/>
    <x v="10"/>
    <x v="2"/>
    <x v="0"/>
    <x v="0"/>
    <x v="16"/>
    <n v="2.75"/>
    <d v="2019-11-01T00:00:00"/>
    <n v="11"/>
    <s v="Q4"/>
    <x v="10"/>
    <s v="Medium"/>
  </r>
  <r>
    <x v="0"/>
    <x v="10"/>
    <x v="2"/>
    <x v="1"/>
    <x v="1"/>
    <x v="17"/>
    <n v="2.83"/>
    <d v="2019-11-01T00:00:00"/>
    <n v="11"/>
    <s v="Q4"/>
    <x v="10"/>
    <s v="Medium"/>
  </r>
  <r>
    <x v="0"/>
    <x v="10"/>
    <x v="2"/>
    <x v="2"/>
    <x v="2"/>
    <x v="18"/>
    <n v="2.91"/>
    <d v="2019-11-01T00:00:00"/>
    <n v="11"/>
    <s v="Q4"/>
    <x v="10"/>
    <s v="Medium"/>
  </r>
  <r>
    <x v="0"/>
    <x v="10"/>
    <x v="2"/>
    <x v="3"/>
    <x v="3"/>
    <x v="19"/>
    <n v="2.99"/>
    <d v="2019-11-01T00:00:00"/>
    <n v="11"/>
    <s v="Q4"/>
    <x v="10"/>
    <s v="Medium"/>
  </r>
  <r>
    <x v="0"/>
    <x v="10"/>
    <x v="2"/>
    <x v="4"/>
    <x v="4"/>
    <x v="20"/>
    <n v="3.07"/>
    <d v="2019-11-01T00:00:00"/>
    <n v="11"/>
    <s v="Q4"/>
    <x v="10"/>
    <s v="Medium"/>
  </r>
  <r>
    <x v="0"/>
    <x v="10"/>
    <x v="2"/>
    <x v="5"/>
    <x v="5"/>
    <x v="74"/>
    <n v="3.15"/>
    <d v="2019-11-01T00:00:00"/>
    <n v="11"/>
    <s v="Q4"/>
    <x v="10"/>
    <s v="Medium"/>
  </r>
  <r>
    <x v="0"/>
    <x v="10"/>
    <x v="2"/>
    <x v="6"/>
    <x v="6"/>
    <x v="84"/>
    <n v="3.23"/>
    <d v="2019-11-01T00:00:00"/>
    <n v="11"/>
    <s v="Q4"/>
    <x v="10"/>
    <s v="Medium"/>
  </r>
  <r>
    <x v="0"/>
    <x v="11"/>
    <x v="0"/>
    <x v="0"/>
    <x v="0"/>
    <x v="23"/>
    <n v="2"/>
    <d v="2019-12-01T00:00:00"/>
    <n v="12"/>
    <s v="Q4"/>
    <x v="11"/>
    <s v="Medium"/>
  </r>
  <r>
    <x v="0"/>
    <x v="11"/>
    <x v="0"/>
    <x v="1"/>
    <x v="1"/>
    <x v="24"/>
    <n v="2.08"/>
    <d v="2019-12-01T00:00:00"/>
    <n v="12"/>
    <s v="Q4"/>
    <x v="11"/>
    <s v="Medium"/>
  </r>
  <r>
    <x v="0"/>
    <x v="11"/>
    <x v="0"/>
    <x v="2"/>
    <x v="2"/>
    <x v="25"/>
    <n v="2.16"/>
    <d v="2019-12-01T00:00:00"/>
    <n v="12"/>
    <s v="Q4"/>
    <x v="11"/>
    <s v="Medium"/>
  </r>
  <r>
    <x v="0"/>
    <x v="11"/>
    <x v="0"/>
    <x v="3"/>
    <x v="3"/>
    <x v="26"/>
    <n v="2.2400000000000002"/>
    <d v="2019-12-01T00:00:00"/>
    <n v="12"/>
    <s v="Q4"/>
    <x v="11"/>
    <s v="Medium"/>
  </r>
  <r>
    <x v="0"/>
    <x v="11"/>
    <x v="0"/>
    <x v="4"/>
    <x v="4"/>
    <x v="27"/>
    <n v="2.3199999999999998"/>
    <d v="2019-12-01T00:00:00"/>
    <n v="12"/>
    <s v="Q4"/>
    <x v="11"/>
    <s v="Medium"/>
  </r>
  <r>
    <x v="0"/>
    <x v="11"/>
    <x v="0"/>
    <x v="5"/>
    <x v="5"/>
    <x v="64"/>
    <n v="2.4"/>
    <d v="2019-12-01T00:00:00"/>
    <n v="12"/>
    <s v="Q4"/>
    <x v="11"/>
    <s v="Medium"/>
  </r>
  <r>
    <x v="0"/>
    <x v="11"/>
    <x v="0"/>
    <x v="6"/>
    <x v="6"/>
    <x v="80"/>
    <n v="2.48"/>
    <d v="2019-12-01T00:00:00"/>
    <n v="12"/>
    <s v="Q4"/>
    <x v="11"/>
    <s v="Medium"/>
  </r>
  <r>
    <x v="0"/>
    <x v="11"/>
    <x v="1"/>
    <x v="0"/>
    <x v="0"/>
    <x v="30"/>
    <n v="2"/>
    <d v="2019-12-01T00:00:00"/>
    <n v="12"/>
    <s v="Q4"/>
    <x v="11"/>
    <s v="Medium"/>
  </r>
  <r>
    <x v="0"/>
    <x v="11"/>
    <x v="1"/>
    <x v="1"/>
    <x v="1"/>
    <x v="31"/>
    <n v="2.08"/>
    <d v="2019-12-01T00:00:00"/>
    <n v="12"/>
    <s v="Q4"/>
    <x v="11"/>
    <s v="Medium"/>
  </r>
  <r>
    <x v="0"/>
    <x v="11"/>
    <x v="1"/>
    <x v="2"/>
    <x v="2"/>
    <x v="32"/>
    <n v="2.16"/>
    <d v="2019-12-01T00:00:00"/>
    <n v="12"/>
    <s v="Q4"/>
    <x v="11"/>
    <s v="Medium"/>
  </r>
  <r>
    <x v="0"/>
    <x v="11"/>
    <x v="1"/>
    <x v="3"/>
    <x v="3"/>
    <x v="33"/>
    <n v="2.2400000000000002"/>
    <d v="2019-12-01T00:00:00"/>
    <n v="12"/>
    <s v="Q4"/>
    <x v="11"/>
    <s v="Medium"/>
  </r>
  <r>
    <x v="0"/>
    <x v="11"/>
    <x v="1"/>
    <x v="4"/>
    <x v="4"/>
    <x v="34"/>
    <n v="2.3199999999999998"/>
    <d v="2019-12-01T00:00:00"/>
    <n v="12"/>
    <s v="Q4"/>
    <x v="11"/>
    <s v="Medium"/>
  </r>
  <r>
    <x v="0"/>
    <x v="11"/>
    <x v="1"/>
    <x v="5"/>
    <x v="5"/>
    <x v="75"/>
    <n v="2.4"/>
    <d v="2019-12-01T00:00:00"/>
    <n v="12"/>
    <s v="Q4"/>
    <x v="11"/>
    <s v="Medium"/>
  </r>
  <r>
    <x v="0"/>
    <x v="11"/>
    <x v="1"/>
    <x v="6"/>
    <x v="6"/>
    <x v="85"/>
    <n v="2.48"/>
    <d v="2019-12-01T00:00:00"/>
    <n v="12"/>
    <s v="Q4"/>
    <x v="11"/>
    <s v="Medium"/>
  </r>
  <r>
    <x v="0"/>
    <x v="11"/>
    <x v="2"/>
    <x v="0"/>
    <x v="0"/>
    <x v="37"/>
    <n v="2"/>
    <d v="2019-12-01T00:00:00"/>
    <n v="12"/>
    <s v="Q4"/>
    <x v="11"/>
    <s v="Medium"/>
  </r>
  <r>
    <x v="0"/>
    <x v="11"/>
    <x v="2"/>
    <x v="1"/>
    <x v="1"/>
    <x v="38"/>
    <n v="2.08"/>
    <d v="2019-12-01T00:00:00"/>
    <n v="12"/>
    <s v="Q4"/>
    <x v="11"/>
    <s v="Medium"/>
  </r>
  <r>
    <x v="0"/>
    <x v="11"/>
    <x v="2"/>
    <x v="2"/>
    <x v="2"/>
    <x v="39"/>
    <n v="2.16"/>
    <d v="2019-12-01T00:00:00"/>
    <n v="12"/>
    <s v="Q4"/>
    <x v="11"/>
    <s v="Medium"/>
  </r>
  <r>
    <x v="0"/>
    <x v="11"/>
    <x v="2"/>
    <x v="3"/>
    <x v="3"/>
    <x v="40"/>
    <n v="2.2400000000000002"/>
    <d v="2019-12-01T00:00:00"/>
    <n v="12"/>
    <s v="Q4"/>
    <x v="11"/>
    <s v="Medium"/>
  </r>
  <r>
    <x v="0"/>
    <x v="11"/>
    <x v="2"/>
    <x v="4"/>
    <x v="4"/>
    <x v="41"/>
    <n v="2.3199999999999998"/>
    <d v="2019-12-01T00:00:00"/>
    <n v="12"/>
    <s v="Q4"/>
    <x v="11"/>
    <s v="Medium"/>
  </r>
  <r>
    <x v="0"/>
    <x v="11"/>
    <x v="2"/>
    <x v="5"/>
    <x v="5"/>
    <x v="76"/>
    <n v="2.4"/>
    <d v="2019-12-01T00:00:00"/>
    <n v="12"/>
    <s v="Q4"/>
    <x v="11"/>
    <s v="Medium"/>
  </r>
  <r>
    <x v="0"/>
    <x v="11"/>
    <x v="2"/>
    <x v="6"/>
    <x v="6"/>
    <x v="86"/>
    <n v="2.48"/>
    <d v="2019-12-01T00:00:00"/>
    <n v="12"/>
    <s v="Q4"/>
    <x v="11"/>
    <s v="Medium"/>
  </r>
  <r>
    <x v="1"/>
    <x v="0"/>
    <x v="0"/>
    <x v="0"/>
    <x v="0"/>
    <x v="30"/>
    <n v="2.5"/>
    <d v="2020-01-01T00:00:00"/>
    <n v="1"/>
    <s v="Q1"/>
    <x v="12"/>
    <s v="Medium"/>
  </r>
  <r>
    <x v="1"/>
    <x v="0"/>
    <x v="0"/>
    <x v="1"/>
    <x v="1"/>
    <x v="31"/>
    <n v="2.58"/>
    <d v="2020-01-01T00:00:00"/>
    <n v="1"/>
    <s v="Q1"/>
    <x v="12"/>
    <s v="Medium"/>
  </r>
  <r>
    <x v="1"/>
    <x v="0"/>
    <x v="0"/>
    <x v="2"/>
    <x v="2"/>
    <x v="32"/>
    <n v="2.66"/>
    <d v="2020-01-01T00:00:00"/>
    <n v="1"/>
    <s v="Q1"/>
    <x v="12"/>
    <s v="Medium"/>
  </r>
  <r>
    <x v="1"/>
    <x v="0"/>
    <x v="0"/>
    <x v="3"/>
    <x v="3"/>
    <x v="33"/>
    <n v="2.74"/>
    <d v="2020-01-01T00:00:00"/>
    <n v="1"/>
    <s v="Q1"/>
    <x v="12"/>
    <s v="Medium"/>
  </r>
  <r>
    <x v="1"/>
    <x v="0"/>
    <x v="0"/>
    <x v="4"/>
    <x v="4"/>
    <x v="34"/>
    <n v="2.82"/>
    <d v="2020-01-01T00:00:00"/>
    <n v="1"/>
    <s v="Q1"/>
    <x v="12"/>
    <s v="Medium"/>
  </r>
  <r>
    <x v="1"/>
    <x v="0"/>
    <x v="0"/>
    <x v="5"/>
    <x v="5"/>
    <x v="75"/>
    <n v="2.9"/>
    <d v="2020-01-01T00:00:00"/>
    <n v="1"/>
    <s v="Q1"/>
    <x v="12"/>
    <s v="Medium"/>
  </r>
  <r>
    <x v="1"/>
    <x v="0"/>
    <x v="0"/>
    <x v="6"/>
    <x v="6"/>
    <x v="85"/>
    <n v="2.98"/>
    <d v="2020-01-01T00:00:00"/>
    <n v="1"/>
    <s v="Q1"/>
    <x v="12"/>
    <s v="Medium"/>
  </r>
  <r>
    <x v="1"/>
    <x v="0"/>
    <x v="1"/>
    <x v="0"/>
    <x v="0"/>
    <x v="37"/>
    <n v="2.5"/>
    <d v="2020-01-01T00:00:00"/>
    <n v="1"/>
    <s v="Q1"/>
    <x v="12"/>
    <s v="Medium"/>
  </r>
  <r>
    <x v="1"/>
    <x v="0"/>
    <x v="1"/>
    <x v="1"/>
    <x v="1"/>
    <x v="38"/>
    <n v="2.58"/>
    <d v="2020-01-01T00:00:00"/>
    <n v="1"/>
    <s v="Q1"/>
    <x v="12"/>
    <s v="Medium"/>
  </r>
  <r>
    <x v="1"/>
    <x v="0"/>
    <x v="1"/>
    <x v="2"/>
    <x v="2"/>
    <x v="39"/>
    <n v="2.66"/>
    <d v="2020-01-01T00:00:00"/>
    <n v="1"/>
    <s v="Q1"/>
    <x v="12"/>
    <s v="Medium"/>
  </r>
  <r>
    <x v="1"/>
    <x v="0"/>
    <x v="1"/>
    <x v="3"/>
    <x v="3"/>
    <x v="40"/>
    <n v="2.74"/>
    <d v="2020-01-01T00:00:00"/>
    <n v="1"/>
    <s v="Q1"/>
    <x v="12"/>
    <s v="Medium"/>
  </r>
  <r>
    <x v="1"/>
    <x v="0"/>
    <x v="1"/>
    <x v="4"/>
    <x v="4"/>
    <x v="41"/>
    <n v="2.82"/>
    <d v="2020-01-01T00:00:00"/>
    <n v="1"/>
    <s v="Q1"/>
    <x v="12"/>
    <s v="Medium"/>
  </r>
  <r>
    <x v="1"/>
    <x v="0"/>
    <x v="1"/>
    <x v="5"/>
    <x v="5"/>
    <x v="76"/>
    <n v="2.9"/>
    <d v="2020-01-01T00:00:00"/>
    <n v="1"/>
    <s v="Q1"/>
    <x v="12"/>
    <s v="Medium"/>
  </r>
  <r>
    <x v="1"/>
    <x v="0"/>
    <x v="1"/>
    <x v="6"/>
    <x v="6"/>
    <x v="86"/>
    <n v="2.98"/>
    <d v="2020-01-01T00:00:00"/>
    <n v="1"/>
    <s v="Q1"/>
    <x v="12"/>
    <s v="Medium"/>
  </r>
  <r>
    <x v="1"/>
    <x v="0"/>
    <x v="2"/>
    <x v="0"/>
    <x v="0"/>
    <x v="67"/>
    <n v="2.5"/>
    <d v="2020-01-01T00:00:00"/>
    <n v="1"/>
    <s v="Q1"/>
    <x v="12"/>
    <s v="Medium"/>
  </r>
  <r>
    <x v="1"/>
    <x v="0"/>
    <x v="2"/>
    <x v="1"/>
    <x v="1"/>
    <x v="68"/>
    <n v="2.58"/>
    <d v="2020-01-01T00:00:00"/>
    <n v="1"/>
    <s v="Q1"/>
    <x v="12"/>
    <s v="Medium"/>
  </r>
  <r>
    <x v="1"/>
    <x v="0"/>
    <x v="2"/>
    <x v="2"/>
    <x v="2"/>
    <x v="69"/>
    <n v="2.66"/>
    <d v="2020-01-01T00:00:00"/>
    <n v="1"/>
    <s v="Q1"/>
    <x v="12"/>
    <s v="Medium"/>
  </r>
  <r>
    <x v="1"/>
    <x v="0"/>
    <x v="2"/>
    <x v="3"/>
    <x v="3"/>
    <x v="70"/>
    <n v="2.74"/>
    <d v="2020-01-01T00:00:00"/>
    <n v="1"/>
    <s v="Q1"/>
    <x v="12"/>
    <s v="Medium"/>
  </r>
  <r>
    <x v="1"/>
    <x v="0"/>
    <x v="2"/>
    <x v="4"/>
    <x v="4"/>
    <x v="71"/>
    <n v="2.82"/>
    <d v="2020-01-01T00:00:00"/>
    <n v="1"/>
    <s v="Q1"/>
    <x v="12"/>
    <s v="Medium"/>
  </r>
  <r>
    <x v="1"/>
    <x v="0"/>
    <x v="2"/>
    <x v="5"/>
    <x v="5"/>
    <x v="81"/>
    <n v="2.9"/>
    <d v="2020-01-01T00:00:00"/>
    <n v="1"/>
    <s v="Q1"/>
    <x v="12"/>
    <s v="Medium"/>
  </r>
  <r>
    <x v="1"/>
    <x v="0"/>
    <x v="2"/>
    <x v="6"/>
    <x v="6"/>
    <x v="87"/>
    <n v="2.98"/>
    <d v="2020-01-01T00:00:00"/>
    <n v="1"/>
    <s v="Q1"/>
    <x v="12"/>
    <s v="Medium"/>
  </r>
  <r>
    <x v="1"/>
    <x v="1"/>
    <x v="0"/>
    <x v="0"/>
    <x v="0"/>
    <x v="51"/>
    <n v="2.65"/>
    <d v="2020-02-01T00:00:00"/>
    <n v="2"/>
    <s v="Q1"/>
    <x v="13"/>
    <s v="Medium"/>
  </r>
  <r>
    <x v="1"/>
    <x v="1"/>
    <x v="0"/>
    <x v="1"/>
    <x v="1"/>
    <x v="52"/>
    <n v="2.73"/>
    <d v="2020-02-01T00:00:00"/>
    <n v="2"/>
    <s v="Q1"/>
    <x v="13"/>
    <s v="Medium"/>
  </r>
  <r>
    <x v="1"/>
    <x v="1"/>
    <x v="0"/>
    <x v="2"/>
    <x v="2"/>
    <x v="53"/>
    <n v="2.81"/>
    <d v="2020-02-01T00:00:00"/>
    <n v="2"/>
    <s v="Q1"/>
    <x v="13"/>
    <s v="Medium"/>
  </r>
  <r>
    <x v="1"/>
    <x v="1"/>
    <x v="0"/>
    <x v="3"/>
    <x v="3"/>
    <x v="54"/>
    <n v="2.89"/>
    <d v="2020-02-01T00:00:00"/>
    <n v="2"/>
    <s v="Q1"/>
    <x v="13"/>
    <s v="Medium"/>
  </r>
  <r>
    <x v="1"/>
    <x v="1"/>
    <x v="0"/>
    <x v="4"/>
    <x v="4"/>
    <x v="55"/>
    <n v="2.97"/>
    <d v="2020-02-01T00:00:00"/>
    <n v="2"/>
    <s v="Q1"/>
    <x v="13"/>
    <s v="Medium"/>
  </r>
  <r>
    <x v="1"/>
    <x v="1"/>
    <x v="0"/>
    <x v="5"/>
    <x v="5"/>
    <x v="77"/>
    <n v="3.05"/>
    <d v="2020-02-01T00:00:00"/>
    <n v="2"/>
    <s v="Q1"/>
    <x v="13"/>
    <s v="Medium"/>
  </r>
  <r>
    <x v="1"/>
    <x v="1"/>
    <x v="0"/>
    <x v="6"/>
    <x v="6"/>
    <x v="88"/>
    <n v="3.13"/>
    <d v="2020-02-01T00:00:00"/>
    <n v="2"/>
    <s v="Q1"/>
    <x v="13"/>
    <s v="Medium"/>
  </r>
  <r>
    <x v="1"/>
    <x v="1"/>
    <x v="1"/>
    <x v="0"/>
    <x v="0"/>
    <x v="3"/>
    <n v="2.65"/>
    <d v="2020-02-01T00:00:00"/>
    <n v="2"/>
    <s v="Q1"/>
    <x v="13"/>
    <s v="Medium"/>
  </r>
  <r>
    <x v="1"/>
    <x v="1"/>
    <x v="1"/>
    <x v="1"/>
    <x v="1"/>
    <x v="4"/>
    <n v="2.73"/>
    <d v="2020-02-01T00:00:00"/>
    <n v="2"/>
    <s v="Q1"/>
    <x v="13"/>
    <s v="Medium"/>
  </r>
  <r>
    <x v="1"/>
    <x v="1"/>
    <x v="1"/>
    <x v="2"/>
    <x v="2"/>
    <x v="5"/>
    <n v="2.81"/>
    <d v="2020-02-01T00:00:00"/>
    <n v="2"/>
    <s v="Q1"/>
    <x v="13"/>
    <s v="Medium"/>
  </r>
  <r>
    <x v="1"/>
    <x v="1"/>
    <x v="1"/>
    <x v="3"/>
    <x v="3"/>
    <x v="6"/>
    <n v="2.89"/>
    <d v="2020-02-01T00:00:00"/>
    <n v="2"/>
    <s v="Q1"/>
    <x v="13"/>
    <s v="Medium"/>
  </r>
  <r>
    <x v="1"/>
    <x v="1"/>
    <x v="1"/>
    <x v="4"/>
    <x v="4"/>
    <x v="56"/>
    <n v="2.97"/>
    <d v="2020-02-01T00:00:00"/>
    <n v="2"/>
    <s v="Q1"/>
    <x v="13"/>
    <s v="Medium"/>
  </r>
  <r>
    <x v="1"/>
    <x v="1"/>
    <x v="1"/>
    <x v="5"/>
    <x v="5"/>
    <x v="78"/>
    <n v="3.05"/>
    <d v="2020-02-01T00:00:00"/>
    <n v="2"/>
    <s v="Q1"/>
    <x v="13"/>
    <s v="Medium"/>
  </r>
  <r>
    <x v="1"/>
    <x v="1"/>
    <x v="1"/>
    <x v="6"/>
    <x v="6"/>
    <x v="89"/>
    <n v="3.13"/>
    <d v="2020-02-01T00:00:00"/>
    <n v="2"/>
    <s v="Q1"/>
    <x v="13"/>
    <s v="Medium"/>
  </r>
  <r>
    <x v="1"/>
    <x v="1"/>
    <x v="2"/>
    <x v="0"/>
    <x v="0"/>
    <x v="10"/>
    <n v="2.65"/>
    <d v="2020-02-01T00:00:00"/>
    <n v="2"/>
    <s v="Q1"/>
    <x v="13"/>
    <s v="Medium"/>
  </r>
  <r>
    <x v="1"/>
    <x v="1"/>
    <x v="2"/>
    <x v="1"/>
    <x v="1"/>
    <x v="11"/>
    <n v="2.73"/>
    <d v="2020-02-01T00:00:00"/>
    <n v="2"/>
    <s v="Q1"/>
    <x v="13"/>
    <s v="Medium"/>
  </r>
  <r>
    <x v="1"/>
    <x v="1"/>
    <x v="2"/>
    <x v="2"/>
    <x v="2"/>
    <x v="12"/>
    <n v="2.81"/>
    <d v="2020-02-01T00:00:00"/>
    <n v="2"/>
    <s v="Q1"/>
    <x v="13"/>
    <s v="Medium"/>
  </r>
  <r>
    <x v="1"/>
    <x v="1"/>
    <x v="2"/>
    <x v="3"/>
    <x v="3"/>
    <x v="13"/>
    <n v="2.89"/>
    <d v="2020-02-01T00:00:00"/>
    <n v="2"/>
    <s v="Q1"/>
    <x v="13"/>
    <s v="Medium"/>
  </r>
  <r>
    <x v="1"/>
    <x v="1"/>
    <x v="2"/>
    <x v="4"/>
    <x v="4"/>
    <x v="73"/>
    <n v="2.97"/>
    <d v="2020-02-01T00:00:00"/>
    <n v="2"/>
    <s v="Q1"/>
    <x v="13"/>
    <s v="Medium"/>
  </r>
  <r>
    <x v="1"/>
    <x v="1"/>
    <x v="2"/>
    <x v="5"/>
    <x v="5"/>
    <x v="83"/>
    <n v="3.05"/>
    <d v="2020-02-01T00:00:00"/>
    <n v="2"/>
    <s v="Q1"/>
    <x v="13"/>
    <s v="Medium"/>
  </r>
  <r>
    <x v="1"/>
    <x v="1"/>
    <x v="2"/>
    <x v="6"/>
    <x v="6"/>
    <x v="90"/>
    <n v="3.13"/>
    <d v="2020-02-01T00:00:00"/>
    <n v="2"/>
    <s v="Q1"/>
    <x v="13"/>
    <s v="Medium"/>
  </r>
  <r>
    <x v="1"/>
    <x v="2"/>
    <x v="0"/>
    <x v="0"/>
    <x v="0"/>
    <x v="59"/>
    <n v="2.8"/>
    <d v="2020-03-01T00:00:00"/>
    <n v="3"/>
    <s v="Q1"/>
    <x v="14"/>
    <s v="Medium"/>
  </r>
  <r>
    <x v="1"/>
    <x v="2"/>
    <x v="0"/>
    <x v="1"/>
    <x v="1"/>
    <x v="60"/>
    <n v="2.88"/>
    <d v="2020-03-01T00:00:00"/>
    <n v="3"/>
    <s v="Q1"/>
    <x v="14"/>
    <s v="Medium"/>
  </r>
  <r>
    <x v="1"/>
    <x v="2"/>
    <x v="0"/>
    <x v="2"/>
    <x v="2"/>
    <x v="61"/>
    <n v="2.96"/>
    <d v="2020-03-01T00:00:00"/>
    <n v="3"/>
    <s v="Q1"/>
    <x v="14"/>
    <s v="Medium"/>
  </r>
  <r>
    <x v="1"/>
    <x v="2"/>
    <x v="0"/>
    <x v="3"/>
    <x v="3"/>
    <x v="62"/>
    <n v="3.04"/>
    <d v="2020-03-01T00:00:00"/>
    <n v="3"/>
    <s v="Q1"/>
    <x v="14"/>
    <s v="Medium"/>
  </r>
  <r>
    <x v="1"/>
    <x v="2"/>
    <x v="0"/>
    <x v="4"/>
    <x v="4"/>
    <x v="63"/>
    <n v="3.12"/>
    <d v="2020-03-01T00:00:00"/>
    <n v="3"/>
    <s v="Q1"/>
    <x v="14"/>
    <s v="Medium"/>
  </r>
  <r>
    <x v="1"/>
    <x v="2"/>
    <x v="0"/>
    <x v="5"/>
    <x v="5"/>
    <x v="79"/>
    <n v="3.2"/>
    <d v="2020-03-01T00:00:00"/>
    <n v="3"/>
    <s v="Q1"/>
    <x v="14"/>
    <s v="Medium"/>
  </r>
  <r>
    <x v="1"/>
    <x v="2"/>
    <x v="0"/>
    <x v="6"/>
    <x v="6"/>
    <x v="91"/>
    <n v="3.28"/>
    <d v="2020-03-01T00:00:00"/>
    <n v="3"/>
    <s v="Q1"/>
    <x v="14"/>
    <s v="Medium"/>
  </r>
  <r>
    <x v="1"/>
    <x v="2"/>
    <x v="1"/>
    <x v="0"/>
    <x v="0"/>
    <x v="24"/>
    <n v="2.8"/>
    <d v="2020-03-01T00:00:00"/>
    <n v="3"/>
    <s v="Q1"/>
    <x v="14"/>
    <s v="Medium"/>
  </r>
  <r>
    <x v="1"/>
    <x v="2"/>
    <x v="1"/>
    <x v="1"/>
    <x v="1"/>
    <x v="25"/>
    <n v="2.88"/>
    <d v="2020-03-01T00:00:00"/>
    <n v="3"/>
    <s v="Q1"/>
    <x v="14"/>
    <s v="Medium"/>
  </r>
  <r>
    <x v="1"/>
    <x v="2"/>
    <x v="1"/>
    <x v="2"/>
    <x v="2"/>
    <x v="26"/>
    <n v="2.96"/>
    <d v="2020-03-01T00:00:00"/>
    <n v="3"/>
    <s v="Q1"/>
    <x v="14"/>
    <s v="Medium"/>
  </r>
  <r>
    <x v="1"/>
    <x v="2"/>
    <x v="1"/>
    <x v="3"/>
    <x v="3"/>
    <x v="27"/>
    <n v="3.04"/>
    <d v="2020-03-01T00:00:00"/>
    <n v="3"/>
    <s v="Q1"/>
    <x v="14"/>
    <s v="Medium"/>
  </r>
  <r>
    <x v="1"/>
    <x v="2"/>
    <x v="1"/>
    <x v="4"/>
    <x v="4"/>
    <x v="64"/>
    <n v="3.12"/>
    <d v="2020-03-01T00:00:00"/>
    <n v="3"/>
    <s v="Q1"/>
    <x v="14"/>
    <s v="Medium"/>
  </r>
  <r>
    <x v="1"/>
    <x v="2"/>
    <x v="1"/>
    <x v="5"/>
    <x v="5"/>
    <x v="80"/>
    <n v="3.2"/>
    <d v="2020-03-01T00:00:00"/>
    <n v="3"/>
    <s v="Q1"/>
    <x v="14"/>
    <s v="Medium"/>
  </r>
  <r>
    <x v="1"/>
    <x v="2"/>
    <x v="1"/>
    <x v="6"/>
    <x v="6"/>
    <x v="92"/>
    <n v="3.28"/>
    <d v="2020-03-01T00:00:00"/>
    <n v="3"/>
    <s v="Q1"/>
    <x v="14"/>
    <s v="Medium"/>
  </r>
  <r>
    <x v="1"/>
    <x v="2"/>
    <x v="2"/>
    <x v="0"/>
    <x v="0"/>
    <x v="31"/>
    <n v="2.8"/>
    <d v="2020-03-01T00:00:00"/>
    <n v="3"/>
    <s v="Q1"/>
    <x v="14"/>
    <s v="Medium"/>
  </r>
  <r>
    <x v="1"/>
    <x v="2"/>
    <x v="2"/>
    <x v="1"/>
    <x v="1"/>
    <x v="32"/>
    <n v="2.88"/>
    <d v="2020-03-01T00:00:00"/>
    <n v="3"/>
    <s v="Q1"/>
    <x v="14"/>
    <s v="Medium"/>
  </r>
  <r>
    <x v="1"/>
    <x v="2"/>
    <x v="2"/>
    <x v="2"/>
    <x v="2"/>
    <x v="33"/>
    <n v="2.96"/>
    <d v="2020-03-01T00:00:00"/>
    <n v="3"/>
    <s v="Q1"/>
    <x v="14"/>
    <s v="Medium"/>
  </r>
  <r>
    <x v="1"/>
    <x v="2"/>
    <x v="2"/>
    <x v="3"/>
    <x v="3"/>
    <x v="34"/>
    <n v="3.04"/>
    <d v="2020-03-01T00:00:00"/>
    <n v="3"/>
    <s v="Q1"/>
    <x v="14"/>
    <s v="Medium"/>
  </r>
  <r>
    <x v="1"/>
    <x v="2"/>
    <x v="2"/>
    <x v="4"/>
    <x v="4"/>
    <x v="75"/>
    <n v="3.12"/>
    <d v="2020-03-01T00:00:00"/>
    <n v="3"/>
    <s v="Q1"/>
    <x v="14"/>
    <s v="Medium"/>
  </r>
  <r>
    <x v="1"/>
    <x v="2"/>
    <x v="2"/>
    <x v="5"/>
    <x v="5"/>
    <x v="85"/>
    <n v="3.2"/>
    <d v="2020-03-01T00:00:00"/>
    <n v="3"/>
    <s v="Q1"/>
    <x v="14"/>
    <s v="Medium"/>
  </r>
  <r>
    <x v="1"/>
    <x v="2"/>
    <x v="2"/>
    <x v="6"/>
    <x v="6"/>
    <x v="93"/>
    <n v="3.28"/>
    <d v="2020-03-01T00:00:00"/>
    <n v="3"/>
    <s v="Q1"/>
    <x v="14"/>
    <s v="Medium"/>
  </r>
  <r>
    <x v="1"/>
    <x v="3"/>
    <x v="0"/>
    <x v="0"/>
    <x v="0"/>
    <x v="67"/>
    <n v="2.95"/>
    <d v="2020-04-01T00:00:00"/>
    <n v="4"/>
    <s v="Q2"/>
    <x v="15"/>
    <s v="Medium"/>
  </r>
  <r>
    <x v="1"/>
    <x v="3"/>
    <x v="0"/>
    <x v="1"/>
    <x v="1"/>
    <x v="68"/>
    <n v="3.03"/>
    <d v="2020-04-01T00:00:00"/>
    <n v="4"/>
    <s v="Q2"/>
    <x v="15"/>
    <s v="Medium"/>
  </r>
  <r>
    <x v="1"/>
    <x v="3"/>
    <x v="0"/>
    <x v="2"/>
    <x v="2"/>
    <x v="69"/>
    <n v="3.11"/>
    <d v="2020-04-01T00:00:00"/>
    <n v="4"/>
    <s v="Q2"/>
    <x v="15"/>
    <s v="Medium"/>
  </r>
  <r>
    <x v="1"/>
    <x v="3"/>
    <x v="0"/>
    <x v="3"/>
    <x v="3"/>
    <x v="70"/>
    <n v="3.19"/>
    <d v="2020-04-01T00:00:00"/>
    <n v="4"/>
    <s v="Q2"/>
    <x v="15"/>
    <s v="Medium"/>
  </r>
  <r>
    <x v="1"/>
    <x v="3"/>
    <x v="0"/>
    <x v="4"/>
    <x v="4"/>
    <x v="71"/>
    <n v="3.27"/>
    <d v="2020-04-01T00:00:00"/>
    <n v="4"/>
    <s v="Q2"/>
    <x v="15"/>
    <s v="Medium"/>
  </r>
  <r>
    <x v="1"/>
    <x v="3"/>
    <x v="0"/>
    <x v="5"/>
    <x v="5"/>
    <x v="81"/>
    <n v="3.35"/>
    <d v="2020-04-01T00:00:00"/>
    <n v="4"/>
    <s v="Q2"/>
    <x v="15"/>
    <s v="Medium"/>
  </r>
  <r>
    <x v="1"/>
    <x v="3"/>
    <x v="0"/>
    <x v="6"/>
    <x v="6"/>
    <x v="87"/>
    <n v="3.43"/>
    <d v="2020-04-01T00:00:00"/>
    <n v="4"/>
    <s v="Q2"/>
    <x v="15"/>
    <s v="Medium"/>
  </r>
  <r>
    <x v="1"/>
    <x v="3"/>
    <x v="1"/>
    <x v="0"/>
    <x v="0"/>
    <x v="45"/>
    <n v="2.95"/>
    <d v="2020-04-01T00:00:00"/>
    <n v="4"/>
    <s v="Q2"/>
    <x v="15"/>
    <s v="Medium"/>
  </r>
  <r>
    <x v="1"/>
    <x v="3"/>
    <x v="1"/>
    <x v="1"/>
    <x v="1"/>
    <x v="46"/>
    <n v="3.03"/>
    <d v="2020-04-01T00:00:00"/>
    <n v="4"/>
    <s v="Q2"/>
    <x v="15"/>
    <s v="Medium"/>
  </r>
  <r>
    <x v="1"/>
    <x v="3"/>
    <x v="1"/>
    <x v="2"/>
    <x v="2"/>
    <x v="47"/>
    <n v="3.11"/>
    <d v="2020-04-01T00:00:00"/>
    <n v="4"/>
    <s v="Q2"/>
    <x v="15"/>
    <s v="Medium"/>
  </r>
  <r>
    <x v="1"/>
    <x v="3"/>
    <x v="1"/>
    <x v="3"/>
    <x v="3"/>
    <x v="48"/>
    <n v="3.19"/>
    <d v="2020-04-01T00:00:00"/>
    <n v="4"/>
    <s v="Q2"/>
    <x v="15"/>
    <s v="Medium"/>
  </r>
  <r>
    <x v="1"/>
    <x v="3"/>
    <x v="1"/>
    <x v="4"/>
    <x v="4"/>
    <x v="72"/>
    <n v="3.27"/>
    <d v="2020-04-01T00:00:00"/>
    <n v="4"/>
    <s v="Q2"/>
    <x v="15"/>
    <s v="Medium"/>
  </r>
  <r>
    <x v="1"/>
    <x v="3"/>
    <x v="1"/>
    <x v="5"/>
    <x v="5"/>
    <x v="82"/>
    <n v="3.35"/>
    <d v="2020-04-01T00:00:00"/>
    <n v="4"/>
    <s v="Q2"/>
    <x v="15"/>
    <s v="Medium"/>
  </r>
  <r>
    <x v="1"/>
    <x v="3"/>
    <x v="1"/>
    <x v="6"/>
    <x v="6"/>
    <x v="94"/>
    <n v="3.43"/>
    <d v="2020-04-01T00:00:00"/>
    <n v="4"/>
    <s v="Q2"/>
    <x v="15"/>
    <s v="Medium"/>
  </r>
  <r>
    <x v="1"/>
    <x v="3"/>
    <x v="2"/>
    <x v="0"/>
    <x v="0"/>
    <x v="52"/>
    <n v="2.95"/>
    <d v="2020-04-01T00:00:00"/>
    <n v="4"/>
    <s v="Q2"/>
    <x v="15"/>
    <s v="Medium"/>
  </r>
  <r>
    <x v="1"/>
    <x v="3"/>
    <x v="2"/>
    <x v="1"/>
    <x v="1"/>
    <x v="53"/>
    <n v="3.03"/>
    <d v="2020-04-01T00:00:00"/>
    <n v="4"/>
    <s v="Q2"/>
    <x v="15"/>
    <s v="Medium"/>
  </r>
  <r>
    <x v="1"/>
    <x v="3"/>
    <x v="2"/>
    <x v="2"/>
    <x v="2"/>
    <x v="54"/>
    <n v="3.11"/>
    <d v="2020-04-01T00:00:00"/>
    <n v="4"/>
    <s v="Q2"/>
    <x v="15"/>
    <s v="Medium"/>
  </r>
  <r>
    <x v="1"/>
    <x v="3"/>
    <x v="2"/>
    <x v="3"/>
    <x v="3"/>
    <x v="55"/>
    <n v="3.19"/>
    <d v="2020-04-01T00:00:00"/>
    <n v="4"/>
    <s v="Q2"/>
    <x v="15"/>
    <s v="Medium"/>
  </r>
  <r>
    <x v="1"/>
    <x v="3"/>
    <x v="2"/>
    <x v="4"/>
    <x v="4"/>
    <x v="77"/>
    <n v="3.27"/>
    <d v="2020-04-01T00:00:00"/>
    <n v="4"/>
    <s v="Q2"/>
    <x v="15"/>
    <s v="Medium"/>
  </r>
  <r>
    <x v="1"/>
    <x v="3"/>
    <x v="2"/>
    <x v="5"/>
    <x v="5"/>
    <x v="88"/>
    <n v="3.35"/>
    <d v="2020-04-01T00:00:00"/>
    <n v="4"/>
    <s v="Q2"/>
    <x v="15"/>
    <s v="Medium"/>
  </r>
  <r>
    <x v="1"/>
    <x v="3"/>
    <x v="2"/>
    <x v="6"/>
    <x v="6"/>
    <x v="95"/>
    <n v="3.43"/>
    <d v="2020-04-01T00:00:00"/>
    <n v="4"/>
    <s v="Q2"/>
    <x v="15"/>
    <s v="Medium"/>
  </r>
  <r>
    <x v="1"/>
    <x v="4"/>
    <x v="0"/>
    <x v="0"/>
    <x v="0"/>
    <x v="10"/>
    <n v="3.1"/>
    <d v="2020-05-01T00:00:00"/>
    <n v="5"/>
    <s v="Q2"/>
    <x v="16"/>
    <s v="Medium"/>
  </r>
  <r>
    <x v="1"/>
    <x v="4"/>
    <x v="0"/>
    <x v="1"/>
    <x v="1"/>
    <x v="11"/>
    <n v="3.18"/>
    <d v="2020-05-01T00:00:00"/>
    <n v="5"/>
    <s v="Q2"/>
    <x v="16"/>
    <s v="Medium"/>
  </r>
  <r>
    <x v="1"/>
    <x v="4"/>
    <x v="0"/>
    <x v="2"/>
    <x v="2"/>
    <x v="12"/>
    <n v="3.26"/>
    <d v="2020-05-01T00:00:00"/>
    <n v="5"/>
    <s v="Q2"/>
    <x v="16"/>
    <s v="Medium"/>
  </r>
  <r>
    <x v="1"/>
    <x v="4"/>
    <x v="0"/>
    <x v="3"/>
    <x v="3"/>
    <x v="13"/>
    <n v="3.34"/>
    <d v="2020-05-01T00:00:00"/>
    <n v="5"/>
    <s v="Q2"/>
    <x v="16"/>
    <s v="Medium"/>
  </r>
  <r>
    <x v="1"/>
    <x v="4"/>
    <x v="0"/>
    <x v="4"/>
    <x v="4"/>
    <x v="73"/>
    <n v="3.42"/>
    <d v="2020-05-01T00:00:00"/>
    <n v="5"/>
    <s v="Q2"/>
    <x v="16"/>
    <s v="Medium"/>
  </r>
  <r>
    <x v="1"/>
    <x v="4"/>
    <x v="0"/>
    <x v="5"/>
    <x v="5"/>
    <x v="83"/>
    <n v="3.5"/>
    <d v="2020-05-01T00:00:00"/>
    <n v="5"/>
    <s v="Q2"/>
    <x v="16"/>
    <s v="Medium"/>
  </r>
  <r>
    <x v="1"/>
    <x v="4"/>
    <x v="0"/>
    <x v="6"/>
    <x v="6"/>
    <x v="90"/>
    <n v="3.58"/>
    <d v="2020-05-01T00:00:00"/>
    <n v="5"/>
    <s v="Q2"/>
    <x v="16"/>
    <s v="Medium"/>
  </r>
  <r>
    <x v="1"/>
    <x v="4"/>
    <x v="1"/>
    <x v="0"/>
    <x v="0"/>
    <x v="17"/>
    <n v="3.1"/>
    <d v="2020-05-01T00:00:00"/>
    <n v="5"/>
    <s v="Q2"/>
    <x v="16"/>
    <s v="Medium"/>
  </r>
  <r>
    <x v="1"/>
    <x v="4"/>
    <x v="1"/>
    <x v="1"/>
    <x v="1"/>
    <x v="18"/>
    <n v="3.18"/>
    <d v="2020-05-01T00:00:00"/>
    <n v="5"/>
    <s v="Q2"/>
    <x v="16"/>
    <s v="Medium"/>
  </r>
  <r>
    <x v="1"/>
    <x v="4"/>
    <x v="1"/>
    <x v="2"/>
    <x v="2"/>
    <x v="19"/>
    <n v="3.26"/>
    <d v="2020-05-01T00:00:00"/>
    <n v="5"/>
    <s v="Q2"/>
    <x v="16"/>
    <s v="Medium"/>
  </r>
  <r>
    <x v="1"/>
    <x v="4"/>
    <x v="1"/>
    <x v="3"/>
    <x v="3"/>
    <x v="20"/>
    <n v="3.34"/>
    <d v="2020-05-01T00:00:00"/>
    <n v="5"/>
    <s v="Q2"/>
    <x v="16"/>
    <s v="Medium"/>
  </r>
  <r>
    <x v="1"/>
    <x v="4"/>
    <x v="1"/>
    <x v="4"/>
    <x v="4"/>
    <x v="74"/>
    <n v="3.42"/>
    <d v="2020-05-01T00:00:00"/>
    <n v="5"/>
    <s v="Q2"/>
    <x v="16"/>
    <s v="Medium"/>
  </r>
  <r>
    <x v="1"/>
    <x v="4"/>
    <x v="1"/>
    <x v="5"/>
    <x v="5"/>
    <x v="84"/>
    <n v="3.5"/>
    <d v="2020-05-01T00:00:00"/>
    <n v="5"/>
    <s v="Q2"/>
    <x v="16"/>
    <s v="Medium"/>
  </r>
  <r>
    <x v="1"/>
    <x v="4"/>
    <x v="1"/>
    <x v="6"/>
    <x v="6"/>
    <x v="96"/>
    <n v="3.58"/>
    <d v="2020-05-01T00:00:00"/>
    <n v="5"/>
    <s v="Q2"/>
    <x v="16"/>
    <s v="Medium"/>
  </r>
  <r>
    <x v="1"/>
    <x v="4"/>
    <x v="2"/>
    <x v="0"/>
    <x v="0"/>
    <x v="60"/>
    <n v="3.1"/>
    <d v="2020-05-01T00:00:00"/>
    <n v="5"/>
    <s v="Q2"/>
    <x v="16"/>
    <s v="Medium"/>
  </r>
  <r>
    <x v="1"/>
    <x v="4"/>
    <x v="2"/>
    <x v="1"/>
    <x v="1"/>
    <x v="61"/>
    <n v="3.18"/>
    <d v="2020-05-01T00:00:00"/>
    <n v="5"/>
    <s v="Q2"/>
    <x v="16"/>
    <s v="Medium"/>
  </r>
  <r>
    <x v="1"/>
    <x v="4"/>
    <x v="2"/>
    <x v="2"/>
    <x v="2"/>
    <x v="62"/>
    <n v="3.26"/>
    <d v="2020-05-01T00:00:00"/>
    <n v="5"/>
    <s v="Q2"/>
    <x v="16"/>
    <s v="Medium"/>
  </r>
  <r>
    <x v="1"/>
    <x v="4"/>
    <x v="2"/>
    <x v="3"/>
    <x v="3"/>
    <x v="63"/>
    <n v="3.34"/>
    <d v="2020-05-01T00:00:00"/>
    <n v="5"/>
    <s v="Q2"/>
    <x v="16"/>
    <s v="Medium"/>
  </r>
  <r>
    <x v="1"/>
    <x v="4"/>
    <x v="2"/>
    <x v="4"/>
    <x v="4"/>
    <x v="79"/>
    <n v="3.42"/>
    <d v="2020-05-01T00:00:00"/>
    <n v="5"/>
    <s v="Q2"/>
    <x v="16"/>
    <s v="Medium"/>
  </r>
  <r>
    <x v="1"/>
    <x v="4"/>
    <x v="2"/>
    <x v="5"/>
    <x v="5"/>
    <x v="91"/>
    <n v="3.5"/>
    <d v="2020-05-01T00:00:00"/>
    <n v="5"/>
    <s v="Q2"/>
    <x v="16"/>
    <s v="Medium"/>
  </r>
  <r>
    <x v="1"/>
    <x v="4"/>
    <x v="2"/>
    <x v="6"/>
    <x v="6"/>
    <x v="97"/>
    <n v="3.58"/>
    <d v="2020-05-01T00:00:00"/>
    <n v="5"/>
    <s v="Q2"/>
    <x v="16"/>
    <s v="Medium"/>
  </r>
  <r>
    <x v="1"/>
    <x v="5"/>
    <x v="0"/>
    <x v="0"/>
    <x v="0"/>
    <x v="31"/>
    <n v="2.35"/>
    <d v="2020-06-01T00:00:00"/>
    <n v="6"/>
    <s v="Q2"/>
    <x v="17"/>
    <s v="Medium"/>
  </r>
  <r>
    <x v="1"/>
    <x v="5"/>
    <x v="0"/>
    <x v="1"/>
    <x v="1"/>
    <x v="32"/>
    <n v="2.4300000000000002"/>
    <d v="2020-06-01T00:00:00"/>
    <n v="6"/>
    <s v="Q2"/>
    <x v="17"/>
    <s v="Medium"/>
  </r>
  <r>
    <x v="1"/>
    <x v="5"/>
    <x v="0"/>
    <x v="2"/>
    <x v="2"/>
    <x v="33"/>
    <n v="2.5099999999999998"/>
    <d v="2020-06-01T00:00:00"/>
    <n v="6"/>
    <s v="Q2"/>
    <x v="17"/>
    <s v="Medium"/>
  </r>
  <r>
    <x v="1"/>
    <x v="5"/>
    <x v="0"/>
    <x v="3"/>
    <x v="3"/>
    <x v="34"/>
    <n v="2.59"/>
    <d v="2020-06-01T00:00:00"/>
    <n v="6"/>
    <s v="Q2"/>
    <x v="17"/>
    <s v="Medium"/>
  </r>
  <r>
    <x v="1"/>
    <x v="5"/>
    <x v="0"/>
    <x v="4"/>
    <x v="4"/>
    <x v="75"/>
    <n v="2.67"/>
    <d v="2020-06-01T00:00:00"/>
    <n v="6"/>
    <s v="Q2"/>
    <x v="17"/>
    <s v="Medium"/>
  </r>
  <r>
    <x v="1"/>
    <x v="5"/>
    <x v="0"/>
    <x v="5"/>
    <x v="5"/>
    <x v="85"/>
    <n v="2.75"/>
    <d v="2020-06-01T00:00:00"/>
    <n v="6"/>
    <s v="Q2"/>
    <x v="17"/>
    <s v="Medium"/>
  </r>
  <r>
    <x v="1"/>
    <x v="5"/>
    <x v="0"/>
    <x v="6"/>
    <x v="6"/>
    <x v="93"/>
    <n v="2.83"/>
    <d v="2020-06-01T00:00:00"/>
    <n v="6"/>
    <s v="Q2"/>
    <x v="17"/>
    <s v="Medium"/>
  </r>
  <r>
    <x v="1"/>
    <x v="5"/>
    <x v="1"/>
    <x v="0"/>
    <x v="0"/>
    <x v="38"/>
    <n v="2.35"/>
    <d v="2020-06-01T00:00:00"/>
    <n v="6"/>
    <s v="Q2"/>
    <x v="17"/>
    <s v="Medium"/>
  </r>
  <r>
    <x v="1"/>
    <x v="5"/>
    <x v="1"/>
    <x v="1"/>
    <x v="1"/>
    <x v="39"/>
    <n v="2.4300000000000002"/>
    <d v="2020-06-01T00:00:00"/>
    <n v="6"/>
    <s v="Q2"/>
    <x v="17"/>
    <s v="Medium"/>
  </r>
  <r>
    <x v="1"/>
    <x v="5"/>
    <x v="1"/>
    <x v="2"/>
    <x v="2"/>
    <x v="40"/>
    <n v="2.5099999999999998"/>
    <d v="2020-06-01T00:00:00"/>
    <n v="6"/>
    <s v="Q2"/>
    <x v="17"/>
    <s v="Medium"/>
  </r>
  <r>
    <x v="1"/>
    <x v="5"/>
    <x v="1"/>
    <x v="3"/>
    <x v="3"/>
    <x v="41"/>
    <n v="2.59"/>
    <d v="2020-06-01T00:00:00"/>
    <n v="6"/>
    <s v="Q2"/>
    <x v="17"/>
    <s v="Medium"/>
  </r>
  <r>
    <x v="1"/>
    <x v="5"/>
    <x v="1"/>
    <x v="4"/>
    <x v="4"/>
    <x v="76"/>
    <n v="2.67"/>
    <d v="2020-06-01T00:00:00"/>
    <n v="6"/>
    <s v="Q2"/>
    <x v="17"/>
    <s v="Medium"/>
  </r>
  <r>
    <x v="1"/>
    <x v="5"/>
    <x v="1"/>
    <x v="5"/>
    <x v="5"/>
    <x v="86"/>
    <n v="2.75"/>
    <d v="2020-06-01T00:00:00"/>
    <n v="6"/>
    <s v="Q2"/>
    <x v="17"/>
    <s v="Medium"/>
  </r>
  <r>
    <x v="1"/>
    <x v="5"/>
    <x v="1"/>
    <x v="6"/>
    <x v="6"/>
    <x v="98"/>
    <n v="2.83"/>
    <d v="2020-06-01T00:00:00"/>
    <n v="6"/>
    <s v="Q2"/>
    <x v="17"/>
    <s v="Medium"/>
  </r>
  <r>
    <x v="1"/>
    <x v="5"/>
    <x v="2"/>
    <x v="0"/>
    <x v="0"/>
    <x v="68"/>
    <n v="2.35"/>
    <d v="2020-06-01T00:00:00"/>
    <n v="6"/>
    <s v="Q2"/>
    <x v="17"/>
    <s v="Medium"/>
  </r>
  <r>
    <x v="1"/>
    <x v="5"/>
    <x v="2"/>
    <x v="1"/>
    <x v="1"/>
    <x v="69"/>
    <n v="2.4300000000000002"/>
    <d v="2020-06-01T00:00:00"/>
    <n v="6"/>
    <s v="Q2"/>
    <x v="17"/>
    <s v="Medium"/>
  </r>
  <r>
    <x v="1"/>
    <x v="5"/>
    <x v="2"/>
    <x v="2"/>
    <x v="2"/>
    <x v="70"/>
    <n v="2.5099999999999998"/>
    <d v="2020-06-01T00:00:00"/>
    <n v="6"/>
    <s v="Q2"/>
    <x v="17"/>
    <s v="Medium"/>
  </r>
  <r>
    <x v="1"/>
    <x v="5"/>
    <x v="2"/>
    <x v="3"/>
    <x v="3"/>
    <x v="71"/>
    <n v="2.59"/>
    <d v="2020-06-01T00:00:00"/>
    <n v="6"/>
    <s v="Q2"/>
    <x v="17"/>
    <s v="Medium"/>
  </r>
  <r>
    <x v="1"/>
    <x v="5"/>
    <x v="2"/>
    <x v="4"/>
    <x v="4"/>
    <x v="81"/>
    <n v="2.67"/>
    <d v="2020-06-01T00:00:00"/>
    <n v="6"/>
    <s v="Q2"/>
    <x v="17"/>
    <s v="Medium"/>
  </r>
  <r>
    <x v="1"/>
    <x v="5"/>
    <x v="2"/>
    <x v="5"/>
    <x v="5"/>
    <x v="87"/>
    <n v="2.75"/>
    <d v="2020-06-01T00:00:00"/>
    <n v="6"/>
    <s v="Q2"/>
    <x v="17"/>
    <s v="Medium"/>
  </r>
  <r>
    <x v="1"/>
    <x v="5"/>
    <x v="2"/>
    <x v="6"/>
    <x v="6"/>
    <x v="99"/>
    <n v="2.83"/>
    <d v="2020-06-01T00:00:00"/>
    <n v="6"/>
    <s v="Q2"/>
    <x v="17"/>
    <s v="Medium"/>
  </r>
  <r>
    <x v="1"/>
    <x v="6"/>
    <x v="0"/>
    <x v="0"/>
    <x v="0"/>
    <x v="52"/>
    <n v="2.5"/>
    <d v="2020-07-01T00:00:00"/>
    <n v="7"/>
    <s v="Q3"/>
    <x v="18"/>
    <s v="Medium"/>
  </r>
  <r>
    <x v="1"/>
    <x v="6"/>
    <x v="0"/>
    <x v="1"/>
    <x v="1"/>
    <x v="53"/>
    <n v="2.58"/>
    <d v="2020-07-01T00:00:00"/>
    <n v="7"/>
    <s v="Q3"/>
    <x v="18"/>
    <s v="Medium"/>
  </r>
  <r>
    <x v="1"/>
    <x v="6"/>
    <x v="0"/>
    <x v="2"/>
    <x v="2"/>
    <x v="54"/>
    <n v="2.66"/>
    <d v="2020-07-01T00:00:00"/>
    <n v="7"/>
    <s v="Q3"/>
    <x v="18"/>
    <s v="Medium"/>
  </r>
  <r>
    <x v="1"/>
    <x v="6"/>
    <x v="0"/>
    <x v="3"/>
    <x v="3"/>
    <x v="55"/>
    <n v="2.74"/>
    <d v="2020-07-01T00:00:00"/>
    <n v="7"/>
    <s v="Q3"/>
    <x v="18"/>
    <s v="Medium"/>
  </r>
  <r>
    <x v="1"/>
    <x v="6"/>
    <x v="0"/>
    <x v="4"/>
    <x v="4"/>
    <x v="77"/>
    <n v="2.82"/>
    <d v="2020-07-01T00:00:00"/>
    <n v="7"/>
    <s v="Q3"/>
    <x v="18"/>
    <s v="Medium"/>
  </r>
  <r>
    <x v="1"/>
    <x v="6"/>
    <x v="0"/>
    <x v="5"/>
    <x v="5"/>
    <x v="88"/>
    <n v="2.9"/>
    <d v="2020-07-01T00:00:00"/>
    <n v="7"/>
    <s v="Q3"/>
    <x v="18"/>
    <s v="Medium"/>
  </r>
  <r>
    <x v="1"/>
    <x v="6"/>
    <x v="0"/>
    <x v="6"/>
    <x v="6"/>
    <x v="95"/>
    <n v="2.98"/>
    <d v="2020-07-01T00:00:00"/>
    <n v="7"/>
    <s v="Q3"/>
    <x v="18"/>
    <s v="Medium"/>
  </r>
  <r>
    <x v="1"/>
    <x v="6"/>
    <x v="1"/>
    <x v="0"/>
    <x v="0"/>
    <x v="4"/>
    <n v="2.5"/>
    <d v="2020-07-01T00:00:00"/>
    <n v="7"/>
    <s v="Q3"/>
    <x v="18"/>
    <s v="Medium"/>
  </r>
  <r>
    <x v="1"/>
    <x v="6"/>
    <x v="1"/>
    <x v="1"/>
    <x v="1"/>
    <x v="5"/>
    <n v="2.58"/>
    <d v="2020-07-01T00:00:00"/>
    <n v="7"/>
    <s v="Q3"/>
    <x v="18"/>
    <s v="Medium"/>
  </r>
  <r>
    <x v="1"/>
    <x v="6"/>
    <x v="1"/>
    <x v="2"/>
    <x v="2"/>
    <x v="6"/>
    <n v="2.66"/>
    <d v="2020-07-01T00:00:00"/>
    <n v="7"/>
    <s v="Q3"/>
    <x v="18"/>
    <s v="Medium"/>
  </r>
  <r>
    <x v="1"/>
    <x v="6"/>
    <x v="1"/>
    <x v="3"/>
    <x v="3"/>
    <x v="56"/>
    <n v="2.74"/>
    <d v="2020-07-01T00:00:00"/>
    <n v="7"/>
    <s v="Q3"/>
    <x v="18"/>
    <s v="Medium"/>
  </r>
  <r>
    <x v="1"/>
    <x v="6"/>
    <x v="1"/>
    <x v="4"/>
    <x v="4"/>
    <x v="78"/>
    <n v="2.82"/>
    <d v="2020-07-01T00:00:00"/>
    <n v="7"/>
    <s v="Q3"/>
    <x v="18"/>
    <s v="Medium"/>
  </r>
  <r>
    <x v="1"/>
    <x v="6"/>
    <x v="1"/>
    <x v="5"/>
    <x v="5"/>
    <x v="89"/>
    <n v="2.9"/>
    <d v="2020-07-01T00:00:00"/>
    <n v="7"/>
    <s v="Q3"/>
    <x v="18"/>
    <s v="Medium"/>
  </r>
  <r>
    <x v="1"/>
    <x v="6"/>
    <x v="1"/>
    <x v="6"/>
    <x v="6"/>
    <x v="100"/>
    <n v="2.98"/>
    <d v="2020-07-01T00:00:00"/>
    <n v="7"/>
    <s v="Q3"/>
    <x v="18"/>
    <s v="Medium"/>
  </r>
  <r>
    <x v="1"/>
    <x v="6"/>
    <x v="2"/>
    <x v="0"/>
    <x v="0"/>
    <x v="11"/>
    <n v="2.5"/>
    <d v="2020-07-01T00:00:00"/>
    <n v="7"/>
    <s v="Q3"/>
    <x v="18"/>
    <s v="Medium"/>
  </r>
  <r>
    <x v="1"/>
    <x v="6"/>
    <x v="2"/>
    <x v="1"/>
    <x v="1"/>
    <x v="12"/>
    <n v="2.58"/>
    <d v="2020-07-01T00:00:00"/>
    <n v="7"/>
    <s v="Q3"/>
    <x v="18"/>
    <s v="Medium"/>
  </r>
  <r>
    <x v="1"/>
    <x v="6"/>
    <x v="2"/>
    <x v="2"/>
    <x v="2"/>
    <x v="13"/>
    <n v="2.66"/>
    <d v="2020-07-01T00:00:00"/>
    <n v="7"/>
    <s v="Q3"/>
    <x v="18"/>
    <s v="Medium"/>
  </r>
  <r>
    <x v="1"/>
    <x v="6"/>
    <x v="2"/>
    <x v="3"/>
    <x v="3"/>
    <x v="73"/>
    <n v="2.74"/>
    <d v="2020-07-01T00:00:00"/>
    <n v="7"/>
    <s v="Q3"/>
    <x v="18"/>
    <s v="Medium"/>
  </r>
  <r>
    <x v="1"/>
    <x v="6"/>
    <x v="2"/>
    <x v="4"/>
    <x v="4"/>
    <x v="83"/>
    <n v="2.82"/>
    <d v="2020-07-01T00:00:00"/>
    <n v="7"/>
    <s v="Q3"/>
    <x v="18"/>
    <s v="Medium"/>
  </r>
  <r>
    <x v="1"/>
    <x v="6"/>
    <x v="2"/>
    <x v="5"/>
    <x v="5"/>
    <x v="90"/>
    <n v="2.9"/>
    <d v="2020-07-01T00:00:00"/>
    <n v="7"/>
    <s v="Q3"/>
    <x v="18"/>
    <s v="Medium"/>
  </r>
  <r>
    <x v="1"/>
    <x v="6"/>
    <x v="2"/>
    <x v="6"/>
    <x v="6"/>
    <x v="101"/>
    <n v="2.98"/>
    <d v="2020-07-01T00:00:00"/>
    <n v="7"/>
    <s v="Q3"/>
    <x v="18"/>
    <s v="Medium"/>
  </r>
  <r>
    <x v="1"/>
    <x v="7"/>
    <x v="0"/>
    <x v="0"/>
    <x v="0"/>
    <x v="60"/>
    <n v="2.65"/>
    <d v="2020-08-01T00:00:00"/>
    <n v="8"/>
    <s v="Q3"/>
    <x v="19"/>
    <s v="Medium"/>
  </r>
  <r>
    <x v="1"/>
    <x v="7"/>
    <x v="0"/>
    <x v="1"/>
    <x v="1"/>
    <x v="61"/>
    <n v="2.73"/>
    <d v="2020-08-01T00:00:00"/>
    <n v="8"/>
    <s v="Q3"/>
    <x v="19"/>
    <s v="Medium"/>
  </r>
  <r>
    <x v="1"/>
    <x v="7"/>
    <x v="0"/>
    <x v="2"/>
    <x v="2"/>
    <x v="62"/>
    <n v="2.81"/>
    <d v="2020-08-01T00:00:00"/>
    <n v="8"/>
    <s v="Q3"/>
    <x v="19"/>
    <s v="Medium"/>
  </r>
  <r>
    <x v="1"/>
    <x v="7"/>
    <x v="0"/>
    <x v="3"/>
    <x v="3"/>
    <x v="63"/>
    <n v="2.89"/>
    <d v="2020-08-01T00:00:00"/>
    <n v="8"/>
    <s v="Q3"/>
    <x v="19"/>
    <s v="Medium"/>
  </r>
  <r>
    <x v="1"/>
    <x v="7"/>
    <x v="0"/>
    <x v="4"/>
    <x v="4"/>
    <x v="79"/>
    <n v="2.97"/>
    <d v="2020-08-01T00:00:00"/>
    <n v="8"/>
    <s v="Q3"/>
    <x v="19"/>
    <s v="Medium"/>
  </r>
  <r>
    <x v="1"/>
    <x v="7"/>
    <x v="0"/>
    <x v="5"/>
    <x v="5"/>
    <x v="91"/>
    <n v="3.05"/>
    <d v="2020-08-01T00:00:00"/>
    <n v="8"/>
    <s v="Q3"/>
    <x v="19"/>
    <s v="Medium"/>
  </r>
  <r>
    <x v="1"/>
    <x v="7"/>
    <x v="0"/>
    <x v="6"/>
    <x v="6"/>
    <x v="97"/>
    <n v="3.13"/>
    <d v="2020-08-01T00:00:00"/>
    <n v="8"/>
    <s v="Q3"/>
    <x v="19"/>
    <s v="Medium"/>
  </r>
  <r>
    <x v="1"/>
    <x v="7"/>
    <x v="1"/>
    <x v="0"/>
    <x v="0"/>
    <x v="25"/>
    <n v="2.65"/>
    <d v="2020-08-01T00:00:00"/>
    <n v="8"/>
    <s v="Q3"/>
    <x v="19"/>
    <s v="Medium"/>
  </r>
  <r>
    <x v="1"/>
    <x v="7"/>
    <x v="1"/>
    <x v="1"/>
    <x v="1"/>
    <x v="26"/>
    <n v="2.73"/>
    <d v="2020-08-01T00:00:00"/>
    <n v="8"/>
    <s v="Q3"/>
    <x v="19"/>
    <s v="Medium"/>
  </r>
  <r>
    <x v="1"/>
    <x v="7"/>
    <x v="1"/>
    <x v="2"/>
    <x v="2"/>
    <x v="27"/>
    <n v="2.81"/>
    <d v="2020-08-01T00:00:00"/>
    <n v="8"/>
    <s v="Q3"/>
    <x v="19"/>
    <s v="Medium"/>
  </r>
  <r>
    <x v="1"/>
    <x v="7"/>
    <x v="1"/>
    <x v="3"/>
    <x v="3"/>
    <x v="64"/>
    <n v="2.89"/>
    <d v="2020-08-01T00:00:00"/>
    <n v="8"/>
    <s v="Q3"/>
    <x v="19"/>
    <s v="Medium"/>
  </r>
  <r>
    <x v="1"/>
    <x v="7"/>
    <x v="1"/>
    <x v="4"/>
    <x v="4"/>
    <x v="80"/>
    <n v="2.97"/>
    <d v="2020-08-01T00:00:00"/>
    <n v="8"/>
    <s v="Q3"/>
    <x v="19"/>
    <s v="Medium"/>
  </r>
  <r>
    <x v="1"/>
    <x v="7"/>
    <x v="1"/>
    <x v="5"/>
    <x v="5"/>
    <x v="92"/>
    <n v="3.05"/>
    <d v="2020-08-01T00:00:00"/>
    <n v="8"/>
    <s v="Q3"/>
    <x v="19"/>
    <s v="Medium"/>
  </r>
  <r>
    <x v="1"/>
    <x v="7"/>
    <x v="1"/>
    <x v="6"/>
    <x v="6"/>
    <x v="102"/>
    <n v="3.13"/>
    <d v="2020-08-01T00:00:00"/>
    <n v="8"/>
    <s v="Q3"/>
    <x v="19"/>
    <s v="Medium"/>
  </r>
  <r>
    <x v="1"/>
    <x v="7"/>
    <x v="2"/>
    <x v="0"/>
    <x v="0"/>
    <x v="32"/>
    <n v="2.65"/>
    <d v="2020-08-01T00:00:00"/>
    <n v="8"/>
    <s v="Q3"/>
    <x v="19"/>
    <s v="Medium"/>
  </r>
  <r>
    <x v="1"/>
    <x v="7"/>
    <x v="2"/>
    <x v="1"/>
    <x v="1"/>
    <x v="33"/>
    <n v="2.73"/>
    <d v="2020-08-01T00:00:00"/>
    <n v="8"/>
    <s v="Q3"/>
    <x v="19"/>
    <s v="Medium"/>
  </r>
  <r>
    <x v="1"/>
    <x v="7"/>
    <x v="2"/>
    <x v="2"/>
    <x v="2"/>
    <x v="34"/>
    <n v="2.81"/>
    <d v="2020-08-01T00:00:00"/>
    <n v="8"/>
    <s v="Q3"/>
    <x v="19"/>
    <s v="Medium"/>
  </r>
  <r>
    <x v="1"/>
    <x v="7"/>
    <x v="2"/>
    <x v="3"/>
    <x v="3"/>
    <x v="75"/>
    <n v="2.89"/>
    <d v="2020-08-01T00:00:00"/>
    <n v="8"/>
    <s v="Q3"/>
    <x v="19"/>
    <s v="Medium"/>
  </r>
  <r>
    <x v="1"/>
    <x v="7"/>
    <x v="2"/>
    <x v="4"/>
    <x v="4"/>
    <x v="85"/>
    <n v="2.97"/>
    <d v="2020-08-01T00:00:00"/>
    <n v="8"/>
    <s v="Q3"/>
    <x v="19"/>
    <s v="Medium"/>
  </r>
  <r>
    <x v="1"/>
    <x v="7"/>
    <x v="2"/>
    <x v="5"/>
    <x v="5"/>
    <x v="93"/>
    <n v="3.05"/>
    <d v="2020-08-01T00:00:00"/>
    <n v="8"/>
    <s v="Q3"/>
    <x v="19"/>
    <s v="Medium"/>
  </r>
  <r>
    <x v="1"/>
    <x v="7"/>
    <x v="2"/>
    <x v="6"/>
    <x v="6"/>
    <x v="103"/>
    <n v="3.13"/>
    <d v="2020-08-01T00:00:00"/>
    <n v="8"/>
    <s v="Q3"/>
    <x v="19"/>
    <s v="Medium"/>
  </r>
  <r>
    <x v="1"/>
    <x v="8"/>
    <x v="0"/>
    <x v="0"/>
    <x v="0"/>
    <x v="68"/>
    <n v="2.8"/>
    <d v="2020-09-01T00:00:00"/>
    <n v="9"/>
    <s v="Q3"/>
    <x v="20"/>
    <s v="Medium"/>
  </r>
  <r>
    <x v="1"/>
    <x v="8"/>
    <x v="0"/>
    <x v="1"/>
    <x v="1"/>
    <x v="69"/>
    <n v="2.88"/>
    <d v="2020-09-01T00:00:00"/>
    <n v="9"/>
    <s v="Q3"/>
    <x v="20"/>
    <s v="Medium"/>
  </r>
  <r>
    <x v="1"/>
    <x v="8"/>
    <x v="0"/>
    <x v="2"/>
    <x v="2"/>
    <x v="70"/>
    <n v="2.96"/>
    <d v="2020-09-01T00:00:00"/>
    <n v="9"/>
    <s v="Q3"/>
    <x v="20"/>
    <s v="Medium"/>
  </r>
  <r>
    <x v="1"/>
    <x v="8"/>
    <x v="0"/>
    <x v="3"/>
    <x v="3"/>
    <x v="71"/>
    <n v="3.04"/>
    <d v="2020-09-01T00:00:00"/>
    <n v="9"/>
    <s v="Q3"/>
    <x v="20"/>
    <s v="Medium"/>
  </r>
  <r>
    <x v="1"/>
    <x v="8"/>
    <x v="0"/>
    <x v="4"/>
    <x v="4"/>
    <x v="81"/>
    <n v="3.12"/>
    <d v="2020-09-01T00:00:00"/>
    <n v="9"/>
    <s v="Q3"/>
    <x v="20"/>
    <s v="Medium"/>
  </r>
  <r>
    <x v="1"/>
    <x v="8"/>
    <x v="0"/>
    <x v="5"/>
    <x v="5"/>
    <x v="87"/>
    <n v="3.2"/>
    <d v="2020-09-01T00:00:00"/>
    <n v="9"/>
    <s v="Q3"/>
    <x v="20"/>
    <s v="Medium"/>
  </r>
  <r>
    <x v="1"/>
    <x v="8"/>
    <x v="0"/>
    <x v="6"/>
    <x v="6"/>
    <x v="99"/>
    <n v="3.28"/>
    <d v="2020-09-01T00:00:00"/>
    <n v="9"/>
    <s v="Q3"/>
    <x v="20"/>
    <s v="Medium"/>
  </r>
  <r>
    <x v="1"/>
    <x v="8"/>
    <x v="1"/>
    <x v="0"/>
    <x v="0"/>
    <x v="46"/>
    <n v="2.8"/>
    <d v="2020-09-01T00:00:00"/>
    <n v="9"/>
    <s v="Q3"/>
    <x v="20"/>
    <s v="Medium"/>
  </r>
  <r>
    <x v="1"/>
    <x v="8"/>
    <x v="1"/>
    <x v="1"/>
    <x v="1"/>
    <x v="47"/>
    <n v="2.88"/>
    <d v="2020-09-01T00:00:00"/>
    <n v="9"/>
    <s v="Q3"/>
    <x v="20"/>
    <s v="Medium"/>
  </r>
  <r>
    <x v="1"/>
    <x v="8"/>
    <x v="1"/>
    <x v="2"/>
    <x v="2"/>
    <x v="48"/>
    <n v="2.96"/>
    <d v="2020-09-01T00:00:00"/>
    <n v="9"/>
    <s v="Q3"/>
    <x v="20"/>
    <s v="Medium"/>
  </r>
  <r>
    <x v="1"/>
    <x v="8"/>
    <x v="1"/>
    <x v="3"/>
    <x v="3"/>
    <x v="72"/>
    <n v="3.04"/>
    <d v="2020-09-01T00:00:00"/>
    <n v="9"/>
    <s v="Q3"/>
    <x v="20"/>
    <s v="Medium"/>
  </r>
  <r>
    <x v="1"/>
    <x v="8"/>
    <x v="1"/>
    <x v="4"/>
    <x v="4"/>
    <x v="82"/>
    <n v="3.12"/>
    <d v="2020-09-01T00:00:00"/>
    <n v="9"/>
    <s v="Q3"/>
    <x v="20"/>
    <s v="Medium"/>
  </r>
  <r>
    <x v="1"/>
    <x v="8"/>
    <x v="1"/>
    <x v="5"/>
    <x v="5"/>
    <x v="94"/>
    <n v="3.2"/>
    <d v="2020-09-01T00:00:00"/>
    <n v="9"/>
    <s v="Q3"/>
    <x v="20"/>
    <s v="Medium"/>
  </r>
  <r>
    <x v="1"/>
    <x v="8"/>
    <x v="1"/>
    <x v="6"/>
    <x v="6"/>
    <x v="104"/>
    <n v="3.28"/>
    <d v="2020-09-01T00:00:00"/>
    <n v="9"/>
    <s v="Q3"/>
    <x v="20"/>
    <s v="Medium"/>
  </r>
  <r>
    <x v="1"/>
    <x v="8"/>
    <x v="2"/>
    <x v="0"/>
    <x v="0"/>
    <x v="53"/>
    <n v="2.8"/>
    <d v="2020-09-01T00:00:00"/>
    <n v="9"/>
    <s v="Q3"/>
    <x v="20"/>
    <s v="Medium"/>
  </r>
  <r>
    <x v="1"/>
    <x v="8"/>
    <x v="2"/>
    <x v="1"/>
    <x v="1"/>
    <x v="54"/>
    <n v="2.88"/>
    <d v="2020-09-01T00:00:00"/>
    <n v="9"/>
    <s v="Q3"/>
    <x v="20"/>
    <s v="Medium"/>
  </r>
  <r>
    <x v="1"/>
    <x v="8"/>
    <x v="2"/>
    <x v="2"/>
    <x v="2"/>
    <x v="55"/>
    <n v="2.96"/>
    <d v="2020-09-01T00:00:00"/>
    <n v="9"/>
    <s v="Q3"/>
    <x v="20"/>
    <s v="Medium"/>
  </r>
  <r>
    <x v="1"/>
    <x v="8"/>
    <x v="2"/>
    <x v="3"/>
    <x v="3"/>
    <x v="77"/>
    <n v="3.04"/>
    <d v="2020-09-01T00:00:00"/>
    <n v="9"/>
    <s v="Q3"/>
    <x v="20"/>
    <s v="Medium"/>
  </r>
  <r>
    <x v="1"/>
    <x v="8"/>
    <x v="2"/>
    <x v="4"/>
    <x v="4"/>
    <x v="88"/>
    <n v="3.12"/>
    <d v="2020-09-01T00:00:00"/>
    <n v="9"/>
    <s v="Q3"/>
    <x v="20"/>
    <s v="Medium"/>
  </r>
  <r>
    <x v="1"/>
    <x v="8"/>
    <x v="2"/>
    <x v="5"/>
    <x v="5"/>
    <x v="95"/>
    <n v="3.2"/>
    <d v="2020-09-01T00:00:00"/>
    <n v="9"/>
    <s v="Q3"/>
    <x v="20"/>
    <s v="Medium"/>
  </r>
  <r>
    <x v="1"/>
    <x v="8"/>
    <x v="2"/>
    <x v="6"/>
    <x v="6"/>
    <x v="105"/>
    <n v="3.28"/>
    <d v="2020-09-01T00:00:00"/>
    <n v="9"/>
    <s v="Q3"/>
    <x v="20"/>
    <s v="Medium"/>
  </r>
  <r>
    <x v="1"/>
    <x v="9"/>
    <x v="0"/>
    <x v="0"/>
    <x v="0"/>
    <x v="11"/>
    <n v="2.95"/>
    <d v="2020-10-01T00:00:00"/>
    <n v="10"/>
    <s v="Q4"/>
    <x v="21"/>
    <s v="Medium"/>
  </r>
  <r>
    <x v="1"/>
    <x v="9"/>
    <x v="0"/>
    <x v="1"/>
    <x v="1"/>
    <x v="12"/>
    <n v="3.03"/>
    <d v="2020-10-01T00:00:00"/>
    <n v="10"/>
    <s v="Q4"/>
    <x v="21"/>
    <s v="Medium"/>
  </r>
  <r>
    <x v="1"/>
    <x v="9"/>
    <x v="0"/>
    <x v="2"/>
    <x v="2"/>
    <x v="13"/>
    <n v="3.11"/>
    <d v="2020-10-01T00:00:00"/>
    <n v="10"/>
    <s v="Q4"/>
    <x v="21"/>
    <s v="Medium"/>
  </r>
  <r>
    <x v="1"/>
    <x v="9"/>
    <x v="0"/>
    <x v="3"/>
    <x v="3"/>
    <x v="73"/>
    <n v="3.19"/>
    <d v="2020-10-01T00:00:00"/>
    <n v="10"/>
    <s v="Q4"/>
    <x v="21"/>
    <s v="Medium"/>
  </r>
  <r>
    <x v="1"/>
    <x v="9"/>
    <x v="0"/>
    <x v="4"/>
    <x v="4"/>
    <x v="83"/>
    <n v="3.27"/>
    <d v="2020-10-01T00:00:00"/>
    <n v="10"/>
    <s v="Q4"/>
    <x v="21"/>
    <s v="Medium"/>
  </r>
  <r>
    <x v="1"/>
    <x v="9"/>
    <x v="0"/>
    <x v="5"/>
    <x v="5"/>
    <x v="90"/>
    <n v="3.35"/>
    <d v="2020-10-01T00:00:00"/>
    <n v="10"/>
    <s v="Q4"/>
    <x v="21"/>
    <s v="Medium"/>
  </r>
  <r>
    <x v="1"/>
    <x v="9"/>
    <x v="0"/>
    <x v="6"/>
    <x v="6"/>
    <x v="101"/>
    <n v="3.43"/>
    <d v="2020-10-01T00:00:00"/>
    <n v="10"/>
    <s v="Q4"/>
    <x v="21"/>
    <s v="Medium"/>
  </r>
  <r>
    <x v="1"/>
    <x v="9"/>
    <x v="1"/>
    <x v="0"/>
    <x v="0"/>
    <x v="18"/>
    <n v="2.95"/>
    <d v="2020-10-01T00:00:00"/>
    <n v="10"/>
    <s v="Q4"/>
    <x v="21"/>
    <s v="Medium"/>
  </r>
  <r>
    <x v="1"/>
    <x v="9"/>
    <x v="1"/>
    <x v="1"/>
    <x v="1"/>
    <x v="19"/>
    <n v="3.03"/>
    <d v="2020-10-01T00:00:00"/>
    <n v="10"/>
    <s v="Q4"/>
    <x v="21"/>
    <s v="Medium"/>
  </r>
  <r>
    <x v="1"/>
    <x v="9"/>
    <x v="1"/>
    <x v="2"/>
    <x v="2"/>
    <x v="20"/>
    <n v="3.11"/>
    <d v="2020-10-01T00:00:00"/>
    <n v="10"/>
    <s v="Q4"/>
    <x v="21"/>
    <s v="Medium"/>
  </r>
  <r>
    <x v="1"/>
    <x v="9"/>
    <x v="1"/>
    <x v="3"/>
    <x v="3"/>
    <x v="74"/>
    <n v="3.19"/>
    <d v="2020-10-01T00:00:00"/>
    <n v="10"/>
    <s v="Q4"/>
    <x v="21"/>
    <s v="Medium"/>
  </r>
  <r>
    <x v="1"/>
    <x v="9"/>
    <x v="1"/>
    <x v="4"/>
    <x v="4"/>
    <x v="84"/>
    <n v="3.27"/>
    <d v="2020-10-01T00:00:00"/>
    <n v="10"/>
    <s v="Q4"/>
    <x v="21"/>
    <s v="Medium"/>
  </r>
  <r>
    <x v="1"/>
    <x v="9"/>
    <x v="1"/>
    <x v="5"/>
    <x v="5"/>
    <x v="96"/>
    <n v="3.35"/>
    <d v="2020-10-01T00:00:00"/>
    <n v="10"/>
    <s v="Q4"/>
    <x v="21"/>
    <s v="Medium"/>
  </r>
  <r>
    <x v="1"/>
    <x v="9"/>
    <x v="1"/>
    <x v="6"/>
    <x v="6"/>
    <x v="106"/>
    <n v="3.43"/>
    <d v="2020-10-01T00:00:00"/>
    <n v="10"/>
    <s v="Q4"/>
    <x v="21"/>
    <s v="Medium"/>
  </r>
  <r>
    <x v="1"/>
    <x v="9"/>
    <x v="2"/>
    <x v="0"/>
    <x v="0"/>
    <x v="61"/>
    <n v="2.95"/>
    <d v="2020-10-01T00:00:00"/>
    <n v="10"/>
    <s v="Q4"/>
    <x v="21"/>
    <s v="Medium"/>
  </r>
  <r>
    <x v="1"/>
    <x v="9"/>
    <x v="2"/>
    <x v="1"/>
    <x v="1"/>
    <x v="62"/>
    <n v="3.03"/>
    <d v="2020-10-01T00:00:00"/>
    <n v="10"/>
    <s v="Q4"/>
    <x v="21"/>
    <s v="Medium"/>
  </r>
  <r>
    <x v="1"/>
    <x v="9"/>
    <x v="2"/>
    <x v="2"/>
    <x v="2"/>
    <x v="63"/>
    <n v="3.11"/>
    <d v="2020-10-01T00:00:00"/>
    <n v="10"/>
    <s v="Q4"/>
    <x v="21"/>
    <s v="Medium"/>
  </r>
  <r>
    <x v="1"/>
    <x v="9"/>
    <x v="2"/>
    <x v="3"/>
    <x v="3"/>
    <x v="79"/>
    <n v="3.19"/>
    <d v="2020-10-01T00:00:00"/>
    <n v="10"/>
    <s v="Q4"/>
    <x v="21"/>
    <s v="Medium"/>
  </r>
  <r>
    <x v="1"/>
    <x v="9"/>
    <x v="2"/>
    <x v="4"/>
    <x v="4"/>
    <x v="91"/>
    <n v="3.27"/>
    <d v="2020-10-01T00:00:00"/>
    <n v="10"/>
    <s v="Q4"/>
    <x v="21"/>
    <s v="Medium"/>
  </r>
  <r>
    <x v="1"/>
    <x v="9"/>
    <x v="2"/>
    <x v="5"/>
    <x v="5"/>
    <x v="97"/>
    <n v="3.35"/>
    <d v="2020-10-01T00:00:00"/>
    <n v="10"/>
    <s v="Q4"/>
    <x v="21"/>
    <s v="Medium"/>
  </r>
  <r>
    <x v="1"/>
    <x v="9"/>
    <x v="2"/>
    <x v="6"/>
    <x v="6"/>
    <x v="107"/>
    <n v="3.43"/>
    <d v="2020-10-01T00:00:00"/>
    <n v="10"/>
    <s v="Q4"/>
    <x v="21"/>
    <s v="Medium"/>
  </r>
  <r>
    <x v="1"/>
    <x v="10"/>
    <x v="0"/>
    <x v="0"/>
    <x v="0"/>
    <x v="32"/>
    <n v="3.1"/>
    <d v="2020-11-01T00:00:00"/>
    <n v="11"/>
    <s v="Q4"/>
    <x v="22"/>
    <s v="Medium"/>
  </r>
  <r>
    <x v="1"/>
    <x v="10"/>
    <x v="0"/>
    <x v="1"/>
    <x v="1"/>
    <x v="33"/>
    <n v="3.18"/>
    <d v="2020-11-01T00:00:00"/>
    <n v="11"/>
    <s v="Q4"/>
    <x v="22"/>
    <s v="Medium"/>
  </r>
  <r>
    <x v="1"/>
    <x v="10"/>
    <x v="0"/>
    <x v="2"/>
    <x v="2"/>
    <x v="34"/>
    <n v="3.26"/>
    <d v="2020-11-01T00:00:00"/>
    <n v="11"/>
    <s v="Q4"/>
    <x v="22"/>
    <s v="Medium"/>
  </r>
  <r>
    <x v="1"/>
    <x v="10"/>
    <x v="0"/>
    <x v="3"/>
    <x v="3"/>
    <x v="75"/>
    <n v="3.34"/>
    <d v="2020-11-01T00:00:00"/>
    <n v="11"/>
    <s v="Q4"/>
    <x v="22"/>
    <s v="Medium"/>
  </r>
  <r>
    <x v="1"/>
    <x v="10"/>
    <x v="0"/>
    <x v="4"/>
    <x v="4"/>
    <x v="85"/>
    <n v="3.42"/>
    <d v="2020-11-01T00:00:00"/>
    <n v="11"/>
    <s v="Q4"/>
    <x v="22"/>
    <s v="Medium"/>
  </r>
  <r>
    <x v="1"/>
    <x v="10"/>
    <x v="0"/>
    <x v="5"/>
    <x v="5"/>
    <x v="93"/>
    <n v="3.5"/>
    <d v="2020-11-01T00:00:00"/>
    <n v="11"/>
    <s v="Q4"/>
    <x v="22"/>
    <s v="Medium"/>
  </r>
  <r>
    <x v="1"/>
    <x v="10"/>
    <x v="0"/>
    <x v="6"/>
    <x v="6"/>
    <x v="103"/>
    <n v="3.58"/>
    <d v="2020-11-01T00:00:00"/>
    <n v="11"/>
    <s v="Q4"/>
    <x v="22"/>
    <s v="Medium"/>
  </r>
  <r>
    <x v="1"/>
    <x v="10"/>
    <x v="1"/>
    <x v="0"/>
    <x v="0"/>
    <x v="39"/>
    <n v="3.1"/>
    <d v="2020-11-01T00:00:00"/>
    <n v="11"/>
    <s v="Q4"/>
    <x v="22"/>
    <s v="Medium"/>
  </r>
  <r>
    <x v="1"/>
    <x v="10"/>
    <x v="1"/>
    <x v="1"/>
    <x v="1"/>
    <x v="40"/>
    <n v="3.18"/>
    <d v="2020-11-01T00:00:00"/>
    <n v="11"/>
    <s v="Q4"/>
    <x v="22"/>
    <s v="Medium"/>
  </r>
  <r>
    <x v="1"/>
    <x v="10"/>
    <x v="1"/>
    <x v="2"/>
    <x v="2"/>
    <x v="41"/>
    <n v="3.26"/>
    <d v="2020-11-01T00:00:00"/>
    <n v="11"/>
    <s v="Q4"/>
    <x v="22"/>
    <s v="Medium"/>
  </r>
  <r>
    <x v="1"/>
    <x v="10"/>
    <x v="1"/>
    <x v="3"/>
    <x v="3"/>
    <x v="76"/>
    <n v="3.34"/>
    <d v="2020-11-01T00:00:00"/>
    <n v="11"/>
    <s v="Q4"/>
    <x v="22"/>
    <s v="Medium"/>
  </r>
  <r>
    <x v="1"/>
    <x v="10"/>
    <x v="1"/>
    <x v="4"/>
    <x v="4"/>
    <x v="86"/>
    <n v="3.42"/>
    <d v="2020-11-01T00:00:00"/>
    <n v="11"/>
    <s v="Q4"/>
    <x v="22"/>
    <s v="Medium"/>
  </r>
  <r>
    <x v="1"/>
    <x v="10"/>
    <x v="1"/>
    <x v="5"/>
    <x v="5"/>
    <x v="98"/>
    <n v="3.5"/>
    <d v="2020-11-01T00:00:00"/>
    <n v="11"/>
    <s v="Q4"/>
    <x v="22"/>
    <s v="Medium"/>
  </r>
  <r>
    <x v="1"/>
    <x v="10"/>
    <x v="1"/>
    <x v="6"/>
    <x v="6"/>
    <x v="108"/>
    <n v="3.58"/>
    <d v="2020-11-01T00:00:00"/>
    <n v="11"/>
    <s v="Q4"/>
    <x v="22"/>
    <s v="Medium"/>
  </r>
  <r>
    <x v="1"/>
    <x v="10"/>
    <x v="2"/>
    <x v="0"/>
    <x v="0"/>
    <x v="69"/>
    <n v="3.1"/>
    <d v="2020-11-01T00:00:00"/>
    <n v="11"/>
    <s v="Q4"/>
    <x v="22"/>
    <s v="Medium"/>
  </r>
  <r>
    <x v="1"/>
    <x v="10"/>
    <x v="2"/>
    <x v="1"/>
    <x v="1"/>
    <x v="70"/>
    <n v="3.18"/>
    <d v="2020-11-01T00:00:00"/>
    <n v="11"/>
    <s v="Q4"/>
    <x v="22"/>
    <s v="Medium"/>
  </r>
  <r>
    <x v="1"/>
    <x v="10"/>
    <x v="2"/>
    <x v="2"/>
    <x v="2"/>
    <x v="71"/>
    <n v="3.26"/>
    <d v="2020-11-01T00:00:00"/>
    <n v="11"/>
    <s v="Q4"/>
    <x v="22"/>
    <s v="Medium"/>
  </r>
  <r>
    <x v="1"/>
    <x v="10"/>
    <x v="2"/>
    <x v="3"/>
    <x v="3"/>
    <x v="81"/>
    <n v="3.34"/>
    <d v="2020-11-01T00:00:00"/>
    <n v="11"/>
    <s v="Q4"/>
    <x v="22"/>
    <s v="Medium"/>
  </r>
  <r>
    <x v="1"/>
    <x v="10"/>
    <x v="2"/>
    <x v="4"/>
    <x v="4"/>
    <x v="87"/>
    <n v="3.42"/>
    <d v="2020-11-01T00:00:00"/>
    <n v="11"/>
    <s v="Q4"/>
    <x v="22"/>
    <s v="Medium"/>
  </r>
  <r>
    <x v="1"/>
    <x v="10"/>
    <x v="2"/>
    <x v="5"/>
    <x v="5"/>
    <x v="99"/>
    <n v="3.5"/>
    <d v="2020-11-01T00:00:00"/>
    <n v="11"/>
    <s v="Q4"/>
    <x v="22"/>
    <s v="Medium"/>
  </r>
  <r>
    <x v="1"/>
    <x v="10"/>
    <x v="2"/>
    <x v="6"/>
    <x v="6"/>
    <x v="109"/>
    <n v="3.58"/>
    <d v="2020-11-01T00:00:00"/>
    <n v="11"/>
    <s v="Q4"/>
    <x v="22"/>
    <s v="Medium"/>
  </r>
  <r>
    <x v="1"/>
    <x v="11"/>
    <x v="0"/>
    <x v="0"/>
    <x v="0"/>
    <x v="53"/>
    <n v="2.35"/>
    <d v="2020-12-01T00:00:00"/>
    <n v="12"/>
    <s v="Q4"/>
    <x v="23"/>
    <s v="Medium"/>
  </r>
  <r>
    <x v="1"/>
    <x v="11"/>
    <x v="0"/>
    <x v="1"/>
    <x v="1"/>
    <x v="54"/>
    <n v="2.4300000000000002"/>
    <d v="2020-12-01T00:00:00"/>
    <n v="12"/>
    <s v="Q4"/>
    <x v="23"/>
    <s v="Medium"/>
  </r>
  <r>
    <x v="1"/>
    <x v="11"/>
    <x v="0"/>
    <x v="2"/>
    <x v="2"/>
    <x v="55"/>
    <n v="2.5099999999999998"/>
    <d v="2020-12-01T00:00:00"/>
    <n v="12"/>
    <s v="Q4"/>
    <x v="23"/>
    <s v="Medium"/>
  </r>
  <r>
    <x v="1"/>
    <x v="11"/>
    <x v="0"/>
    <x v="3"/>
    <x v="3"/>
    <x v="77"/>
    <n v="2.59"/>
    <d v="2020-12-01T00:00:00"/>
    <n v="12"/>
    <s v="Q4"/>
    <x v="23"/>
    <s v="Medium"/>
  </r>
  <r>
    <x v="1"/>
    <x v="11"/>
    <x v="0"/>
    <x v="4"/>
    <x v="4"/>
    <x v="88"/>
    <n v="2.67"/>
    <d v="2020-12-01T00:00:00"/>
    <n v="12"/>
    <s v="Q4"/>
    <x v="23"/>
    <s v="Medium"/>
  </r>
  <r>
    <x v="1"/>
    <x v="11"/>
    <x v="0"/>
    <x v="5"/>
    <x v="5"/>
    <x v="95"/>
    <n v="2.75"/>
    <d v="2020-12-01T00:00:00"/>
    <n v="12"/>
    <s v="Q4"/>
    <x v="23"/>
    <s v="Medium"/>
  </r>
  <r>
    <x v="1"/>
    <x v="11"/>
    <x v="0"/>
    <x v="6"/>
    <x v="6"/>
    <x v="105"/>
    <n v="2.83"/>
    <d v="2020-12-01T00:00:00"/>
    <n v="12"/>
    <s v="Q4"/>
    <x v="23"/>
    <s v="Medium"/>
  </r>
  <r>
    <x v="1"/>
    <x v="11"/>
    <x v="1"/>
    <x v="0"/>
    <x v="0"/>
    <x v="5"/>
    <n v="2.35"/>
    <d v="2020-12-01T00:00:00"/>
    <n v="12"/>
    <s v="Q4"/>
    <x v="23"/>
    <s v="Medium"/>
  </r>
  <r>
    <x v="1"/>
    <x v="11"/>
    <x v="1"/>
    <x v="1"/>
    <x v="1"/>
    <x v="6"/>
    <n v="2.4300000000000002"/>
    <d v="2020-12-01T00:00:00"/>
    <n v="12"/>
    <s v="Q4"/>
    <x v="23"/>
    <s v="Medium"/>
  </r>
  <r>
    <x v="1"/>
    <x v="11"/>
    <x v="1"/>
    <x v="2"/>
    <x v="2"/>
    <x v="56"/>
    <n v="2.5099999999999998"/>
    <d v="2020-12-01T00:00:00"/>
    <n v="12"/>
    <s v="Q4"/>
    <x v="23"/>
    <s v="Medium"/>
  </r>
  <r>
    <x v="1"/>
    <x v="11"/>
    <x v="1"/>
    <x v="3"/>
    <x v="3"/>
    <x v="78"/>
    <n v="2.59"/>
    <d v="2020-12-01T00:00:00"/>
    <n v="12"/>
    <s v="Q4"/>
    <x v="23"/>
    <s v="Medium"/>
  </r>
  <r>
    <x v="1"/>
    <x v="11"/>
    <x v="1"/>
    <x v="4"/>
    <x v="4"/>
    <x v="89"/>
    <n v="2.67"/>
    <d v="2020-12-01T00:00:00"/>
    <n v="12"/>
    <s v="Q4"/>
    <x v="23"/>
    <s v="Medium"/>
  </r>
  <r>
    <x v="1"/>
    <x v="11"/>
    <x v="1"/>
    <x v="5"/>
    <x v="5"/>
    <x v="100"/>
    <n v="2.75"/>
    <d v="2020-12-01T00:00:00"/>
    <n v="12"/>
    <s v="Q4"/>
    <x v="23"/>
    <s v="Medium"/>
  </r>
  <r>
    <x v="1"/>
    <x v="11"/>
    <x v="1"/>
    <x v="6"/>
    <x v="6"/>
    <x v="110"/>
    <n v="2.83"/>
    <d v="2020-12-01T00:00:00"/>
    <n v="12"/>
    <s v="Q4"/>
    <x v="23"/>
    <s v="Medium"/>
  </r>
  <r>
    <x v="1"/>
    <x v="11"/>
    <x v="2"/>
    <x v="0"/>
    <x v="0"/>
    <x v="12"/>
    <n v="2.35"/>
    <d v="2020-12-01T00:00:00"/>
    <n v="12"/>
    <s v="Q4"/>
    <x v="23"/>
    <s v="Medium"/>
  </r>
  <r>
    <x v="1"/>
    <x v="11"/>
    <x v="2"/>
    <x v="1"/>
    <x v="1"/>
    <x v="13"/>
    <n v="2.4300000000000002"/>
    <d v="2020-12-01T00:00:00"/>
    <n v="12"/>
    <s v="Q4"/>
    <x v="23"/>
    <s v="Medium"/>
  </r>
  <r>
    <x v="1"/>
    <x v="11"/>
    <x v="2"/>
    <x v="2"/>
    <x v="2"/>
    <x v="73"/>
    <n v="2.5099999999999998"/>
    <d v="2020-12-01T00:00:00"/>
    <n v="12"/>
    <s v="Q4"/>
    <x v="23"/>
    <s v="Medium"/>
  </r>
  <r>
    <x v="1"/>
    <x v="11"/>
    <x v="2"/>
    <x v="3"/>
    <x v="3"/>
    <x v="83"/>
    <n v="2.59"/>
    <d v="2020-12-01T00:00:00"/>
    <n v="12"/>
    <s v="Q4"/>
    <x v="23"/>
    <s v="Medium"/>
  </r>
  <r>
    <x v="1"/>
    <x v="11"/>
    <x v="2"/>
    <x v="4"/>
    <x v="4"/>
    <x v="90"/>
    <n v="2.67"/>
    <d v="2020-12-01T00:00:00"/>
    <n v="12"/>
    <s v="Q4"/>
    <x v="23"/>
    <s v="Medium"/>
  </r>
  <r>
    <x v="1"/>
    <x v="11"/>
    <x v="2"/>
    <x v="5"/>
    <x v="5"/>
    <x v="101"/>
    <n v="2.75"/>
    <d v="2020-12-01T00:00:00"/>
    <n v="12"/>
    <s v="Q4"/>
    <x v="23"/>
    <s v="Medium"/>
  </r>
  <r>
    <x v="1"/>
    <x v="11"/>
    <x v="2"/>
    <x v="6"/>
    <x v="6"/>
    <x v="111"/>
    <n v="2.83"/>
    <d v="2020-12-01T00:00:00"/>
    <n v="12"/>
    <s v="Q4"/>
    <x v="23"/>
    <s v="Medium"/>
  </r>
  <r>
    <x v="2"/>
    <x v="0"/>
    <x v="0"/>
    <x v="0"/>
    <x v="0"/>
    <x v="5"/>
    <n v="2.85"/>
    <d v="2021-01-01T00:00:00"/>
    <n v="1"/>
    <s v="Q1"/>
    <x v="24"/>
    <s v="Medium"/>
  </r>
  <r>
    <x v="2"/>
    <x v="0"/>
    <x v="0"/>
    <x v="1"/>
    <x v="1"/>
    <x v="6"/>
    <n v="2.93"/>
    <d v="2021-01-01T00:00:00"/>
    <n v="1"/>
    <s v="Q1"/>
    <x v="24"/>
    <s v="Medium"/>
  </r>
  <r>
    <x v="2"/>
    <x v="0"/>
    <x v="0"/>
    <x v="2"/>
    <x v="2"/>
    <x v="56"/>
    <n v="3.01"/>
    <d v="2021-01-01T00:00:00"/>
    <n v="1"/>
    <s v="Q1"/>
    <x v="24"/>
    <s v="Medium"/>
  </r>
  <r>
    <x v="2"/>
    <x v="0"/>
    <x v="0"/>
    <x v="3"/>
    <x v="3"/>
    <x v="78"/>
    <n v="3.09"/>
    <d v="2021-01-01T00:00:00"/>
    <n v="1"/>
    <s v="Q1"/>
    <x v="24"/>
    <s v="Medium"/>
  </r>
  <r>
    <x v="2"/>
    <x v="0"/>
    <x v="0"/>
    <x v="4"/>
    <x v="4"/>
    <x v="89"/>
    <n v="3.17"/>
    <d v="2021-01-01T00:00:00"/>
    <n v="1"/>
    <s v="Q1"/>
    <x v="24"/>
    <s v="Medium"/>
  </r>
  <r>
    <x v="2"/>
    <x v="0"/>
    <x v="0"/>
    <x v="5"/>
    <x v="5"/>
    <x v="100"/>
    <n v="3.25"/>
    <d v="2021-01-01T00:00:00"/>
    <n v="1"/>
    <s v="Q1"/>
    <x v="24"/>
    <s v="Medium"/>
  </r>
  <r>
    <x v="2"/>
    <x v="0"/>
    <x v="0"/>
    <x v="6"/>
    <x v="6"/>
    <x v="110"/>
    <n v="3.33"/>
    <d v="2021-01-01T00:00:00"/>
    <n v="1"/>
    <s v="Q1"/>
    <x v="24"/>
    <s v="Medium"/>
  </r>
  <r>
    <x v="2"/>
    <x v="0"/>
    <x v="1"/>
    <x v="0"/>
    <x v="0"/>
    <x v="12"/>
    <n v="2.85"/>
    <d v="2021-01-01T00:00:00"/>
    <n v="1"/>
    <s v="Q1"/>
    <x v="24"/>
    <s v="Medium"/>
  </r>
  <r>
    <x v="2"/>
    <x v="0"/>
    <x v="1"/>
    <x v="1"/>
    <x v="1"/>
    <x v="13"/>
    <n v="2.93"/>
    <d v="2021-01-01T00:00:00"/>
    <n v="1"/>
    <s v="Q1"/>
    <x v="24"/>
    <s v="Medium"/>
  </r>
  <r>
    <x v="2"/>
    <x v="0"/>
    <x v="1"/>
    <x v="2"/>
    <x v="2"/>
    <x v="73"/>
    <n v="3.01"/>
    <d v="2021-01-01T00:00:00"/>
    <n v="1"/>
    <s v="Q1"/>
    <x v="24"/>
    <s v="Medium"/>
  </r>
  <r>
    <x v="2"/>
    <x v="0"/>
    <x v="1"/>
    <x v="3"/>
    <x v="3"/>
    <x v="83"/>
    <n v="3.09"/>
    <d v="2021-01-01T00:00:00"/>
    <n v="1"/>
    <s v="Q1"/>
    <x v="24"/>
    <s v="Medium"/>
  </r>
  <r>
    <x v="2"/>
    <x v="0"/>
    <x v="1"/>
    <x v="4"/>
    <x v="4"/>
    <x v="90"/>
    <n v="3.17"/>
    <d v="2021-01-01T00:00:00"/>
    <n v="1"/>
    <s v="Q1"/>
    <x v="24"/>
    <s v="Medium"/>
  </r>
  <r>
    <x v="2"/>
    <x v="0"/>
    <x v="1"/>
    <x v="5"/>
    <x v="5"/>
    <x v="101"/>
    <n v="3.25"/>
    <d v="2021-01-01T00:00:00"/>
    <n v="1"/>
    <s v="Q1"/>
    <x v="24"/>
    <s v="Medium"/>
  </r>
  <r>
    <x v="2"/>
    <x v="0"/>
    <x v="1"/>
    <x v="6"/>
    <x v="6"/>
    <x v="111"/>
    <n v="3.33"/>
    <d v="2021-01-01T00:00:00"/>
    <n v="1"/>
    <s v="Q1"/>
    <x v="24"/>
    <s v="Medium"/>
  </r>
  <r>
    <x v="2"/>
    <x v="0"/>
    <x v="2"/>
    <x v="0"/>
    <x v="0"/>
    <x v="19"/>
    <n v="2.85"/>
    <d v="2021-01-01T00:00:00"/>
    <n v="1"/>
    <s v="Q1"/>
    <x v="24"/>
    <s v="Medium"/>
  </r>
  <r>
    <x v="2"/>
    <x v="0"/>
    <x v="2"/>
    <x v="1"/>
    <x v="1"/>
    <x v="20"/>
    <n v="2.93"/>
    <d v="2021-01-01T00:00:00"/>
    <n v="1"/>
    <s v="Q1"/>
    <x v="24"/>
    <s v="Medium"/>
  </r>
  <r>
    <x v="2"/>
    <x v="0"/>
    <x v="2"/>
    <x v="2"/>
    <x v="2"/>
    <x v="74"/>
    <n v="3.01"/>
    <d v="2021-01-01T00:00:00"/>
    <n v="1"/>
    <s v="Q1"/>
    <x v="24"/>
    <s v="Medium"/>
  </r>
  <r>
    <x v="2"/>
    <x v="0"/>
    <x v="2"/>
    <x v="3"/>
    <x v="3"/>
    <x v="84"/>
    <n v="3.09"/>
    <d v="2021-01-01T00:00:00"/>
    <n v="1"/>
    <s v="Q1"/>
    <x v="24"/>
    <s v="Medium"/>
  </r>
  <r>
    <x v="2"/>
    <x v="0"/>
    <x v="2"/>
    <x v="4"/>
    <x v="4"/>
    <x v="96"/>
    <n v="3.17"/>
    <d v="2021-01-01T00:00:00"/>
    <n v="1"/>
    <s v="Q1"/>
    <x v="24"/>
    <s v="Medium"/>
  </r>
  <r>
    <x v="2"/>
    <x v="0"/>
    <x v="2"/>
    <x v="5"/>
    <x v="5"/>
    <x v="106"/>
    <n v="3.25"/>
    <d v="2021-01-01T00:00:00"/>
    <n v="1"/>
    <s v="Q1"/>
    <x v="24"/>
    <s v="Medium"/>
  </r>
  <r>
    <x v="2"/>
    <x v="0"/>
    <x v="2"/>
    <x v="6"/>
    <x v="6"/>
    <x v="112"/>
    <n v="3.33"/>
    <d v="2021-01-01T00:00:00"/>
    <n v="1"/>
    <s v="Q1"/>
    <x v="24"/>
    <s v="Medium"/>
  </r>
  <r>
    <x v="2"/>
    <x v="1"/>
    <x v="0"/>
    <x v="0"/>
    <x v="0"/>
    <x v="26"/>
    <n v="3"/>
    <d v="2021-02-01T00:00:00"/>
    <n v="2"/>
    <s v="Q1"/>
    <x v="25"/>
    <s v="Medium"/>
  </r>
  <r>
    <x v="2"/>
    <x v="1"/>
    <x v="0"/>
    <x v="1"/>
    <x v="1"/>
    <x v="27"/>
    <n v="3.08"/>
    <d v="2021-02-01T00:00:00"/>
    <n v="2"/>
    <s v="Q1"/>
    <x v="25"/>
    <s v="Medium"/>
  </r>
  <r>
    <x v="2"/>
    <x v="1"/>
    <x v="0"/>
    <x v="2"/>
    <x v="2"/>
    <x v="64"/>
    <n v="3.16"/>
    <d v="2021-02-01T00:00:00"/>
    <n v="2"/>
    <s v="Q1"/>
    <x v="25"/>
    <s v="Medium"/>
  </r>
  <r>
    <x v="2"/>
    <x v="1"/>
    <x v="0"/>
    <x v="3"/>
    <x v="3"/>
    <x v="80"/>
    <n v="3.24"/>
    <d v="2021-02-01T00:00:00"/>
    <n v="2"/>
    <s v="Q1"/>
    <x v="25"/>
    <s v="Medium"/>
  </r>
  <r>
    <x v="2"/>
    <x v="1"/>
    <x v="0"/>
    <x v="4"/>
    <x v="4"/>
    <x v="92"/>
    <n v="3.32"/>
    <d v="2021-02-01T00:00:00"/>
    <n v="2"/>
    <s v="Q1"/>
    <x v="25"/>
    <s v="Medium"/>
  </r>
  <r>
    <x v="2"/>
    <x v="1"/>
    <x v="0"/>
    <x v="5"/>
    <x v="5"/>
    <x v="102"/>
    <n v="3.4"/>
    <d v="2021-02-01T00:00:00"/>
    <n v="2"/>
    <s v="Q1"/>
    <x v="25"/>
    <s v="Medium"/>
  </r>
  <r>
    <x v="2"/>
    <x v="1"/>
    <x v="0"/>
    <x v="6"/>
    <x v="6"/>
    <x v="113"/>
    <n v="3.48"/>
    <d v="2021-02-01T00:00:00"/>
    <n v="2"/>
    <s v="Q1"/>
    <x v="25"/>
    <s v="Medium"/>
  </r>
  <r>
    <x v="2"/>
    <x v="1"/>
    <x v="1"/>
    <x v="0"/>
    <x v="0"/>
    <x v="33"/>
    <n v="3"/>
    <d v="2021-02-01T00:00:00"/>
    <n v="2"/>
    <s v="Q1"/>
    <x v="25"/>
    <s v="Medium"/>
  </r>
  <r>
    <x v="2"/>
    <x v="1"/>
    <x v="1"/>
    <x v="1"/>
    <x v="1"/>
    <x v="34"/>
    <n v="3.08"/>
    <d v="2021-02-01T00:00:00"/>
    <n v="2"/>
    <s v="Q1"/>
    <x v="25"/>
    <s v="Medium"/>
  </r>
  <r>
    <x v="2"/>
    <x v="1"/>
    <x v="1"/>
    <x v="2"/>
    <x v="2"/>
    <x v="75"/>
    <n v="3.16"/>
    <d v="2021-02-01T00:00:00"/>
    <n v="2"/>
    <s v="Q1"/>
    <x v="25"/>
    <s v="Medium"/>
  </r>
  <r>
    <x v="2"/>
    <x v="1"/>
    <x v="1"/>
    <x v="3"/>
    <x v="3"/>
    <x v="85"/>
    <n v="3.24"/>
    <d v="2021-02-01T00:00:00"/>
    <n v="2"/>
    <s v="Q1"/>
    <x v="25"/>
    <s v="Medium"/>
  </r>
  <r>
    <x v="2"/>
    <x v="1"/>
    <x v="1"/>
    <x v="4"/>
    <x v="4"/>
    <x v="93"/>
    <n v="3.32"/>
    <d v="2021-02-01T00:00:00"/>
    <n v="2"/>
    <s v="Q1"/>
    <x v="25"/>
    <s v="Medium"/>
  </r>
  <r>
    <x v="2"/>
    <x v="1"/>
    <x v="1"/>
    <x v="5"/>
    <x v="5"/>
    <x v="103"/>
    <n v="3.4"/>
    <d v="2021-02-01T00:00:00"/>
    <n v="2"/>
    <s v="Q1"/>
    <x v="25"/>
    <s v="Medium"/>
  </r>
  <r>
    <x v="2"/>
    <x v="1"/>
    <x v="1"/>
    <x v="6"/>
    <x v="6"/>
    <x v="114"/>
    <n v="3.48"/>
    <d v="2021-02-01T00:00:00"/>
    <n v="2"/>
    <s v="Q1"/>
    <x v="25"/>
    <s v="Medium"/>
  </r>
  <r>
    <x v="2"/>
    <x v="1"/>
    <x v="2"/>
    <x v="0"/>
    <x v="0"/>
    <x v="40"/>
    <n v="3"/>
    <d v="2021-02-01T00:00:00"/>
    <n v="2"/>
    <s v="Q1"/>
    <x v="25"/>
    <s v="Medium"/>
  </r>
  <r>
    <x v="2"/>
    <x v="1"/>
    <x v="2"/>
    <x v="1"/>
    <x v="1"/>
    <x v="41"/>
    <n v="3.08"/>
    <d v="2021-02-01T00:00:00"/>
    <n v="2"/>
    <s v="Q1"/>
    <x v="25"/>
    <s v="Medium"/>
  </r>
  <r>
    <x v="2"/>
    <x v="1"/>
    <x v="2"/>
    <x v="2"/>
    <x v="2"/>
    <x v="76"/>
    <n v="3.16"/>
    <d v="2021-02-01T00:00:00"/>
    <n v="2"/>
    <s v="Q1"/>
    <x v="25"/>
    <s v="Medium"/>
  </r>
  <r>
    <x v="2"/>
    <x v="1"/>
    <x v="2"/>
    <x v="3"/>
    <x v="3"/>
    <x v="86"/>
    <n v="3.24"/>
    <d v="2021-02-01T00:00:00"/>
    <n v="2"/>
    <s v="Q1"/>
    <x v="25"/>
    <s v="Medium"/>
  </r>
  <r>
    <x v="2"/>
    <x v="1"/>
    <x v="2"/>
    <x v="4"/>
    <x v="4"/>
    <x v="98"/>
    <n v="3.32"/>
    <d v="2021-02-01T00:00:00"/>
    <n v="2"/>
    <s v="Q1"/>
    <x v="25"/>
    <s v="Medium"/>
  </r>
  <r>
    <x v="2"/>
    <x v="1"/>
    <x v="2"/>
    <x v="5"/>
    <x v="5"/>
    <x v="108"/>
    <n v="3.4"/>
    <d v="2021-02-01T00:00:00"/>
    <n v="2"/>
    <s v="Q1"/>
    <x v="25"/>
    <s v="Medium"/>
  </r>
  <r>
    <x v="2"/>
    <x v="1"/>
    <x v="2"/>
    <x v="6"/>
    <x v="6"/>
    <x v="115"/>
    <n v="3.48"/>
    <d v="2021-02-01T00:00:00"/>
    <n v="2"/>
    <s v="Q1"/>
    <x v="25"/>
    <s v="Medium"/>
  </r>
  <r>
    <x v="2"/>
    <x v="2"/>
    <x v="0"/>
    <x v="0"/>
    <x v="0"/>
    <x v="47"/>
    <n v="3.15"/>
    <d v="2021-03-01T00:00:00"/>
    <n v="3"/>
    <s v="Q1"/>
    <x v="26"/>
    <s v="Medium"/>
  </r>
  <r>
    <x v="2"/>
    <x v="2"/>
    <x v="0"/>
    <x v="1"/>
    <x v="1"/>
    <x v="48"/>
    <n v="3.23"/>
    <d v="2021-03-01T00:00:00"/>
    <n v="3"/>
    <s v="Q1"/>
    <x v="26"/>
    <s v="Medium"/>
  </r>
  <r>
    <x v="2"/>
    <x v="2"/>
    <x v="0"/>
    <x v="2"/>
    <x v="2"/>
    <x v="72"/>
    <n v="3.31"/>
    <d v="2021-03-01T00:00:00"/>
    <n v="3"/>
    <s v="Q1"/>
    <x v="26"/>
    <s v="Medium"/>
  </r>
  <r>
    <x v="2"/>
    <x v="2"/>
    <x v="0"/>
    <x v="3"/>
    <x v="3"/>
    <x v="82"/>
    <n v="3.39"/>
    <d v="2021-03-01T00:00:00"/>
    <n v="3"/>
    <s v="Q1"/>
    <x v="26"/>
    <s v="Medium"/>
  </r>
  <r>
    <x v="2"/>
    <x v="2"/>
    <x v="0"/>
    <x v="4"/>
    <x v="4"/>
    <x v="94"/>
    <n v="3.47"/>
    <d v="2021-03-01T00:00:00"/>
    <n v="3"/>
    <s v="Q1"/>
    <x v="26"/>
    <s v="Medium"/>
  </r>
  <r>
    <x v="2"/>
    <x v="2"/>
    <x v="0"/>
    <x v="5"/>
    <x v="5"/>
    <x v="104"/>
    <n v="3.55"/>
    <d v="2021-03-01T00:00:00"/>
    <n v="3"/>
    <s v="Q1"/>
    <x v="26"/>
    <s v="Medium"/>
  </r>
  <r>
    <x v="2"/>
    <x v="2"/>
    <x v="0"/>
    <x v="6"/>
    <x v="6"/>
    <x v="116"/>
    <n v="3.63"/>
    <d v="2021-03-01T00:00:00"/>
    <n v="3"/>
    <s v="Q1"/>
    <x v="26"/>
    <s v="Medium"/>
  </r>
  <r>
    <x v="2"/>
    <x v="2"/>
    <x v="1"/>
    <x v="0"/>
    <x v="0"/>
    <x v="54"/>
    <n v="3.15"/>
    <d v="2021-03-01T00:00:00"/>
    <n v="3"/>
    <s v="Q1"/>
    <x v="26"/>
    <s v="Medium"/>
  </r>
  <r>
    <x v="2"/>
    <x v="2"/>
    <x v="1"/>
    <x v="1"/>
    <x v="1"/>
    <x v="55"/>
    <n v="3.23"/>
    <d v="2021-03-01T00:00:00"/>
    <n v="3"/>
    <s v="Q1"/>
    <x v="26"/>
    <s v="Medium"/>
  </r>
  <r>
    <x v="2"/>
    <x v="2"/>
    <x v="1"/>
    <x v="2"/>
    <x v="2"/>
    <x v="77"/>
    <n v="3.31"/>
    <d v="2021-03-01T00:00:00"/>
    <n v="3"/>
    <s v="Q1"/>
    <x v="26"/>
    <s v="Medium"/>
  </r>
  <r>
    <x v="2"/>
    <x v="2"/>
    <x v="1"/>
    <x v="3"/>
    <x v="3"/>
    <x v="88"/>
    <n v="3.39"/>
    <d v="2021-03-01T00:00:00"/>
    <n v="3"/>
    <s v="Q1"/>
    <x v="26"/>
    <s v="Medium"/>
  </r>
  <r>
    <x v="2"/>
    <x v="2"/>
    <x v="1"/>
    <x v="4"/>
    <x v="4"/>
    <x v="95"/>
    <n v="3.47"/>
    <d v="2021-03-01T00:00:00"/>
    <n v="3"/>
    <s v="Q1"/>
    <x v="26"/>
    <s v="Medium"/>
  </r>
  <r>
    <x v="2"/>
    <x v="2"/>
    <x v="1"/>
    <x v="5"/>
    <x v="5"/>
    <x v="105"/>
    <n v="3.55"/>
    <d v="2021-03-01T00:00:00"/>
    <n v="3"/>
    <s v="Q1"/>
    <x v="26"/>
    <s v="Medium"/>
  </r>
  <r>
    <x v="2"/>
    <x v="2"/>
    <x v="1"/>
    <x v="6"/>
    <x v="6"/>
    <x v="117"/>
    <n v="3.63"/>
    <d v="2021-03-01T00:00:00"/>
    <n v="3"/>
    <s v="Q1"/>
    <x v="26"/>
    <s v="Medium"/>
  </r>
  <r>
    <x v="2"/>
    <x v="2"/>
    <x v="2"/>
    <x v="0"/>
    <x v="0"/>
    <x v="6"/>
    <n v="3.15"/>
    <d v="2021-03-01T00:00:00"/>
    <n v="3"/>
    <s v="Q1"/>
    <x v="26"/>
    <s v="Medium"/>
  </r>
  <r>
    <x v="2"/>
    <x v="2"/>
    <x v="2"/>
    <x v="1"/>
    <x v="1"/>
    <x v="56"/>
    <n v="3.23"/>
    <d v="2021-03-01T00:00:00"/>
    <n v="3"/>
    <s v="Q1"/>
    <x v="26"/>
    <s v="Medium"/>
  </r>
  <r>
    <x v="2"/>
    <x v="2"/>
    <x v="2"/>
    <x v="2"/>
    <x v="2"/>
    <x v="78"/>
    <n v="3.31"/>
    <d v="2021-03-01T00:00:00"/>
    <n v="3"/>
    <s v="Q1"/>
    <x v="26"/>
    <s v="Medium"/>
  </r>
  <r>
    <x v="2"/>
    <x v="2"/>
    <x v="2"/>
    <x v="3"/>
    <x v="3"/>
    <x v="89"/>
    <n v="3.39"/>
    <d v="2021-03-01T00:00:00"/>
    <n v="3"/>
    <s v="Q1"/>
    <x v="26"/>
    <s v="Medium"/>
  </r>
  <r>
    <x v="2"/>
    <x v="2"/>
    <x v="2"/>
    <x v="4"/>
    <x v="4"/>
    <x v="100"/>
    <n v="3.47"/>
    <d v="2021-03-01T00:00:00"/>
    <n v="3"/>
    <s v="Q1"/>
    <x v="26"/>
    <s v="Medium"/>
  </r>
  <r>
    <x v="2"/>
    <x v="2"/>
    <x v="2"/>
    <x v="5"/>
    <x v="5"/>
    <x v="110"/>
    <n v="3.55"/>
    <d v="2021-03-01T00:00:00"/>
    <n v="3"/>
    <s v="Q1"/>
    <x v="26"/>
    <s v="Medium"/>
  </r>
  <r>
    <x v="2"/>
    <x v="2"/>
    <x v="2"/>
    <x v="6"/>
    <x v="6"/>
    <x v="118"/>
    <n v="3.63"/>
    <d v="2021-03-01T00:00:00"/>
    <n v="3"/>
    <s v="Q1"/>
    <x v="26"/>
    <s v="Medium"/>
  </r>
  <r>
    <x v="2"/>
    <x v="3"/>
    <x v="0"/>
    <x v="0"/>
    <x v="0"/>
    <x v="19"/>
    <n v="3.3"/>
    <d v="2021-04-01T00:00:00"/>
    <n v="4"/>
    <s v="Q2"/>
    <x v="27"/>
    <s v="Medium"/>
  </r>
  <r>
    <x v="2"/>
    <x v="3"/>
    <x v="0"/>
    <x v="1"/>
    <x v="1"/>
    <x v="20"/>
    <n v="3.38"/>
    <d v="2021-04-01T00:00:00"/>
    <n v="4"/>
    <s v="Q2"/>
    <x v="27"/>
    <s v="Medium"/>
  </r>
  <r>
    <x v="2"/>
    <x v="3"/>
    <x v="0"/>
    <x v="2"/>
    <x v="2"/>
    <x v="74"/>
    <n v="3.46"/>
    <d v="2021-04-01T00:00:00"/>
    <n v="4"/>
    <s v="Q2"/>
    <x v="27"/>
    <s v="Medium"/>
  </r>
  <r>
    <x v="2"/>
    <x v="3"/>
    <x v="0"/>
    <x v="3"/>
    <x v="3"/>
    <x v="84"/>
    <n v="3.54"/>
    <d v="2021-04-01T00:00:00"/>
    <n v="4"/>
    <s v="Q2"/>
    <x v="27"/>
    <s v="Medium"/>
  </r>
  <r>
    <x v="2"/>
    <x v="3"/>
    <x v="0"/>
    <x v="4"/>
    <x v="4"/>
    <x v="96"/>
    <n v="3.62"/>
    <d v="2021-04-01T00:00:00"/>
    <n v="4"/>
    <s v="Q2"/>
    <x v="27"/>
    <s v="Medium"/>
  </r>
  <r>
    <x v="2"/>
    <x v="3"/>
    <x v="0"/>
    <x v="5"/>
    <x v="5"/>
    <x v="106"/>
    <n v="3.7"/>
    <d v="2021-04-01T00:00:00"/>
    <n v="4"/>
    <s v="Q2"/>
    <x v="27"/>
    <s v="Medium"/>
  </r>
  <r>
    <x v="2"/>
    <x v="3"/>
    <x v="0"/>
    <x v="6"/>
    <x v="6"/>
    <x v="112"/>
    <n v="3.78"/>
    <d v="2021-04-01T00:00:00"/>
    <n v="4"/>
    <s v="Q2"/>
    <x v="27"/>
    <s v="Medium"/>
  </r>
  <r>
    <x v="2"/>
    <x v="3"/>
    <x v="1"/>
    <x v="0"/>
    <x v="0"/>
    <x v="62"/>
    <n v="3.3"/>
    <d v="2021-04-01T00:00:00"/>
    <n v="4"/>
    <s v="Q2"/>
    <x v="27"/>
    <s v="Medium"/>
  </r>
  <r>
    <x v="2"/>
    <x v="3"/>
    <x v="1"/>
    <x v="1"/>
    <x v="1"/>
    <x v="63"/>
    <n v="3.38"/>
    <d v="2021-04-01T00:00:00"/>
    <n v="4"/>
    <s v="Q2"/>
    <x v="27"/>
    <s v="Medium"/>
  </r>
  <r>
    <x v="2"/>
    <x v="3"/>
    <x v="1"/>
    <x v="2"/>
    <x v="2"/>
    <x v="79"/>
    <n v="3.46"/>
    <d v="2021-04-01T00:00:00"/>
    <n v="4"/>
    <s v="Q2"/>
    <x v="27"/>
    <s v="Medium"/>
  </r>
  <r>
    <x v="2"/>
    <x v="3"/>
    <x v="1"/>
    <x v="3"/>
    <x v="3"/>
    <x v="91"/>
    <n v="3.54"/>
    <d v="2021-04-01T00:00:00"/>
    <n v="4"/>
    <s v="Q2"/>
    <x v="27"/>
    <s v="Medium"/>
  </r>
  <r>
    <x v="2"/>
    <x v="3"/>
    <x v="1"/>
    <x v="4"/>
    <x v="4"/>
    <x v="97"/>
    <n v="3.62"/>
    <d v="2021-04-01T00:00:00"/>
    <n v="4"/>
    <s v="Q2"/>
    <x v="27"/>
    <s v="Medium"/>
  </r>
  <r>
    <x v="2"/>
    <x v="3"/>
    <x v="1"/>
    <x v="5"/>
    <x v="5"/>
    <x v="107"/>
    <n v="3.7"/>
    <d v="2021-04-01T00:00:00"/>
    <n v="4"/>
    <s v="Q2"/>
    <x v="27"/>
    <s v="Medium"/>
  </r>
  <r>
    <x v="2"/>
    <x v="3"/>
    <x v="1"/>
    <x v="6"/>
    <x v="6"/>
    <x v="119"/>
    <n v="3.78"/>
    <d v="2021-04-01T00:00:00"/>
    <n v="4"/>
    <s v="Q2"/>
    <x v="27"/>
    <s v="Medium"/>
  </r>
  <r>
    <x v="2"/>
    <x v="3"/>
    <x v="2"/>
    <x v="0"/>
    <x v="0"/>
    <x v="27"/>
    <n v="3.3"/>
    <d v="2021-04-01T00:00:00"/>
    <n v="4"/>
    <s v="Q2"/>
    <x v="27"/>
    <s v="Medium"/>
  </r>
  <r>
    <x v="2"/>
    <x v="3"/>
    <x v="2"/>
    <x v="1"/>
    <x v="1"/>
    <x v="64"/>
    <n v="3.38"/>
    <d v="2021-04-01T00:00:00"/>
    <n v="4"/>
    <s v="Q2"/>
    <x v="27"/>
    <s v="Medium"/>
  </r>
  <r>
    <x v="2"/>
    <x v="3"/>
    <x v="2"/>
    <x v="2"/>
    <x v="2"/>
    <x v="80"/>
    <n v="3.46"/>
    <d v="2021-04-01T00:00:00"/>
    <n v="4"/>
    <s v="Q2"/>
    <x v="27"/>
    <s v="Medium"/>
  </r>
  <r>
    <x v="2"/>
    <x v="3"/>
    <x v="2"/>
    <x v="3"/>
    <x v="3"/>
    <x v="92"/>
    <n v="3.54"/>
    <d v="2021-04-01T00:00:00"/>
    <n v="4"/>
    <s v="Q2"/>
    <x v="27"/>
    <s v="Medium"/>
  </r>
  <r>
    <x v="2"/>
    <x v="3"/>
    <x v="2"/>
    <x v="4"/>
    <x v="4"/>
    <x v="102"/>
    <n v="3.62"/>
    <d v="2021-04-01T00:00:00"/>
    <n v="4"/>
    <s v="Q2"/>
    <x v="27"/>
    <s v="Medium"/>
  </r>
  <r>
    <x v="2"/>
    <x v="3"/>
    <x v="2"/>
    <x v="5"/>
    <x v="5"/>
    <x v="113"/>
    <n v="3.7"/>
    <d v="2021-04-01T00:00:00"/>
    <n v="4"/>
    <s v="Q2"/>
    <x v="27"/>
    <s v="Medium"/>
  </r>
  <r>
    <x v="2"/>
    <x v="3"/>
    <x v="2"/>
    <x v="6"/>
    <x v="6"/>
    <x v="120"/>
    <n v="3.78"/>
    <d v="2021-04-01T00:00:00"/>
    <n v="4"/>
    <s v="Q2"/>
    <x v="27"/>
    <s v="Medium"/>
  </r>
  <r>
    <x v="2"/>
    <x v="4"/>
    <x v="0"/>
    <x v="0"/>
    <x v="0"/>
    <x v="40"/>
    <n v="3.45"/>
    <d v="2021-05-01T00:00:00"/>
    <n v="5"/>
    <s v="Q2"/>
    <x v="28"/>
    <s v="Medium"/>
  </r>
  <r>
    <x v="2"/>
    <x v="4"/>
    <x v="0"/>
    <x v="1"/>
    <x v="1"/>
    <x v="41"/>
    <n v="3.53"/>
    <d v="2021-05-01T00:00:00"/>
    <n v="5"/>
    <s v="Q2"/>
    <x v="28"/>
    <s v="Medium"/>
  </r>
  <r>
    <x v="2"/>
    <x v="4"/>
    <x v="0"/>
    <x v="2"/>
    <x v="2"/>
    <x v="76"/>
    <n v="3.61"/>
    <d v="2021-05-01T00:00:00"/>
    <n v="5"/>
    <s v="Q2"/>
    <x v="28"/>
    <s v="Medium"/>
  </r>
  <r>
    <x v="2"/>
    <x v="4"/>
    <x v="0"/>
    <x v="3"/>
    <x v="3"/>
    <x v="86"/>
    <n v="3.69"/>
    <d v="2021-05-01T00:00:00"/>
    <n v="5"/>
    <s v="Q2"/>
    <x v="28"/>
    <s v="Medium"/>
  </r>
  <r>
    <x v="2"/>
    <x v="4"/>
    <x v="0"/>
    <x v="4"/>
    <x v="4"/>
    <x v="98"/>
    <n v="3.77"/>
    <d v="2021-05-01T00:00:00"/>
    <n v="5"/>
    <s v="Q2"/>
    <x v="28"/>
    <s v="Medium"/>
  </r>
  <r>
    <x v="2"/>
    <x v="4"/>
    <x v="0"/>
    <x v="5"/>
    <x v="5"/>
    <x v="108"/>
    <n v="3.85"/>
    <d v="2021-05-01T00:00:00"/>
    <n v="5"/>
    <s v="Q2"/>
    <x v="28"/>
    <s v="Medium"/>
  </r>
  <r>
    <x v="2"/>
    <x v="4"/>
    <x v="0"/>
    <x v="6"/>
    <x v="6"/>
    <x v="115"/>
    <n v="3.93"/>
    <d v="2021-05-01T00:00:00"/>
    <n v="5"/>
    <s v="Q2"/>
    <x v="28"/>
    <s v="Medium"/>
  </r>
  <r>
    <x v="2"/>
    <x v="4"/>
    <x v="1"/>
    <x v="0"/>
    <x v="0"/>
    <x v="70"/>
    <n v="3.45"/>
    <d v="2021-05-01T00:00:00"/>
    <n v="5"/>
    <s v="Q2"/>
    <x v="28"/>
    <s v="Medium"/>
  </r>
  <r>
    <x v="2"/>
    <x v="4"/>
    <x v="1"/>
    <x v="1"/>
    <x v="1"/>
    <x v="71"/>
    <n v="3.53"/>
    <d v="2021-05-01T00:00:00"/>
    <n v="5"/>
    <s v="Q2"/>
    <x v="28"/>
    <s v="Medium"/>
  </r>
  <r>
    <x v="2"/>
    <x v="4"/>
    <x v="1"/>
    <x v="2"/>
    <x v="2"/>
    <x v="81"/>
    <n v="3.61"/>
    <d v="2021-05-01T00:00:00"/>
    <n v="5"/>
    <s v="Q2"/>
    <x v="28"/>
    <s v="Medium"/>
  </r>
  <r>
    <x v="2"/>
    <x v="4"/>
    <x v="1"/>
    <x v="3"/>
    <x v="3"/>
    <x v="87"/>
    <n v="3.69"/>
    <d v="2021-05-01T00:00:00"/>
    <n v="5"/>
    <s v="Q2"/>
    <x v="28"/>
    <s v="Medium"/>
  </r>
  <r>
    <x v="2"/>
    <x v="4"/>
    <x v="1"/>
    <x v="4"/>
    <x v="4"/>
    <x v="99"/>
    <n v="3.77"/>
    <d v="2021-05-01T00:00:00"/>
    <n v="5"/>
    <s v="Q2"/>
    <x v="28"/>
    <s v="Medium"/>
  </r>
  <r>
    <x v="2"/>
    <x v="4"/>
    <x v="1"/>
    <x v="5"/>
    <x v="5"/>
    <x v="109"/>
    <n v="3.85"/>
    <d v="2021-05-01T00:00:00"/>
    <n v="5"/>
    <s v="Q2"/>
    <x v="28"/>
    <s v="Medium"/>
  </r>
  <r>
    <x v="2"/>
    <x v="4"/>
    <x v="1"/>
    <x v="6"/>
    <x v="6"/>
    <x v="121"/>
    <n v="3.93"/>
    <d v="2021-05-01T00:00:00"/>
    <n v="5"/>
    <s v="Q2"/>
    <x v="28"/>
    <s v="Medium"/>
  </r>
  <r>
    <x v="2"/>
    <x v="4"/>
    <x v="2"/>
    <x v="0"/>
    <x v="0"/>
    <x v="48"/>
    <n v="3.45"/>
    <d v="2021-05-01T00:00:00"/>
    <n v="5"/>
    <s v="Q2"/>
    <x v="28"/>
    <s v="Medium"/>
  </r>
  <r>
    <x v="2"/>
    <x v="4"/>
    <x v="2"/>
    <x v="1"/>
    <x v="1"/>
    <x v="72"/>
    <n v="3.53"/>
    <d v="2021-05-01T00:00:00"/>
    <n v="5"/>
    <s v="Q2"/>
    <x v="28"/>
    <s v="Medium"/>
  </r>
  <r>
    <x v="2"/>
    <x v="4"/>
    <x v="2"/>
    <x v="2"/>
    <x v="2"/>
    <x v="82"/>
    <n v="3.61"/>
    <d v="2021-05-01T00:00:00"/>
    <n v="5"/>
    <s v="Q2"/>
    <x v="28"/>
    <s v="Medium"/>
  </r>
  <r>
    <x v="2"/>
    <x v="4"/>
    <x v="2"/>
    <x v="3"/>
    <x v="3"/>
    <x v="94"/>
    <n v="3.69"/>
    <d v="2021-05-01T00:00:00"/>
    <n v="5"/>
    <s v="Q2"/>
    <x v="28"/>
    <s v="Medium"/>
  </r>
  <r>
    <x v="2"/>
    <x v="4"/>
    <x v="2"/>
    <x v="4"/>
    <x v="4"/>
    <x v="104"/>
    <n v="3.77"/>
    <d v="2021-05-01T00:00:00"/>
    <n v="5"/>
    <s v="Q2"/>
    <x v="28"/>
    <s v="Medium"/>
  </r>
  <r>
    <x v="2"/>
    <x v="4"/>
    <x v="2"/>
    <x v="5"/>
    <x v="5"/>
    <x v="116"/>
    <n v="3.85"/>
    <d v="2021-05-01T00:00:00"/>
    <n v="5"/>
    <s v="Q2"/>
    <x v="28"/>
    <s v="Medium"/>
  </r>
  <r>
    <x v="2"/>
    <x v="4"/>
    <x v="2"/>
    <x v="6"/>
    <x v="6"/>
    <x v="122"/>
    <n v="3.93"/>
    <d v="2021-05-01T00:00:00"/>
    <n v="5"/>
    <s v="Q2"/>
    <x v="28"/>
    <s v="Medium"/>
  </r>
  <r>
    <x v="2"/>
    <x v="5"/>
    <x v="0"/>
    <x v="0"/>
    <x v="0"/>
    <x v="6"/>
    <n v="2.7"/>
    <d v="2021-06-01T00:00:00"/>
    <n v="6"/>
    <s v="Q2"/>
    <x v="29"/>
    <s v="Medium"/>
  </r>
  <r>
    <x v="2"/>
    <x v="5"/>
    <x v="0"/>
    <x v="1"/>
    <x v="1"/>
    <x v="56"/>
    <n v="2.78"/>
    <d v="2021-06-01T00:00:00"/>
    <n v="6"/>
    <s v="Q2"/>
    <x v="29"/>
    <s v="Medium"/>
  </r>
  <r>
    <x v="2"/>
    <x v="5"/>
    <x v="0"/>
    <x v="2"/>
    <x v="2"/>
    <x v="78"/>
    <n v="2.86"/>
    <d v="2021-06-01T00:00:00"/>
    <n v="6"/>
    <s v="Q2"/>
    <x v="29"/>
    <s v="Medium"/>
  </r>
  <r>
    <x v="2"/>
    <x v="5"/>
    <x v="0"/>
    <x v="3"/>
    <x v="3"/>
    <x v="89"/>
    <n v="2.94"/>
    <d v="2021-06-01T00:00:00"/>
    <n v="6"/>
    <s v="Q2"/>
    <x v="29"/>
    <s v="Medium"/>
  </r>
  <r>
    <x v="2"/>
    <x v="5"/>
    <x v="0"/>
    <x v="4"/>
    <x v="4"/>
    <x v="100"/>
    <n v="3.02"/>
    <d v="2021-06-01T00:00:00"/>
    <n v="6"/>
    <s v="Q2"/>
    <x v="29"/>
    <s v="Medium"/>
  </r>
  <r>
    <x v="2"/>
    <x v="5"/>
    <x v="0"/>
    <x v="5"/>
    <x v="5"/>
    <x v="110"/>
    <n v="3.1"/>
    <d v="2021-06-01T00:00:00"/>
    <n v="6"/>
    <s v="Q2"/>
    <x v="29"/>
    <s v="Medium"/>
  </r>
  <r>
    <x v="2"/>
    <x v="5"/>
    <x v="0"/>
    <x v="6"/>
    <x v="6"/>
    <x v="118"/>
    <n v="3.18"/>
    <d v="2021-06-01T00:00:00"/>
    <n v="6"/>
    <s v="Q2"/>
    <x v="29"/>
    <s v="Medium"/>
  </r>
  <r>
    <x v="2"/>
    <x v="5"/>
    <x v="1"/>
    <x v="0"/>
    <x v="0"/>
    <x v="13"/>
    <n v="2.7"/>
    <d v="2021-06-01T00:00:00"/>
    <n v="6"/>
    <s v="Q2"/>
    <x v="29"/>
    <s v="Medium"/>
  </r>
  <r>
    <x v="2"/>
    <x v="5"/>
    <x v="1"/>
    <x v="1"/>
    <x v="1"/>
    <x v="73"/>
    <n v="2.78"/>
    <d v="2021-06-01T00:00:00"/>
    <n v="6"/>
    <s v="Q2"/>
    <x v="29"/>
    <s v="Medium"/>
  </r>
  <r>
    <x v="2"/>
    <x v="5"/>
    <x v="1"/>
    <x v="2"/>
    <x v="2"/>
    <x v="83"/>
    <n v="2.86"/>
    <d v="2021-06-01T00:00:00"/>
    <n v="6"/>
    <s v="Q2"/>
    <x v="29"/>
    <s v="Medium"/>
  </r>
  <r>
    <x v="2"/>
    <x v="5"/>
    <x v="1"/>
    <x v="3"/>
    <x v="3"/>
    <x v="90"/>
    <n v="2.94"/>
    <d v="2021-06-01T00:00:00"/>
    <n v="6"/>
    <s v="Q2"/>
    <x v="29"/>
    <s v="Medium"/>
  </r>
  <r>
    <x v="2"/>
    <x v="5"/>
    <x v="1"/>
    <x v="4"/>
    <x v="4"/>
    <x v="101"/>
    <n v="3.02"/>
    <d v="2021-06-01T00:00:00"/>
    <n v="6"/>
    <s v="Q2"/>
    <x v="29"/>
    <s v="Medium"/>
  </r>
  <r>
    <x v="2"/>
    <x v="5"/>
    <x v="1"/>
    <x v="5"/>
    <x v="5"/>
    <x v="111"/>
    <n v="3.1"/>
    <d v="2021-06-01T00:00:00"/>
    <n v="6"/>
    <s v="Q2"/>
    <x v="29"/>
    <s v="Medium"/>
  </r>
  <r>
    <x v="2"/>
    <x v="5"/>
    <x v="1"/>
    <x v="6"/>
    <x v="6"/>
    <x v="123"/>
    <n v="3.18"/>
    <d v="2021-06-01T00:00:00"/>
    <n v="6"/>
    <s v="Q2"/>
    <x v="29"/>
    <s v="Medium"/>
  </r>
  <r>
    <x v="2"/>
    <x v="5"/>
    <x v="2"/>
    <x v="0"/>
    <x v="0"/>
    <x v="20"/>
    <n v="2.7"/>
    <d v="2021-06-01T00:00:00"/>
    <n v="6"/>
    <s v="Q2"/>
    <x v="29"/>
    <s v="Medium"/>
  </r>
  <r>
    <x v="2"/>
    <x v="5"/>
    <x v="2"/>
    <x v="1"/>
    <x v="1"/>
    <x v="74"/>
    <n v="2.78"/>
    <d v="2021-06-01T00:00:00"/>
    <n v="6"/>
    <s v="Q2"/>
    <x v="29"/>
    <s v="Medium"/>
  </r>
  <r>
    <x v="2"/>
    <x v="5"/>
    <x v="2"/>
    <x v="2"/>
    <x v="2"/>
    <x v="84"/>
    <n v="2.86"/>
    <d v="2021-06-01T00:00:00"/>
    <n v="6"/>
    <s v="Q2"/>
    <x v="29"/>
    <s v="Medium"/>
  </r>
  <r>
    <x v="2"/>
    <x v="5"/>
    <x v="2"/>
    <x v="3"/>
    <x v="3"/>
    <x v="96"/>
    <n v="2.94"/>
    <d v="2021-06-01T00:00:00"/>
    <n v="6"/>
    <s v="Q2"/>
    <x v="29"/>
    <s v="Medium"/>
  </r>
  <r>
    <x v="2"/>
    <x v="5"/>
    <x v="2"/>
    <x v="4"/>
    <x v="4"/>
    <x v="106"/>
    <n v="3.02"/>
    <d v="2021-06-01T00:00:00"/>
    <n v="6"/>
    <s v="Q2"/>
    <x v="29"/>
    <s v="Medium"/>
  </r>
  <r>
    <x v="2"/>
    <x v="5"/>
    <x v="2"/>
    <x v="5"/>
    <x v="5"/>
    <x v="112"/>
    <n v="3.1"/>
    <d v="2021-06-01T00:00:00"/>
    <n v="6"/>
    <s v="Q2"/>
    <x v="29"/>
    <s v="Medium"/>
  </r>
  <r>
    <x v="2"/>
    <x v="5"/>
    <x v="2"/>
    <x v="6"/>
    <x v="6"/>
    <x v="124"/>
    <n v="3.18"/>
    <d v="2021-06-01T00:00:00"/>
    <n v="6"/>
    <s v="Q2"/>
    <x v="29"/>
    <s v="Medium"/>
  </r>
  <r>
    <x v="2"/>
    <x v="6"/>
    <x v="0"/>
    <x v="0"/>
    <x v="0"/>
    <x v="27"/>
    <n v="2.85"/>
    <d v="2021-07-01T00:00:00"/>
    <n v="7"/>
    <s v="Q3"/>
    <x v="30"/>
    <s v="Medium"/>
  </r>
  <r>
    <x v="2"/>
    <x v="6"/>
    <x v="0"/>
    <x v="1"/>
    <x v="1"/>
    <x v="64"/>
    <n v="2.93"/>
    <d v="2021-07-01T00:00:00"/>
    <n v="7"/>
    <s v="Q3"/>
    <x v="30"/>
    <s v="Medium"/>
  </r>
  <r>
    <x v="2"/>
    <x v="6"/>
    <x v="0"/>
    <x v="2"/>
    <x v="2"/>
    <x v="80"/>
    <n v="3.01"/>
    <d v="2021-07-01T00:00:00"/>
    <n v="7"/>
    <s v="Q3"/>
    <x v="30"/>
    <s v="Medium"/>
  </r>
  <r>
    <x v="2"/>
    <x v="6"/>
    <x v="0"/>
    <x v="3"/>
    <x v="3"/>
    <x v="92"/>
    <n v="3.09"/>
    <d v="2021-07-01T00:00:00"/>
    <n v="7"/>
    <s v="Q3"/>
    <x v="30"/>
    <s v="Medium"/>
  </r>
  <r>
    <x v="2"/>
    <x v="6"/>
    <x v="0"/>
    <x v="4"/>
    <x v="4"/>
    <x v="102"/>
    <n v="3.17"/>
    <d v="2021-07-01T00:00:00"/>
    <n v="7"/>
    <s v="Q3"/>
    <x v="30"/>
    <s v="Medium"/>
  </r>
  <r>
    <x v="2"/>
    <x v="6"/>
    <x v="0"/>
    <x v="5"/>
    <x v="5"/>
    <x v="113"/>
    <n v="3.25"/>
    <d v="2021-07-01T00:00:00"/>
    <n v="7"/>
    <s v="Q3"/>
    <x v="30"/>
    <s v="Medium"/>
  </r>
  <r>
    <x v="2"/>
    <x v="6"/>
    <x v="0"/>
    <x v="6"/>
    <x v="6"/>
    <x v="120"/>
    <n v="3.33"/>
    <d v="2021-07-01T00:00:00"/>
    <n v="7"/>
    <s v="Q3"/>
    <x v="30"/>
    <s v="Medium"/>
  </r>
  <r>
    <x v="2"/>
    <x v="6"/>
    <x v="1"/>
    <x v="0"/>
    <x v="0"/>
    <x v="34"/>
    <n v="2.85"/>
    <d v="2021-07-01T00:00:00"/>
    <n v="7"/>
    <s v="Q3"/>
    <x v="30"/>
    <s v="Medium"/>
  </r>
  <r>
    <x v="2"/>
    <x v="6"/>
    <x v="1"/>
    <x v="1"/>
    <x v="1"/>
    <x v="75"/>
    <n v="2.93"/>
    <d v="2021-07-01T00:00:00"/>
    <n v="7"/>
    <s v="Q3"/>
    <x v="30"/>
    <s v="Medium"/>
  </r>
  <r>
    <x v="2"/>
    <x v="6"/>
    <x v="1"/>
    <x v="2"/>
    <x v="2"/>
    <x v="85"/>
    <n v="3.01"/>
    <d v="2021-07-01T00:00:00"/>
    <n v="7"/>
    <s v="Q3"/>
    <x v="30"/>
    <s v="Medium"/>
  </r>
  <r>
    <x v="2"/>
    <x v="6"/>
    <x v="1"/>
    <x v="3"/>
    <x v="3"/>
    <x v="93"/>
    <n v="3.09"/>
    <d v="2021-07-01T00:00:00"/>
    <n v="7"/>
    <s v="Q3"/>
    <x v="30"/>
    <s v="Medium"/>
  </r>
  <r>
    <x v="2"/>
    <x v="6"/>
    <x v="1"/>
    <x v="4"/>
    <x v="4"/>
    <x v="103"/>
    <n v="3.17"/>
    <d v="2021-07-01T00:00:00"/>
    <n v="7"/>
    <s v="Q3"/>
    <x v="30"/>
    <s v="Medium"/>
  </r>
  <r>
    <x v="2"/>
    <x v="6"/>
    <x v="1"/>
    <x v="5"/>
    <x v="5"/>
    <x v="114"/>
    <n v="3.25"/>
    <d v="2021-07-01T00:00:00"/>
    <n v="7"/>
    <s v="Q3"/>
    <x v="30"/>
    <s v="Medium"/>
  </r>
  <r>
    <x v="2"/>
    <x v="6"/>
    <x v="1"/>
    <x v="6"/>
    <x v="6"/>
    <x v="125"/>
    <n v="3.33"/>
    <d v="2021-07-01T00:00:00"/>
    <n v="7"/>
    <s v="Q3"/>
    <x v="30"/>
    <s v="Medium"/>
  </r>
  <r>
    <x v="2"/>
    <x v="6"/>
    <x v="2"/>
    <x v="0"/>
    <x v="0"/>
    <x v="41"/>
    <n v="2.85"/>
    <d v="2021-07-01T00:00:00"/>
    <n v="7"/>
    <s v="Q3"/>
    <x v="30"/>
    <s v="Medium"/>
  </r>
  <r>
    <x v="2"/>
    <x v="6"/>
    <x v="2"/>
    <x v="1"/>
    <x v="1"/>
    <x v="76"/>
    <n v="2.93"/>
    <d v="2021-07-01T00:00:00"/>
    <n v="7"/>
    <s v="Q3"/>
    <x v="30"/>
    <s v="Medium"/>
  </r>
  <r>
    <x v="2"/>
    <x v="6"/>
    <x v="2"/>
    <x v="2"/>
    <x v="2"/>
    <x v="86"/>
    <n v="3.01"/>
    <d v="2021-07-01T00:00:00"/>
    <n v="7"/>
    <s v="Q3"/>
    <x v="30"/>
    <s v="Medium"/>
  </r>
  <r>
    <x v="2"/>
    <x v="6"/>
    <x v="2"/>
    <x v="3"/>
    <x v="3"/>
    <x v="98"/>
    <n v="3.09"/>
    <d v="2021-07-01T00:00:00"/>
    <n v="7"/>
    <s v="Q3"/>
    <x v="30"/>
    <s v="Medium"/>
  </r>
  <r>
    <x v="2"/>
    <x v="6"/>
    <x v="2"/>
    <x v="4"/>
    <x v="4"/>
    <x v="108"/>
    <n v="3.17"/>
    <d v="2021-07-01T00:00:00"/>
    <n v="7"/>
    <s v="Q3"/>
    <x v="30"/>
    <s v="Medium"/>
  </r>
  <r>
    <x v="2"/>
    <x v="6"/>
    <x v="2"/>
    <x v="5"/>
    <x v="5"/>
    <x v="115"/>
    <n v="3.25"/>
    <d v="2021-07-01T00:00:00"/>
    <n v="7"/>
    <s v="Q3"/>
    <x v="30"/>
    <s v="Medium"/>
  </r>
  <r>
    <x v="2"/>
    <x v="6"/>
    <x v="2"/>
    <x v="6"/>
    <x v="6"/>
    <x v="126"/>
    <n v="3.33"/>
    <d v="2021-07-01T00:00:00"/>
    <n v="7"/>
    <s v="Q3"/>
    <x v="30"/>
    <s v="Medium"/>
  </r>
  <r>
    <x v="2"/>
    <x v="7"/>
    <x v="0"/>
    <x v="0"/>
    <x v="0"/>
    <x v="48"/>
    <n v="3"/>
    <d v="2021-08-01T00:00:00"/>
    <n v="8"/>
    <s v="Q3"/>
    <x v="31"/>
    <s v="Medium"/>
  </r>
  <r>
    <x v="2"/>
    <x v="7"/>
    <x v="0"/>
    <x v="1"/>
    <x v="1"/>
    <x v="72"/>
    <n v="3.08"/>
    <d v="2021-08-01T00:00:00"/>
    <n v="8"/>
    <s v="Q3"/>
    <x v="31"/>
    <s v="Medium"/>
  </r>
  <r>
    <x v="2"/>
    <x v="7"/>
    <x v="0"/>
    <x v="2"/>
    <x v="2"/>
    <x v="82"/>
    <n v="3.16"/>
    <d v="2021-08-01T00:00:00"/>
    <n v="8"/>
    <s v="Q3"/>
    <x v="31"/>
    <s v="Medium"/>
  </r>
  <r>
    <x v="2"/>
    <x v="7"/>
    <x v="0"/>
    <x v="3"/>
    <x v="3"/>
    <x v="94"/>
    <n v="3.24"/>
    <d v="2021-08-01T00:00:00"/>
    <n v="8"/>
    <s v="Q3"/>
    <x v="31"/>
    <s v="Medium"/>
  </r>
  <r>
    <x v="2"/>
    <x v="7"/>
    <x v="0"/>
    <x v="4"/>
    <x v="4"/>
    <x v="104"/>
    <n v="3.32"/>
    <d v="2021-08-01T00:00:00"/>
    <n v="8"/>
    <s v="Q3"/>
    <x v="31"/>
    <s v="Medium"/>
  </r>
  <r>
    <x v="2"/>
    <x v="7"/>
    <x v="0"/>
    <x v="5"/>
    <x v="5"/>
    <x v="116"/>
    <n v="3.4"/>
    <d v="2021-08-01T00:00:00"/>
    <n v="8"/>
    <s v="Q3"/>
    <x v="31"/>
    <s v="Medium"/>
  </r>
  <r>
    <x v="2"/>
    <x v="7"/>
    <x v="0"/>
    <x v="6"/>
    <x v="6"/>
    <x v="122"/>
    <n v="3.48"/>
    <d v="2021-08-01T00:00:00"/>
    <n v="8"/>
    <s v="Q3"/>
    <x v="31"/>
    <s v="Medium"/>
  </r>
  <r>
    <x v="2"/>
    <x v="7"/>
    <x v="1"/>
    <x v="0"/>
    <x v="0"/>
    <x v="55"/>
    <n v="3"/>
    <d v="2021-08-01T00:00:00"/>
    <n v="8"/>
    <s v="Q3"/>
    <x v="31"/>
    <s v="Medium"/>
  </r>
  <r>
    <x v="2"/>
    <x v="7"/>
    <x v="1"/>
    <x v="1"/>
    <x v="1"/>
    <x v="77"/>
    <n v="3.08"/>
    <d v="2021-08-01T00:00:00"/>
    <n v="8"/>
    <s v="Q3"/>
    <x v="31"/>
    <s v="Medium"/>
  </r>
  <r>
    <x v="2"/>
    <x v="7"/>
    <x v="1"/>
    <x v="2"/>
    <x v="2"/>
    <x v="88"/>
    <n v="3.16"/>
    <d v="2021-08-01T00:00:00"/>
    <n v="8"/>
    <s v="Q3"/>
    <x v="31"/>
    <s v="Medium"/>
  </r>
  <r>
    <x v="2"/>
    <x v="7"/>
    <x v="1"/>
    <x v="3"/>
    <x v="3"/>
    <x v="95"/>
    <n v="3.24"/>
    <d v="2021-08-01T00:00:00"/>
    <n v="8"/>
    <s v="Q3"/>
    <x v="31"/>
    <s v="Medium"/>
  </r>
  <r>
    <x v="2"/>
    <x v="7"/>
    <x v="1"/>
    <x v="4"/>
    <x v="4"/>
    <x v="105"/>
    <n v="3.32"/>
    <d v="2021-08-01T00:00:00"/>
    <n v="8"/>
    <s v="Q3"/>
    <x v="31"/>
    <s v="Medium"/>
  </r>
  <r>
    <x v="2"/>
    <x v="7"/>
    <x v="1"/>
    <x v="5"/>
    <x v="5"/>
    <x v="117"/>
    <n v="3.4"/>
    <d v="2021-08-01T00:00:00"/>
    <n v="8"/>
    <s v="Q3"/>
    <x v="31"/>
    <s v="Medium"/>
  </r>
  <r>
    <x v="2"/>
    <x v="7"/>
    <x v="1"/>
    <x v="6"/>
    <x v="6"/>
    <x v="127"/>
    <n v="3.48"/>
    <d v="2021-08-01T00:00:00"/>
    <n v="8"/>
    <s v="Q3"/>
    <x v="31"/>
    <s v="Medium"/>
  </r>
  <r>
    <x v="2"/>
    <x v="7"/>
    <x v="2"/>
    <x v="0"/>
    <x v="0"/>
    <x v="56"/>
    <n v="3"/>
    <d v="2021-08-01T00:00:00"/>
    <n v="8"/>
    <s v="Q3"/>
    <x v="31"/>
    <s v="Medium"/>
  </r>
  <r>
    <x v="2"/>
    <x v="7"/>
    <x v="2"/>
    <x v="1"/>
    <x v="1"/>
    <x v="78"/>
    <n v="3.08"/>
    <d v="2021-08-01T00:00:00"/>
    <n v="8"/>
    <s v="Q3"/>
    <x v="31"/>
    <s v="Medium"/>
  </r>
  <r>
    <x v="2"/>
    <x v="7"/>
    <x v="2"/>
    <x v="2"/>
    <x v="2"/>
    <x v="89"/>
    <n v="3.16"/>
    <d v="2021-08-01T00:00:00"/>
    <n v="8"/>
    <s v="Q3"/>
    <x v="31"/>
    <s v="Medium"/>
  </r>
  <r>
    <x v="2"/>
    <x v="7"/>
    <x v="2"/>
    <x v="3"/>
    <x v="3"/>
    <x v="100"/>
    <n v="3.24"/>
    <d v="2021-08-01T00:00:00"/>
    <n v="8"/>
    <s v="Q3"/>
    <x v="31"/>
    <s v="Medium"/>
  </r>
  <r>
    <x v="2"/>
    <x v="7"/>
    <x v="2"/>
    <x v="4"/>
    <x v="4"/>
    <x v="110"/>
    <n v="3.32"/>
    <d v="2021-08-01T00:00:00"/>
    <n v="8"/>
    <s v="Q3"/>
    <x v="31"/>
    <s v="Medium"/>
  </r>
  <r>
    <x v="2"/>
    <x v="7"/>
    <x v="2"/>
    <x v="5"/>
    <x v="5"/>
    <x v="118"/>
    <n v="3.4"/>
    <d v="2021-08-01T00:00:00"/>
    <n v="8"/>
    <s v="Q3"/>
    <x v="31"/>
    <s v="Medium"/>
  </r>
  <r>
    <x v="2"/>
    <x v="7"/>
    <x v="2"/>
    <x v="6"/>
    <x v="6"/>
    <x v="128"/>
    <n v="3.48"/>
    <d v="2021-08-01T00:00:00"/>
    <n v="8"/>
    <s v="Q3"/>
    <x v="31"/>
    <s v="Medium"/>
  </r>
  <r>
    <x v="2"/>
    <x v="8"/>
    <x v="0"/>
    <x v="0"/>
    <x v="0"/>
    <x v="20"/>
    <n v="3.15"/>
    <d v="2021-09-01T00:00:00"/>
    <n v="9"/>
    <s v="Q3"/>
    <x v="32"/>
    <s v="Medium"/>
  </r>
  <r>
    <x v="2"/>
    <x v="8"/>
    <x v="0"/>
    <x v="1"/>
    <x v="1"/>
    <x v="74"/>
    <n v="3.23"/>
    <d v="2021-09-01T00:00:00"/>
    <n v="9"/>
    <s v="Q3"/>
    <x v="32"/>
    <s v="Medium"/>
  </r>
  <r>
    <x v="2"/>
    <x v="8"/>
    <x v="0"/>
    <x v="2"/>
    <x v="2"/>
    <x v="84"/>
    <n v="3.31"/>
    <d v="2021-09-01T00:00:00"/>
    <n v="9"/>
    <s v="Q3"/>
    <x v="32"/>
    <s v="Medium"/>
  </r>
  <r>
    <x v="2"/>
    <x v="8"/>
    <x v="0"/>
    <x v="3"/>
    <x v="3"/>
    <x v="96"/>
    <n v="3.39"/>
    <d v="2021-09-01T00:00:00"/>
    <n v="9"/>
    <s v="Q3"/>
    <x v="32"/>
    <s v="Medium"/>
  </r>
  <r>
    <x v="2"/>
    <x v="8"/>
    <x v="0"/>
    <x v="4"/>
    <x v="4"/>
    <x v="106"/>
    <n v="3.47"/>
    <d v="2021-09-01T00:00:00"/>
    <n v="9"/>
    <s v="Q3"/>
    <x v="32"/>
    <s v="Medium"/>
  </r>
  <r>
    <x v="2"/>
    <x v="8"/>
    <x v="0"/>
    <x v="5"/>
    <x v="5"/>
    <x v="112"/>
    <n v="3.55"/>
    <d v="2021-09-01T00:00:00"/>
    <n v="9"/>
    <s v="Q3"/>
    <x v="32"/>
    <s v="Medium"/>
  </r>
  <r>
    <x v="2"/>
    <x v="8"/>
    <x v="0"/>
    <x v="6"/>
    <x v="6"/>
    <x v="124"/>
    <n v="3.63"/>
    <d v="2021-09-01T00:00:00"/>
    <n v="9"/>
    <s v="Q3"/>
    <x v="32"/>
    <s v="Medium"/>
  </r>
  <r>
    <x v="2"/>
    <x v="8"/>
    <x v="1"/>
    <x v="0"/>
    <x v="0"/>
    <x v="63"/>
    <n v="3.15"/>
    <d v="2021-09-01T00:00:00"/>
    <n v="9"/>
    <s v="Q3"/>
    <x v="32"/>
    <s v="Medium"/>
  </r>
  <r>
    <x v="2"/>
    <x v="8"/>
    <x v="1"/>
    <x v="1"/>
    <x v="1"/>
    <x v="79"/>
    <n v="3.23"/>
    <d v="2021-09-01T00:00:00"/>
    <n v="9"/>
    <s v="Q3"/>
    <x v="32"/>
    <s v="Medium"/>
  </r>
  <r>
    <x v="2"/>
    <x v="8"/>
    <x v="1"/>
    <x v="2"/>
    <x v="2"/>
    <x v="91"/>
    <n v="3.31"/>
    <d v="2021-09-01T00:00:00"/>
    <n v="9"/>
    <s v="Q3"/>
    <x v="32"/>
    <s v="Medium"/>
  </r>
  <r>
    <x v="2"/>
    <x v="8"/>
    <x v="1"/>
    <x v="3"/>
    <x v="3"/>
    <x v="97"/>
    <n v="3.39"/>
    <d v="2021-09-01T00:00:00"/>
    <n v="9"/>
    <s v="Q3"/>
    <x v="32"/>
    <s v="Medium"/>
  </r>
  <r>
    <x v="2"/>
    <x v="8"/>
    <x v="1"/>
    <x v="4"/>
    <x v="4"/>
    <x v="107"/>
    <n v="3.47"/>
    <d v="2021-09-01T00:00:00"/>
    <n v="9"/>
    <s v="Q3"/>
    <x v="32"/>
    <s v="Medium"/>
  </r>
  <r>
    <x v="2"/>
    <x v="8"/>
    <x v="1"/>
    <x v="5"/>
    <x v="5"/>
    <x v="119"/>
    <n v="3.55"/>
    <d v="2021-09-01T00:00:00"/>
    <n v="9"/>
    <s v="Q3"/>
    <x v="32"/>
    <s v="Medium"/>
  </r>
  <r>
    <x v="2"/>
    <x v="8"/>
    <x v="1"/>
    <x v="6"/>
    <x v="6"/>
    <x v="129"/>
    <n v="3.63"/>
    <d v="2021-09-01T00:00:00"/>
    <n v="9"/>
    <s v="Q3"/>
    <x v="32"/>
    <s v="Medium"/>
  </r>
  <r>
    <x v="2"/>
    <x v="8"/>
    <x v="2"/>
    <x v="0"/>
    <x v="0"/>
    <x v="64"/>
    <n v="3.15"/>
    <d v="2021-09-01T00:00:00"/>
    <n v="9"/>
    <s v="Q3"/>
    <x v="32"/>
    <s v="Medium"/>
  </r>
  <r>
    <x v="2"/>
    <x v="8"/>
    <x v="2"/>
    <x v="1"/>
    <x v="1"/>
    <x v="80"/>
    <n v="3.23"/>
    <d v="2021-09-01T00:00:00"/>
    <n v="9"/>
    <s v="Q3"/>
    <x v="32"/>
    <s v="Medium"/>
  </r>
  <r>
    <x v="2"/>
    <x v="8"/>
    <x v="2"/>
    <x v="2"/>
    <x v="2"/>
    <x v="92"/>
    <n v="3.31"/>
    <d v="2021-09-01T00:00:00"/>
    <n v="9"/>
    <s v="Q3"/>
    <x v="32"/>
    <s v="Medium"/>
  </r>
  <r>
    <x v="2"/>
    <x v="8"/>
    <x v="2"/>
    <x v="3"/>
    <x v="3"/>
    <x v="102"/>
    <n v="3.39"/>
    <d v="2021-09-01T00:00:00"/>
    <n v="9"/>
    <s v="Q3"/>
    <x v="32"/>
    <s v="Medium"/>
  </r>
  <r>
    <x v="2"/>
    <x v="8"/>
    <x v="2"/>
    <x v="4"/>
    <x v="4"/>
    <x v="113"/>
    <n v="3.47"/>
    <d v="2021-09-01T00:00:00"/>
    <n v="9"/>
    <s v="Q3"/>
    <x v="32"/>
    <s v="Medium"/>
  </r>
  <r>
    <x v="2"/>
    <x v="8"/>
    <x v="2"/>
    <x v="5"/>
    <x v="5"/>
    <x v="120"/>
    <n v="3.55"/>
    <d v="2021-09-01T00:00:00"/>
    <n v="9"/>
    <s v="Q3"/>
    <x v="32"/>
    <s v="Medium"/>
  </r>
  <r>
    <x v="2"/>
    <x v="8"/>
    <x v="2"/>
    <x v="6"/>
    <x v="6"/>
    <x v="130"/>
    <n v="3.63"/>
    <d v="2021-09-01T00:00:00"/>
    <n v="9"/>
    <s v="Q3"/>
    <x v="32"/>
    <s v="Medium"/>
  </r>
  <r>
    <x v="2"/>
    <x v="9"/>
    <x v="0"/>
    <x v="0"/>
    <x v="0"/>
    <x v="41"/>
    <n v="3.3"/>
    <d v="2021-10-01T00:00:00"/>
    <n v="10"/>
    <s v="Q4"/>
    <x v="33"/>
    <s v="Medium"/>
  </r>
  <r>
    <x v="2"/>
    <x v="9"/>
    <x v="0"/>
    <x v="1"/>
    <x v="1"/>
    <x v="76"/>
    <n v="3.38"/>
    <d v="2021-10-01T00:00:00"/>
    <n v="10"/>
    <s v="Q4"/>
    <x v="33"/>
    <s v="Medium"/>
  </r>
  <r>
    <x v="2"/>
    <x v="9"/>
    <x v="0"/>
    <x v="2"/>
    <x v="2"/>
    <x v="86"/>
    <n v="3.46"/>
    <d v="2021-10-01T00:00:00"/>
    <n v="10"/>
    <s v="Q4"/>
    <x v="33"/>
    <s v="Medium"/>
  </r>
  <r>
    <x v="2"/>
    <x v="9"/>
    <x v="0"/>
    <x v="3"/>
    <x v="3"/>
    <x v="98"/>
    <n v="3.54"/>
    <d v="2021-10-01T00:00:00"/>
    <n v="10"/>
    <s v="Q4"/>
    <x v="33"/>
    <s v="Medium"/>
  </r>
  <r>
    <x v="2"/>
    <x v="9"/>
    <x v="0"/>
    <x v="4"/>
    <x v="4"/>
    <x v="108"/>
    <n v="3.62"/>
    <d v="2021-10-01T00:00:00"/>
    <n v="10"/>
    <s v="Q4"/>
    <x v="33"/>
    <s v="Medium"/>
  </r>
  <r>
    <x v="2"/>
    <x v="9"/>
    <x v="0"/>
    <x v="5"/>
    <x v="5"/>
    <x v="115"/>
    <n v="3.7"/>
    <d v="2021-10-01T00:00:00"/>
    <n v="10"/>
    <s v="Q4"/>
    <x v="33"/>
    <s v="Medium"/>
  </r>
  <r>
    <x v="2"/>
    <x v="9"/>
    <x v="0"/>
    <x v="6"/>
    <x v="6"/>
    <x v="126"/>
    <n v="3.78"/>
    <d v="2021-10-01T00:00:00"/>
    <n v="10"/>
    <s v="Q4"/>
    <x v="33"/>
    <s v="Medium"/>
  </r>
  <r>
    <x v="2"/>
    <x v="9"/>
    <x v="1"/>
    <x v="0"/>
    <x v="0"/>
    <x v="71"/>
    <n v="3.3"/>
    <d v="2021-10-01T00:00:00"/>
    <n v="10"/>
    <s v="Q4"/>
    <x v="33"/>
    <s v="Medium"/>
  </r>
  <r>
    <x v="2"/>
    <x v="9"/>
    <x v="1"/>
    <x v="1"/>
    <x v="1"/>
    <x v="81"/>
    <n v="3.38"/>
    <d v="2021-10-01T00:00:00"/>
    <n v="10"/>
    <s v="Q4"/>
    <x v="33"/>
    <s v="Medium"/>
  </r>
  <r>
    <x v="2"/>
    <x v="9"/>
    <x v="1"/>
    <x v="2"/>
    <x v="2"/>
    <x v="87"/>
    <n v="3.46"/>
    <d v="2021-10-01T00:00:00"/>
    <n v="10"/>
    <s v="Q4"/>
    <x v="33"/>
    <s v="Medium"/>
  </r>
  <r>
    <x v="2"/>
    <x v="9"/>
    <x v="1"/>
    <x v="3"/>
    <x v="3"/>
    <x v="99"/>
    <n v="3.54"/>
    <d v="2021-10-01T00:00:00"/>
    <n v="10"/>
    <s v="Q4"/>
    <x v="33"/>
    <s v="Medium"/>
  </r>
  <r>
    <x v="2"/>
    <x v="9"/>
    <x v="1"/>
    <x v="4"/>
    <x v="4"/>
    <x v="109"/>
    <n v="3.62"/>
    <d v="2021-10-01T00:00:00"/>
    <n v="10"/>
    <s v="Q4"/>
    <x v="33"/>
    <s v="Medium"/>
  </r>
  <r>
    <x v="2"/>
    <x v="9"/>
    <x v="1"/>
    <x v="5"/>
    <x v="5"/>
    <x v="121"/>
    <n v="3.7"/>
    <d v="2021-10-01T00:00:00"/>
    <n v="10"/>
    <s v="Q4"/>
    <x v="33"/>
    <s v="Medium"/>
  </r>
  <r>
    <x v="2"/>
    <x v="9"/>
    <x v="1"/>
    <x v="6"/>
    <x v="6"/>
    <x v="131"/>
    <n v="3.78"/>
    <d v="2021-10-01T00:00:00"/>
    <n v="10"/>
    <s v="Q4"/>
    <x v="33"/>
    <s v="Medium"/>
  </r>
  <r>
    <x v="2"/>
    <x v="9"/>
    <x v="2"/>
    <x v="0"/>
    <x v="0"/>
    <x v="72"/>
    <n v="3.3"/>
    <d v="2021-10-01T00:00:00"/>
    <n v="10"/>
    <s v="Q4"/>
    <x v="33"/>
    <s v="Medium"/>
  </r>
  <r>
    <x v="2"/>
    <x v="9"/>
    <x v="2"/>
    <x v="1"/>
    <x v="1"/>
    <x v="82"/>
    <n v="3.38"/>
    <d v="2021-10-01T00:00:00"/>
    <n v="10"/>
    <s v="Q4"/>
    <x v="33"/>
    <s v="Medium"/>
  </r>
  <r>
    <x v="2"/>
    <x v="9"/>
    <x v="2"/>
    <x v="2"/>
    <x v="2"/>
    <x v="94"/>
    <n v="3.46"/>
    <d v="2021-10-01T00:00:00"/>
    <n v="10"/>
    <s v="Q4"/>
    <x v="33"/>
    <s v="Medium"/>
  </r>
  <r>
    <x v="2"/>
    <x v="9"/>
    <x v="2"/>
    <x v="3"/>
    <x v="3"/>
    <x v="104"/>
    <n v="3.54"/>
    <d v="2021-10-01T00:00:00"/>
    <n v="10"/>
    <s v="Q4"/>
    <x v="33"/>
    <s v="Medium"/>
  </r>
  <r>
    <x v="2"/>
    <x v="9"/>
    <x v="2"/>
    <x v="4"/>
    <x v="4"/>
    <x v="116"/>
    <n v="3.62"/>
    <d v="2021-10-01T00:00:00"/>
    <n v="10"/>
    <s v="Q4"/>
    <x v="33"/>
    <s v="Medium"/>
  </r>
  <r>
    <x v="2"/>
    <x v="9"/>
    <x v="2"/>
    <x v="5"/>
    <x v="5"/>
    <x v="122"/>
    <n v="3.7"/>
    <d v="2021-10-01T00:00:00"/>
    <n v="10"/>
    <s v="Q4"/>
    <x v="33"/>
    <s v="Medium"/>
  </r>
  <r>
    <x v="2"/>
    <x v="9"/>
    <x v="2"/>
    <x v="6"/>
    <x v="6"/>
    <x v="132"/>
    <n v="3.78"/>
    <d v="2021-10-01T00:00:00"/>
    <n v="10"/>
    <s v="Q4"/>
    <x v="33"/>
    <s v="Medium"/>
  </r>
  <r>
    <x v="2"/>
    <x v="10"/>
    <x v="0"/>
    <x v="0"/>
    <x v="0"/>
    <x v="56"/>
    <n v="3.45"/>
    <d v="2021-11-01T00:00:00"/>
    <n v="11"/>
    <s v="Q4"/>
    <x v="34"/>
    <s v="Medium"/>
  </r>
  <r>
    <x v="2"/>
    <x v="10"/>
    <x v="0"/>
    <x v="1"/>
    <x v="1"/>
    <x v="78"/>
    <n v="3.53"/>
    <d v="2021-11-01T00:00:00"/>
    <n v="11"/>
    <s v="Q4"/>
    <x v="34"/>
    <s v="Medium"/>
  </r>
  <r>
    <x v="2"/>
    <x v="10"/>
    <x v="0"/>
    <x v="2"/>
    <x v="2"/>
    <x v="89"/>
    <n v="3.61"/>
    <d v="2021-11-01T00:00:00"/>
    <n v="11"/>
    <s v="Q4"/>
    <x v="34"/>
    <s v="Medium"/>
  </r>
  <r>
    <x v="2"/>
    <x v="10"/>
    <x v="0"/>
    <x v="3"/>
    <x v="3"/>
    <x v="100"/>
    <n v="3.69"/>
    <d v="2021-11-01T00:00:00"/>
    <n v="11"/>
    <s v="Q4"/>
    <x v="34"/>
    <s v="Medium"/>
  </r>
  <r>
    <x v="2"/>
    <x v="10"/>
    <x v="0"/>
    <x v="4"/>
    <x v="4"/>
    <x v="110"/>
    <n v="3.77"/>
    <d v="2021-11-01T00:00:00"/>
    <n v="11"/>
    <s v="Q4"/>
    <x v="34"/>
    <s v="Medium"/>
  </r>
  <r>
    <x v="2"/>
    <x v="10"/>
    <x v="0"/>
    <x v="5"/>
    <x v="5"/>
    <x v="118"/>
    <n v="3.85"/>
    <d v="2021-11-01T00:00:00"/>
    <n v="11"/>
    <s v="Q4"/>
    <x v="34"/>
    <s v="Medium"/>
  </r>
  <r>
    <x v="2"/>
    <x v="10"/>
    <x v="0"/>
    <x v="6"/>
    <x v="6"/>
    <x v="128"/>
    <n v="3.93"/>
    <d v="2021-11-01T00:00:00"/>
    <n v="11"/>
    <s v="Q4"/>
    <x v="34"/>
    <s v="Medium"/>
  </r>
  <r>
    <x v="2"/>
    <x v="10"/>
    <x v="1"/>
    <x v="0"/>
    <x v="0"/>
    <x v="73"/>
    <n v="3.45"/>
    <d v="2021-11-01T00:00:00"/>
    <n v="11"/>
    <s v="Q4"/>
    <x v="34"/>
    <s v="Medium"/>
  </r>
  <r>
    <x v="2"/>
    <x v="10"/>
    <x v="1"/>
    <x v="1"/>
    <x v="1"/>
    <x v="83"/>
    <n v="3.53"/>
    <d v="2021-11-01T00:00:00"/>
    <n v="11"/>
    <s v="Q4"/>
    <x v="34"/>
    <s v="Medium"/>
  </r>
  <r>
    <x v="2"/>
    <x v="10"/>
    <x v="1"/>
    <x v="2"/>
    <x v="2"/>
    <x v="90"/>
    <n v="3.61"/>
    <d v="2021-11-01T00:00:00"/>
    <n v="11"/>
    <s v="Q4"/>
    <x v="34"/>
    <s v="Medium"/>
  </r>
  <r>
    <x v="2"/>
    <x v="10"/>
    <x v="1"/>
    <x v="3"/>
    <x v="3"/>
    <x v="101"/>
    <n v="3.69"/>
    <d v="2021-11-01T00:00:00"/>
    <n v="11"/>
    <s v="Q4"/>
    <x v="34"/>
    <s v="Medium"/>
  </r>
  <r>
    <x v="2"/>
    <x v="10"/>
    <x v="1"/>
    <x v="4"/>
    <x v="4"/>
    <x v="111"/>
    <n v="3.77"/>
    <d v="2021-11-01T00:00:00"/>
    <n v="11"/>
    <s v="Q4"/>
    <x v="34"/>
    <s v="Medium"/>
  </r>
  <r>
    <x v="2"/>
    <x v="10"/>
    <x v="1"/>
    <x v="5"/>
    <x v="5"/>
    <x v="123"/>
    <n v="3.85"/>
    <d v="2021-11-01T00:00:00"/>
    <n v="11"/>
    <s v="Q4"/>
    <x v="34"/>
    <s v="Medium"/>
  </r>
  <r>
    <x v="2"/>
    <x v="10"/>
    <x v="1"/>
    <x v="6"/>
    <x v="6"/>
    <x v="133"/>
    <n v="3.93"/>
    <d v="2021-11-01T00:00:00"/>
    <n v="11"/>
    <s v="Q4"/>
    <x v="34"/>
    <s v="Medium"/>
  </r>
  <r>
    <x v="2"/>
    <x v="10"/>
    <x v="2"/>
    <x v="0"/>
    <x v="0"/>
    <x v="74"/>
    <n v="3.45"/>
    <d v="2021-11-01T00:00:00"/>
    <n v="11"/>
    <s v="Q4"/>
    <x v="34"/>
    <s v="Medium"/>
  </r>
  <r>
    <x v="2"/>
    <x v="10"/>
    <x v="2"/>
    <x v="1"/>
    <x v="1"/>
    <x v="84"/>
    <n v="3.53"/>
    <d v="2021-11-01T00:00:00"/>
    <n v="11"/>
    <s v="Q4"/>
    <x v="34"/>
    <s v="Medium"/>
  </r>
  <r>
    <x v="2"/>
    <x v="10"/>
    <x v="2"/>
    <x v="2"/>
    <x v="2"/>
    <x v="96"/>
    <n v="3.61"/>
    <d v="2021-11-01T00:00:00"/>
    <n v="11"/>
    <s v="Q4"/>
    <x v="34"/>
    <s v="Medium"/>
  </r>
  <r>
    <x v="2"/>
    <x v="10"/>
    <x v="2"/>
    <x v="3"/>
    <x v="3"/>
    <x v="106"/>
    <n v="3.69"/>
    <d v="2021-11-01T00:00:00"/>
    <n v="11"/>
    <s v="Q4"/>
    <x v="34"/>
    <s v="Medium"/>
  </r>
  <r>
    <x v="2"/>
    <x v="10"/>
    <x v="2"/>
    <x v="4"/>
    <x v="4"/>
    <x v="112"/>
    <n v="3.77"/>
    <d v="2021-11-01T00:00:00"/>
    <n v="11"/>
    <s v="Q4"/>
    <x v="34"/>
    <s v="Medium"/>
  </r>
  <r>
    <x v="2"/>
    <x v="10"/>
    <x v="2"/>
    <x v="5"/>
    <x v="5"/>
    <x v="124"/>
    <n v="3.85"/>
    <d v="2021-11-01T00:00:00"/>
    <n v="11"/>
    <s v="Q4"/>
    <x v="34"/>
    <s v="Medium"/>
  </r>
  <r>
    <x v="2"/>
    <x v="10"/>
    <x v="2"/>
    <x v="6"/>
    <x v="6"/>
    <x v="134"/>
    <n v="3.93"/>
    <d v="2021-11-01T00:00:00"/>
    <n v="11"/>
    <s v="Q4"/>
    <x v="34"/>
    <s v="Medium"/>
  </r>
  <r>
    <x v="2"/>
    <x v="11"/>
    <x v="0"/>
    <x v="0"/>
    <x v="0"/>
    <x v="64"/>
    <n v="2.7"/>
    <d v="2021-12-01T00:00:00"/>
    <n v="12"/>
    <s v="Q4"/>
    <x v="35"/>
    <s v="Medium"/>
  </r>
  <r>
    <x v="2"/>
    <x v="11"/>
    <x v="0"/>
    <x v="1"/>
    <x v="1"/>
    <x v="80"/>
    <n v="2.78"/>
    <d v="2021-12-01T00:00:00"/>
    <n v="12"/>
    <s v="Q4"/>
    <x v="35"/>
    <s v="Medium"/>
  </r>
  <r>
    <x v="2"/>
    <x v="11"/>
    <x v="0"/>
    <x v="2"/>
    <x v="2"/>
    <x v="92"/>
    <n v="2.86"/>
    <d v="2021-12-01T00:00:00"/>
    <n v="12"/>
    <s v="Q4"/>
    <x v="35"/>
    <s v="Medium"/>
  </r>
  <r>
    <x v="2"/>
    <x v="11"/>
    <x v="0"/>
    <x v="3"/>
    <x v="3"/>
    <x v="102"/>
    <n v="2.94"/>
    <d v="2021-12-01T00:00:00"/>
    <n v="12"/>
    <s v="Q4"/>
    <x v="35"/>
    <s v="Medium"/>
  </r>
  <r>
    <x v="2"/>
    <x v="11"/>
    <x v="0"/>
    <x v="4"/>
    <x v="4"/>
    <x v="113"/>
    <n v="3.02"/>
    <d v="2021-12-01T00:00:00"/>
    <n v="12"/>
    <s v="Q4"/>
    <x v="35"/>
    <s v="Medium"/>
  </r>
  <r>
    <x v="2"/>
    <x v="11"/>
    <x v="0"/>
    <x v="5"/>
    <x v="5"/>
    <x v="120"/>
    <n v="3.1"/>
    <d v="2021-12-01T00:00:00"/>
    <n v="12"/>
    <s v="Q4"/>
    <x v="35"/>
    <s v="Medium"/>
  </r>
  <r>
    <x v="2"/>
    <x v="11"/>
    <x v="0"/>
    <x v="6"/>
    <x v="6"/>
    <x v="130"/>
    <n v="3.18"/>
    <d v="2021-12-01T00:00:00"/>
    <n v="12"/>
    <s v="Q4"/>
    <x v="35"/>
    <s v="Medium"/>
  </r>
  <r>
    <x v="2"/>
    <x v="11"/>
    <x v="1"/>
    <x v="0"/>
    <x v="0"/>
    <x v="75"/>
    <n v="2.7"/>
    <d v="2021-12-01T00:00:00"/>
    <n v="12"/>
    <s v="Q4"/>
    <x v="35"/>
    <s v="Medium"/>
  </r>
  <r>
    <x v="2"/>
    <x v="11"/>
    <x v="1"/>
    <x v="1"/>
    <x v="1"/>
    <x v="85"/>
    <n v="2.78"/>
    <d v="2021-12-01T00:00:00"/>
    <n v="12"/>
    <s v="Q4"/>
    <x v="35"/>
    <s v="Medium"/>
  </r>
  <r>
    <x v="2"/>
    <x v="11"/>
    <x v="1"/>
    <x v="2"/>
    <x v="2"/>
    <x v="93"/>
    <n v="2.86"/>
    <d v="2021-12-01T00:00:00"/>
    <n v="12"/>
    <s v="Q4"/>
    <x v="35"/>
    <s v="Medium"/>
  </r>
  <r>
    <x v="2"/>
    <x v="11"/>
    <x v="1"/>
    <x v="3"/>
    <x v="3"/>
    <x v="103"/>
    <n v="2.94"/>
    <d v="2021-12-01T00:00:00"/>
    <n v="12"/>
    <s v="Q4"/>
    <x v="35"/>
    <s v="Medium"/>
  </r>
  <r>
    <x v="2"/>
    <x v="11"/>
    <x v="1"/>
    <x v="4"/>
    <x v="4"/>
    <x v="114"/>
    <n v="3.02"/>
    <d v="2021-12-01T00:00:00"/>
    <n v="12"/>
    <s v="Q4"/>
    <x v="35"/>
    <s v="Medium"/>
  </r>
  <r>
    <x v="2"/>
    <x v="11"/>
    <x v="1"/>
    <x v="5"/>
    <x v="5"/>
    <x v="125"/>
    <n v="3.1"/>
    <d v="2021-12-01T00:00:00"/>
    <n v="12"/>
    <s v="Q4"/>
    <x v="35"/>
    <s v="Medium"/>
  </r>
  <r>
    <x v="2"/>
    <x v="11"/>
    <x v="1"/>
    <x v="6"/>
    <x v="6"/>
    <x v="135"/>
    <n v="3.18"/>
    <d v="2021-12-01T00:00:00"/>
    <n v="12"/>
    <s v="Q4"/>
    <x v="35"/>
    <s v="Medium"/>
  </r>
  <r>
    <x v="2"/>
    <x v="11"/>
    <x v="2"/>
    <x v="0"/>
    <x v="0"/>
    <x v="76"/>
    <n v="2.7"/>
    <d v="2021-12-01T00:00:00"/>
    <n v="12"/>
    <s v="Q4"/>
    <x v="35"/>
    <s v="Medium"/>
  </r>
  <r>
    <x v="2"/>
    <x v="11"/>
    <x v="2"/>
    <x v="1"/>
    <x v="1"/>
    <x v="86"/>
    <n v="2.78"/>
    <d v="2021-12-01T00:00:00"/>
    <n v="12"/>
    <s v="Q4"/>
    <x v="35"/>
    <s v="Medium"/>
  </r>
  <r>
    <x v="2"/>
    <x v="11"/>
    <x v="2"/>
    <x v="2"/>
    <x v="2"/>
    <x v="98"/>
    <n v="2.86"/>
    <d v="2021-12-01T00:00:00"/>
    <n v="12"/>
    <s v="Q4"/>
    <x v="35"/>
    <s v="Medium"/>
  </r>
  <r>
    <x v="2"/>
    <x v="11"/>
    <x v="2"/>
    <x v="3"/>
    <x v="3"/>
    <x v="108"/>
    <n v="2.94"/>
    <d v="2021-12-01T00:00:00"/>
    <n v="12"/>
    <s v="Q4"/>
    <x v="35"/>
    <s v="Medium"/>
  </r>
  <r>
    <x v="2"/>
    <x v="11"/>
    <x v="2"/>
    <x v="4"/>
    <x v="4"/>
    <x v="115"/>
    <n v="3.02"/>
    <d v="2021-12-01T00:00:00"/>
    <n v="12"/>
    <s v="Q4"/>
    <x v="35"/>
    <s v="Medium"/>
  </r>
  <r>
    <x v="2"/>
    <x v="11"/>
    <x v="2"/>
    <x v="5"/>
    <x v="5"/>
    <x v="126"/>
    <n v="3.1"/>
    <d v="2021-12-01T00:00:00"/>
    <n v="12"/>
    <s v="Q4"/>
    <x v="35"/>
    <s v="Medium"/>
  </r>
  <r>
    <x v="2"/>
    <x v="11"/>
    <x v="2"/>
    <x v="6"/>
    <x v="6"/>
    <x v="136"/>
    <n v="3.18"/>
    <d v="2021-12-01T00:00:00"/>
    <n v="12"/>
    <s v="Q4"/>
    <x v="35"/>
    <s v="Medium"/>
  </r>
  <r>
    <x v="3"/>
    <x v="0"/>
    <x v="0"/>
    <x v="0"/>
    <x v="0"/>
    <x v="75"/>
    <n v="3.2"/>
    <d v="2022-01-01T00:00:00"/>
    <n v="1"/>
    <s v="Q1"/>
    <x v="36"/>
    <s v="Medium"/>
  </r>
  <r>
    <x v="3"/>
    <x v="0"/>
    <x v="0"/>
    <x v="1"/>
    <x v="1"/>
    <x v="85"/>
    <n v="3.28"/>
    <d v="2022-01-01T00:00:00"/>
    <n v="1"/>
    <s v="Q1"/>
    <x v="36"/>
    <s v="Medium"/>
  </r>
  <r>
    <x v="3"/>
    <x v="0"/>
    <x v="0"/>
    <x v="2"/>
    <x v="2"/>
    <x v="93"/>
    <n v="3.36"/>
    <d v="2022-01-01T00:00:00"/>
    <n v="1"/>
    <s v="Q1"/>
    <x v="36"/>
    <s v="Medium"/>
  </r>
  <r>
    <x v="3"/>
    <x v="0"/>
    <x v="0"/>
    <x v="3"/>
    <x v="3"/>
    <x v="103"/>
    <n v="3.44"/>
    <d v="2022-01-01T00:00:00"/>
    <n v="1"/>
    <s v="Q1"/>
    <x v="36"/>
    <s v="Medium"/>
  </r>
  <r>
    <x v="3"/>
    <x v="0"/>
    <x v="0"/>
    <x v="4"/>
    <x v="4"/>
    <x v="114"/>
    <n v="3.52"/>
    <d v="2022-01-01T00:00:00"/>
    <n v="1"/>
    <s v="Q1"/>
    <x v="36"/>
    <s v="Medium"/>
  </r>
  <r>
    <x v="3"/>
    <x v="0"/>
    <x v="0"/>
    <x v="5"/>
    <x v="5"/>
    <x v="125"/>
    <n v="3.6"/>
    <d v="2022-01-01T00:00:00"/>
    <n v="1"/>
    <s v="Q1"/>
    <x v="36"/>
    <s v="Medium"/>
  </r>
  <r>
    <x v="3"/>
    <x v="0"/>
    <x v="0"/>
    <x v="6"/>
    <x v="6"/>
    <x v="135"/>
    <n v="3.68"/>
    <d v="2022-01-01T00:00:00"/>
    <n v="1"/>
    <s v="Q1"/>
    <x v="36"/>
    <s v="Medium"/>
  </r>
  <r>
    <x v="3"/>
    <x v="0"/>
    <x v="1"/>
    <x v="0"/>
    <x v="0"/>
    <x v="76"/>
    <n v="3.2"/>
    <d v="2022-01-01T00:00:00"/>
    <n v="1"/>
    <s v="Q1"/>
    <x v="36"/>
    <s v="Medium"/>
  </r>
  <r>
    <x v="3"/>
    <x v="0"/>
    <x v="1"/>
    <x v="1"/>
    <x v="1"/>
    <x v="86"/>
    <n v="3.28"/>
    <d v="2022-01-01T00:00:00"/>
    <n v="1"/>
    <s v="Q1"/>
    <x v="36"/>
    <s v="Medium"/>
  </r>
  <r>
    <x v="3"/>
    <x v="0"/>
    <x v="1"/>
    <x v="2"/>
    <x v="2"/>
    <x v="98"/>
    <n v="3.36"/>
    <d v="2022-01-01T00:00:00"/>
    <n v="1"/>
    <s v="Q1"/>
    <x v="36"/>
    <s v="Medium"/>
  </r>
  <r>
    <x v="3"/>
    <x v="0"/>
    <x v="1"/>
    <x v="3"/>
    <x v="3"/>
    <x v="108"/>
    <n v="3.44"/>
    <d v="2022-01-01T00:00:00"/>
    <n v="1"/>
    <s v="Q1"/>
    <x v="36"/>
    <s v="Medium"/>
  </r>
  <r>
    <x v="3"/>
    <x v="0"/>
    <x v="1"/>
    <x v="4"/>
    <x v="4"/>
    <x v="115"/>
    <n v="3.52"/>
    <d v="2022-01-01T00:00:00"/>
    <n v="1"/>
    <s v="Q1"/>
    <x v="36"/>
    <s v="Medium"/>
  </r>
  <r>
    <x v="3"/>
    <x v="0"/>
    <x v="1"/>
    <x v="5"/>
    <x v="5"/>
    <x v="126"/>
    <n v="3.6"/>
    <d v="2022-01-01T00:00:00"/>
    <n v="1"/>
    <s v="Q1"/>
    <x v="36"/>
    <s v="Medium"/>
  </r>
  <r>
    <x v="3"/>
    <x v="0"/>
    <x v="1"/>
    <x v="6"/>
    <x v="6"/>
    <x v="136"/>
    <n v="3.68"/>
    <d v="2022-01-01T00:00:00"/>
    <n v="1"/>
    <s v="Q1"/>
    <x v="36"/>
    <s v="Medium"/>
  </r>
  <r>
    <x v="3"/>
    <x v="0"/>
    <x v="2"/>
    <x v="0"/>
    <x v="0"/>
    <x v="81"/>
    <n v="3.2"/>
    <d v="2022-01-01T00:00:00"/>
    <n v="1"/>
    <s v="Q1"/>
    <x v="36"/>
    <s v="Medium"/>
  </r>
  <r>
    <x v="3"/>
    <x v="0"/>
    <x v="2"/>
    <x v="1"/>
    <x v="1"/>
    <x v="87"/>
    <n v="3.28"/>
    <d v="2022-01-01T00:00:00"/>
    <n v="1"/>
    <s v="Q1"/>
    <x v="36"/>
    <s v="Medium"/>
  </r>
  <r>
    <x v="3"/>
    <x v="0"/>
    <x v="2"/>
    <x v="2"/>
    <x v="2"/>
    <x v="99"/>
    <n v="3.36"/>
    <d v="2022-01-01T00:00:00"/>
    <n v="1"/>
    <s v="Q1"/>
    <x v="36"/>
    <s v="Medium"/>
  </r>
  <r>
    <x v="3"/>
    <x v="0"/>
    <x v="2"/>
    <x v="3"/>
    <x v="3"/>
    <x v="109"/>
    <n v="3.44"/>
    <d v="2022-01-01T00:00:00"/>
    <n v="1"/>
    <s v="Q1"/>
    <x v="36"/>
    <s v="Medium"/>
  </r>
  <r>
    <x v="3"/>
    <x v="0"/>
    <x v="2"/>
    <x v="4"/>
    <x v="4"/>
    <x v="121"/>
    <n v="3.52"/>
    <d v="2022-01-01T00:00:00"/>
    <n v="1"/>
    <s v="Q1"/>
    <x v="36"/>
    <s v="Medium"/>
  </r>
  <r>
    <x v="3"/>
    <x v="0"/>
    <x v="2"/>
    <x v="5"/>
    <x v="5"/>
    <x v="131"/>
    <n v="3.6"/>
    <d v="2022-01-01T00:00:00"/>
    <n v="1"/>
    <s v="Q1"/>
    <x v="36"/>
    <s v="Medium"/>
  </r>
  <r>
    <x v="3"/>
    <x v="0"/>
    <x v="2"/>
    <x v="6"/>
    <x v="6"/>
    <x v="137"/>
    <n v="3.68"/>
    <d v="2022-01-01T00:00:00"/>
    <n v="1"/>
    <s v="Q1"/>
    <x v="36"/>
    <s v="Medium"/>
  </r>
  <r>
    <x v="3"/>
    <x v="1"/>
    <x v="0"/>
    <x v="0"/>
    <x v="0"/>
    <x v="77"/>
    <n v="3.35"/>
    <d v="2022-02-01T00:00:00"/>
    <n v="2"/>
    <s v="Q1"/>
    <x v="37"/>
    <s v="Medium"/>
  </r>
  <r>
    <x v="3"/>
    <x v="1"/>
    <x v="0"/>
    <x v="1"/>
    <x v="1"/>
    <x v="88"/>
    <n v="3.43"/>
    <d v="2022-02-01T00:00:00"/>
    <n v="2"/>
    <s v="Q1"/>
    <x v="37"/>
    <s v="Medium"/>
  </r>
  <r>
    <x v="3"/>
    <x v="1"/>
    <x v="0"/>
    <x v="2"/>
    <x v="2"/>
    <x v="95"/>
    <n v="3.51"/>
    <d v="2022-02-01T00:00:00"/>
    <n v="2"/>
    <s v="Q1"/>
    <x v="37"/>
    <s v="Medium"/>
  </r>
  <r>
    <x v="3"/>
    <x v="1"/>
    <x v="0"/>
    <x v="3"/>
    <x v="3"/>
    <x v="105"/>
    <n v="3.59"/>
    <d v="2022-02-01T00:00:00"/>
    <n v="2"/>
    <s v="Q1"/>
    <x v="37"/>
    <s v="Medium"/>
  </r>
  <r>
    <x v="3"/>
    <x v="1"/>
    <x v="0"/>
    <x v="4"/>
    <x v="4"/>
    <x v="117"/>
    <n v="3.67"/>
    <d v="2022-02-01T00:00:00"/>
    <n v="2"/>
    <s v="Q1"/>
    <x v="37"/>
    <s v="Medium"/>
  </r>
  <r>
    <x v="3"/>
    <x v="1"/>
    <x v="0"/>
    <x v="5"/>
    <x v="5"/>
    <x v="127"/>
    <n v="3.75"/>
    <d v="2022-02-01T00:00:00"/>
    <n v="2"/>
    <s v="Q1"/>
    <x v="37"/>
    <s v="Medium"/>
  </r>
  <r>
    <x v="3"/>
    <x v="1"/>
    <x v="0"/>
    <x v="6"/>
    <x v="6"/>
    <x v="138"/>
    <n v="3.83"/>
    <d v="2022-02-01T00:00:00"/>
    <n v="2"/>
    <s v="Q1"/>
    <x v="37"/>
    <s v="Medium"/>
  </r>
  <r>
    <x v="3"/>
    <x v="1"/>
    <x v="1"/>
    <x v="0"/>
    <x v="0"/>
    <x v="78"/>
    <n v="3.35"/>
    <d v="2022-02-01T00:00:00"/>
    <n v="2"/>
    <s v="Q1"/>
    <x v="37"/>
    <s v="Medium"/>
  </r>
  <r>
    <x v="3"/>
    <x v="1"/>
    <x v="1"/>
    <x v="1"/>
    <x v="1"/>
    <x v="89"/>
    <n v="3.43"/>
    <d v="2022-02-01T00:00:00"/>
    <n v="2"/>
    <s v="Q1"/>
    <x v="37"/>
    <s v="Medium"/>
  </r>
  <r>
    <x v="3"/>
    <x v="1"/>
    <x v="1"/>
    <x v="2"/>
    <x v="2"/>
    <x v="100"/>
    <n v="3.51"/>
    <d v="2022-02-01T00:00:00"/>
    <n v="2"/>
    <s v="Q1"/>
    <x v="37"/>
    <s v="Medium"/>
  </r>
  <r>
    <x v="3"/>
    <x v="1"/>
    <x v="1"/>
    <x v="3"/>
    <x v="3"/>
    <x v="110"/>
    <n v="3.59"/>
    <d v="2022-02-01T00:00:00"/>
    <n v="2"/>
    <s v="Q1"/>
    <x v="37"/>
    <s v="Medium"/>
  </r>
  <r>
    <x v="3"/>
    <x v="1"/>
    <x v="1"/>
    <x v="4"/>
    <x v="4"/>
    <x v="118"/>
    <n v="3.67"/>
    <d v="2022-02-01T00:00:00"/>
    <n v="2"/>
    <s v="Q1"/>
    <x v="37"/>
    <s v="Medium"/>
  </r>
  <r>
    <x v="3"/>
    <x v="1"/>
    <x v="1"/>
    <x v="5"/>
    <x v="5"/>
    <x v="128"/>
    <n v="3.75"/>
    <d v="2022-02-01T00:00:00"/>
    <n v="2"/>
    <s v="Q1"/>
    <x v="37"/>
    <s v="Medium"/>
  </r>
  <r>
    <x v="3"/>
    <x v="1"/>
    <x v="1"/>
    <x v="6"/>
    <x v="6"/>
    <x v="139"/>
    <n v="3.83"/>
    <d v="2022-02-01T00:00:00"/>
    <n v="2"/>
    <s v="Q1"/>
    <x v="37"/>
    <s v="Medium"/>
  </r>
  <r>
    <x v="3"/>
    <x v="1"/>
    <x v="2"/>
    <x v="0"/>
    <x v="0"/>
    <x v="83"/>
    <n v="3.35"/>
    <d v="2022-02-01T00:00:00"/>
    <n v="2"/>
    <s v="Q1"/>
    <x v="37"/>
    <s v="Medium"/>
  </r>
  <r>
    <x v="3"/>
    <x v="1"/>
    <x v="2"/>
    <x v="1"/>
    <x v="1"/>
    <x v="90"/>
    <n v="3.43"/>
    <d v="2022-02-01T00:00:00"/>
    <n v="2"/>
    <s v="Q1"/>
    <x v="37"/>
    <s v="Medium"/>
  </r>
  <r>
    <x v="3"/>
    <x v="1"/>
    <x v="2"/>
    <x v="2"/>
    <x v="2"/>
    <x v="101"/>
    <n v="3.51"/>
    <d v="2022-02-01T00:00:00"/>
    <n v="2"/>
    <s v="Q1"/>
    <x v="37"/>
    <s v="Medium"/>
  </r>
  <r>
    <x v="3"/>
    <x v="1"/>
    <x v="2"/>
    <x v="3"/>
    <x v="3"/>
    <x v="111"/>
    <n v="3.59"/>
    <d v="2022-02-01T00:00:00"/>
    <n v="2"/>
    <s v="Q1"/>
    <x v="37"/>
    <s v="Medium"/>
  </r>
  <r>
    <x v="3"/>
    <x v="1"/>
    <x v="2"/>
    <x v="4"/>
    <x v="4"/>
    <x v="123"/>
    <n v="3.67"/>
    <d v="2022-02-01T00:00:00"/>
    <n v="2"/>
    <s v="Q1"/>
    <x v="37"/>
    <s v="Medium"/>
  </r>
  <r>
    <x v="3"/>
    <x v="1"/>
    <x v="2"/>
    <x v="5"/>
    <x v="5"/>
    <x v="133"/>
    <n v="3.75"/>
    <d v="2022-02-01T00:00:00"/>
    <n v="2"/>
    <s v="Q1"/>
    <x v="37"/>
    <s v="Medium"/>
  </r>
  <r>
    <x v="3"/>
    <x v="1"/>
    <x v="2"/>
    <x v="6"/>
    <x v="6"/>
    <x v="140"/>
    <n v="3.83"/>
    <d v="2022-02-01T00:00:00"/>
    <n v="2"/>
    <s v="Q1"/>
    <x v="37"/>
    <s v="Medium"/>
  </r>
  <r>
    <x v="3"/>
    <x v="2"/>
    <x v="0"/>
    <x v="0"/>
    <x v="0"/>
    <x v="79"/>
    <n v="3.5"/>
    <d v="2022-03-01T00:00:00"/>
    <n v="3"/>
    <s v="Q1"/>
    <x v="38"/>
    <s v="Medium"/>
  </r>
  <r>
    <x v="3"/>
    <x v="2"/>
    <x v="0"/>
    <x v="1"/>
    <x v="1"/>
    <x v="91"/>
    <n v="3.58"/>
    <d v="2022-03-01T00:00:00"/>
    <n v="3"/>
    <s v="Q1"/>
    <x v="38"/>
    <s v="Medium"/>
  </r>
  <r>
    <x v="3"/>
    <x v="2"/>
    <x v="0"/>
    <x v="2"/>
    <x v="2"/>
    <x v="97"/>
    <n v="3.66"/>
    <d v="2022-03-01T00:00:00"/>
    <n v="3"/>
    <s v="Q1"/>
    <x v="38"/>
    <s v="Medium"/>
  </r>
  <r>
    <x v="3"/>
    <x v="2"/>
    <x v="0"/>
    <x v="3"/>
    <x v="3"/>
    <x v="107"/>
    <n v="3.74"/>
    <d v="2022-03-01T00:00:00"/>
    <n v="3"/>
    <s v="Q1"/>
    <x v="38"/>
    <s v="Medium"/>
  </r>
  <r>
    <x v="3"/>
    <x v="2"/>
    <x v="0"/>
    <x v="4"/>
    <x v="4"/>
    <x v="119"/>
    <n v="3.82"/>
    <d v="2022-03-01T00:00:00"/>
    <n v="3"/>
    <s v="Q1"/>
    <x v="38"/>
    <s v="Medium"/>
  </r>
  <r>
    <x v="3"/>
    <x v="2"/>
    <x v="0"/>
    <x v="5"/>
    <x v="5"/>
    <x v="129"/>
    <n v="3.9"/>
    <d v="2022-03-01T00:00:00"/>
    <n v="3"/>
    <s v="Q1"/>
    <x v="38"/>
    <s v="Medium"/>
  </r>
  <r>
    <x v="3"/>
    <x v="2"/>
    <x v="0"/>
    <x v="6"/>
    <x v="6"/>
    <x v="141"/>
    <n v="3.98"/>
    <d v="2022-03-01T00:00:00"/>
    <n v="3"/>
    <s v="Q1"/>
    <x v="38"/>
    <s v="Medium"/>
  </r>
  <r>
    <x v="3"/>
    <x v="2"/>
    <x v="1"/>
    <x v="0"/>
    <x v="0"/>
    <x v="80"/>
    <n v="3.5"/>
    <d v="2022-03-01T00:00:00"/>
    <n v="3"/>
    <s v="Q1"/>
    <x v="38"/>
    <s v="Medium"/>
  </r>
  <r>
    <x v="3"/>
    <x v="2"/>
    <x v="1"/>
    <x v="1"/>
    <x v="1"/>
    <x v="92"/>
    <n v="3.58"/>
    <d v="2022-03-01T00:00:00"/>
    <n v="3"/>
    <s v="Q1"/>
    <x v="38"/>
    <s v="Medium"/>
  </r>
  <r>
    <x v="3"/>
    <x v="2"/>
    <x v="1"/>
    <x v="2"/>
    <x v="2"/>
    <x v="102"/>
    <n v="3.66"/>
    <d v="2022-03-01T00:00:00"/>
    <n v="3"/>
    <s v="Q1"/>
    <x v="38"/>
    <s v="Medium"/>
  </r>
  <r>
    <x v="3"/>
    <x v="2"/>
    <x v="1"/>
    <x v="3"/>
    <x v="3"/>
    <x v="113"/>
    <n v="3.74"/>
    <d v="2022-03-01T00:00:00"/>
    <n v="3"/>
    <s v="Q1"/>
    <x v="38"/>
    <s v="Medium"/>
  </r>
  <r>
    <x v="3"/>
    <x v="2"/>
    <x v="1"/>
    <x v="4"/>
    <x v="4"/>
    <x v="120"/>
    <n v="3.82"/>
    <d v="2022-03-01T00:00:00"/>
    <n v="3"/>
    <s v="Q1"/>
    <x v="38"/>
    <s v="Medium"/>
  </r>
  <r>
    <x v="3"/>
    <x v="2"/>
    <x v="1"/>
    <x v="5"/>
    <x v="5"/>
    <x v="130"/>
    <n v="3.9"/>
    <d v="2022-03-01T00:00:00"/>
    <n v="3"/>
    <s v="Q1"/>
    <x v="38"/>
    <s v="Medium"/>
  </r>
  <r>
    <x v="3"/>
    <x v="2"/>
    <x v="1"/>
    <x v="6"/>
    <x v="6"/>
    <x v="142"/>
    <n v="3.98"/>
    <d v="2022-03-01T00:00:00"/>
    <n v="3"/>
    <s v="Q1"/>
    <x v="38"/>
    <s v="Medium"/>
  </r>
  <r>
    <x v="3"/>
    <x v="2"/>
    <x v="2"/>
    <x v="0"/>
    <x v="0"/>
    <x v="85"/>
    <n v="3.5"/>
    <d v="2022-03-01T00:00:00"/>
    <n v="3"/>
    <s v="Q1"/>
    <x v="38"/>
    <s v="Medium"/>
  </r>
  <r>
    <x v="3"/>
    <x v="2"/>
    <x v="2"/>
    <x v="1"/>
    <x v="1"/>
    <x v="93"/>
    <n v="3.58"/>
    <d v="2022-03-01T00:00:00"/>
    <n v="3"/>
    <s v="Q1"/>
    <x v="38"/>
    <s v="Medium"/>
  </r>
  <r>
    <x v="3"/>
    <x v="2"/>
    <x v="2"/>
    <x v="2"/>
    <x v="2"/>
    <x v="103"/>
    <n v="3.66"/>
    <d v="2022-03-01T00:00:00"/>
    <n v="3"/>
    <s v="Q1"/>
    <x v="38"/>
    <s v="Medium"/>
  </r>
  <r>
    <x v="3"/>
    <x v="2"/>
    <x v="2"/>
    <x v="3"/>
    <x v="3"/>
    <x v="114"/>
    <n v="3.74"/>
    <d v="2022-03-01T00:00:00"/>
    <n v="3"/>
    <s v="Q1"/>
    <x v="38"/>
    <s v="Medium"/>
  </r>
  <r>
    <x v="3"/>
    <x v="2"/>
    <x v="2"/>
    <x v="4"/>
    <x v="4"/>
    <x v="125"/>
    <n v="3.82"/>
    <d v="2022-03-01T00:00:00"/>
    <n v="3"/>
    <s v="Q1"/>
    <x v="38"/>
    <s v="Medium"/>
  </r>
  <r>
    <x v="3"/>
    <x v="2"/>
    <x v="2"/>
    <x v="5"/>
    <x v="5"/>
    <x v="135"/>
    <n v="3.9"/>
    <d v="2022-03-01T00:00:00"/>
    <n v="3"/>
    <s v="Q1"/>
    <x v="38"/>
    <s v="Medium"/>
  </r>
  <r>
    <x v="3"/>
    <x v="2"/>
    <x v="2"/>
    <x v="6"/>
    <x v="6"/>
    <x v="143"/>
    <n v="3.98"/>
    <d v="2022-03-01T00:00:00"/>
    <n v="3"/>
    <s v="Q1"/>
    <x v="38"/>
    <s v="Medium"/>
  </r>
  <r>
    <x v="3"/>
    <x v="3"/>
    <x v="0"/>
    <x v="0"/>
    <x v="0"/>
    <x v="81"/>
    <n v="3.65"/>
    <d v="2022-04-01T00:00:00"/>
    <n v="4"/>
    <s v="Q2"/>
    <x v="39"/>
    <s v="Medium"/>
  </r>
  <r>
    <x v="3"/>
    <x v="3"/>
    <x v="0"/>
    <x v="1"/>
    <x v="1"/>
    <x v="87"/>
    <n v="3.73"/>
    <d v="2022-04-01T00:00:00"/>
    <n v="4"/>
    <s v="Q2"/>
    <x v="39"/>
    <s v="Medium"/>
  </r>
  <r>
    <x v="3"/>
    <x v="3"/>
    <x v="0"/>
    <x v="2"/>
    <x v="2"/>
    <x v="99"/>
    <n v="3.81"/>
    <d v="2022-04-01T00:00:00"/>
    <n v="4"/>
    <s v="Q2"/>
    <x v="39"/>
    <s v="Medium"/>
  </r>
  <r>
    <x v="3"/>
    <x v="3"/>
    <x v="0"/>
    <x v="3"/>
    <x v="3"/>
    <x v="109"/>
    <n v="3.89"/>
    <d v="2022-04-01T00:00:00"/>
    <n v="4"/>
    <s v="Q2"/>
    <x v="39"/>
    <s v="Medium"/>
  </r>
  <r>
    <x v="3"/>
    <x v="3"/>
    <x v="0"/>
    <x v="4"/>
    <x v="4"/>
    <x v="121"/>
    <n v="3.97"/>
    <d v="2022-04-01T00:00:00"/>
    <n v="4"/>
    <s v="Q2"/>
    <x v="39"/>
    <s v="Medium"/>
  </r>
  <r>
    <x v="3"/>
    <x v="3"/>
    <x v="0"/>
    <x v="5"/>
    <x v="5"/>
    <x v="131"/>
    <n v="4.05"/>
    <d v="2022-04-01T00:00:00"/>
    <n v="4"/>
    <s v="Q2"/>
    <x v="39"/>
    <s v="Medium"/>
  </r>
  <r>
    <x v="3"/>
    <x v="3"/>
    <x v="0"/>
    <x v="6"/>
    <x v="6"/>
    <x v="137"/>
    <n v="4.13"/>
    <d v="2022-04-01T00:00:00"/>
    <n v="4"/>
    <s v="Q2"/>
    <x v="39"/>
    <s v="Medium"/>
  </r>
  <r>
    <x v="3"/>
    <x v="3"/>
    <x v="1"/>
    <x v="0"/>
    <x v="0"/>
    <x v="82"/>
    <n v="3.65"/>
    <d v="2022-04-01T00:00:00"/>
    <n v="4"/>
    <s v="Q2"/>
    <x v="39"/>
    <s v="Medium"/>
  </r>
  <r>
    <x v="3"/>
    <x v="3"/>
    <x v="1"/>
    <x v="1"/>
    <x v="1"/>
    <x v="94"/>
    <n v="3.73"/>
    <d v="2022-04-01T00:00:00"/>
    <n v="4"/>
    <s v="Q2"/>
    <x v="39"/>
    <s v="Medium"/>
  </r>
  <r>
    <x v="3"/>
    <x v="3"/>
    <x v="1"/>
    <x v="2"/>
    <x v="2"/>
    <x v="104"/>
    <n v="3.81"/>
    <d v="2022-04-01T00:00:00"/>
    <n v="4"/>
    <s v="Q2"/>
    <x v="39"/>
    <s v="Medium"/>
  </r>
  <r>
    <x v="3"/>
    <x v="3"/>
    <x v="1"/>
    <x v="3"/>
    <x v="3"/>
    <x v="116"/>
    <n v="3.89"/>
    <d v="2022-04-01T00:00:00"/>
    <n v="4"/>
    <s v="Q2"/>
    <x v="39"/>
    <s v="Medium"/>
  </r>
  <r>
    <x v="3"/>
    <x v="3"/>
    <x v="1"/>
    <x v="4"/>
    <x v="4"/>
    <x v="122"/>
    <n v="3.97"/>
    <d v="2022-04-01T00:00:00"/>
    <n v="4"/>
    <s v="Q2"/>
    <x v="39"/>
    <s v="Medium"/>
  </r>
  <r>
    <x v="3"/>
    <x v="3"/>
    <x v="1"/>
    <x v="5"/>
    <x v="5"/>
    <x v="132"/>
    <n v="4.05"/>
    <d v="2022-04-01T00:00:00"/>
    <n v="4"/>
    <s v="Q2"/>
    <x v="39"/>
    <s v="Medium"/>
  </r>
  <r>
    <x v="3"/>
    <x v="3"/>
    <x v="1"/>
    <x v="6"/>
    <x v="6"/>
    <x v="144"/>
    <n v="4.13"/>
    <d v="2022-04-01T00:00:00"/>
    <n v="4"/>
    <s v="Q2"/>
    <x v="39"/>
    <s v="Medium"/>
  </r>
  <r>
    <x v="3"/>
    <x v="3"/>
    <x v="2"/>
    <x v="0"/>
    <x v="0"/>
    <x v="88"/>
    <n v="3.65"/>
    <d v="2022-04-01T00:00:00"/>
    <n v="4"/>
    <s v="Q2"/>
    <x v="39"/>
    <s v="Medium"/>
  </r>
  <r>
    <x v="3"/>
    <x v="3"/>
    <x v="2"/>
    <x v="1"/>
    <x v="1"/>
    <x v="95"/>
    <n v="3.73"/>
    <d v="2022-04-01T00:00:00"/>
    <n v="4"/>
    <s v="Q2"/>
    <x v="39"/>
    <s v="Medium"/>
  </r>
  <r>
    <x v="3"/>
    <x v="3"/>
    <x v="2"/>
    <x v="2"/>
    <x v="2"/>
    <x v="105"/>
    <n v="3.81"/>
    <d v="2022-04-01T00:00:00"/>
    <n v="4"/>
    <s v="Q2"/>
    <x v="39"/>
    <s v="Medium"/>
  </r>
  <r>
    <x v="3"/>
    <x v="3"/>
    <x v="2"/>
    <x v="3"/>
    <x v="3"/>
    <x v="117"/>
    <n v="3.89"/>
    <d v="2022-04-01T00:00:00"/>
    <n v="4"/>
    <s v="Q2"/>
    <x v="39"/>
    <s v="Medium"/>
  </r>
  <r>
    <x v="3"/>
    <x v="3"/>
    <x v="2"/>
    <x v="4"/>
    <x v="4"/>
    <x v="127"/>
    <n v="3.97"/>
    <d v="2022-04-01T00:00:00"/>
    <n v="4"/>
    <s v="Q2"/>
    <x v="39"/>
    <s v="Medium"/>
  </r>
  <r>
    <x v="3"/>
    <x v="3"/>
    <x v="2"/>
    <x v="5"/>
    <x v="5"/>
    <x v="138"/>
    <n v="4.05"/>
    <d v="2022-04-01T00:00:00"/>
    <n v="4"/>
    <s v="Q2"/>
    <x v="39"/>
    <s v="Medium"/>
  </r>
  <r>
    <x v="3"/>
    <x v="3"/>
    <x v="2"/>
    <x v="6"/>
    <x v="6"/>
    <x v="145"/>
    <n v="4.13"/>
    <d v="2022-04-01T00:00:00"/>
    <n v="4"/>
    <s v="Q2"/>
    <x v="39"/>
    <s v="Medium"/>
  </r>
  <r>
    <x v="3"/>
    <x v="4"/>
    <x v="0"/>
    <x v="0"/>
    <x v="0"/>
    <x v="83"/>
    <n v="3.8"/>
    <d v="2022-05-01T00:00:00"/>
    <n v="5"/>
    <s v="Q2"/>
    <x v="40"/>
    <s v="Medium"/>
  </r>
  <r>
    <x v="3"/>
    <x v="4"/>
    <x v="0"/>
    <x v="1"/>
    <x v="1"/>
    <x v="90"/>
    <n v="3.88"/>
    <d v="2022-05-01T00:00:00"/>
    <n v="5"/>
    <s v="Q2"/>
    <x v="40"/>
    <s v="Medium"/>
  </r>
  <r>
    <x v="3"/>
    <x v="4"/>
    <x v="0"/>
    <x v="2"/>
    <x v="2"/>
    <x v="101"/>
    <n v="3.96"/>
    <d v="2022-05-01T00:00:00"/>
    <n v="5"/>
    <s v="Q2"/>
    <x v="40"/>
    <s v="Medium"/>
  </r>
  <r>
    <x v="3"/>
    <x v="4"/>
    <x v="0"/>
    <x v="3"/>
    <x v="3"/>
    <x v="111"/>
    <n v="4.04"/>
    <d v="2022-05-01T00:00:00"/>
    <n v="5"/>
    <s v="Q2"/>
    <x v="40"/>
    <s v="Medium"/>
  </r>
  <r>
    <x v="3"/>
    <x v="4"/>
    <x v="0"/>
    <x v="4"/>
    <x v="4"/>
    <x v="123"/>
    <n v="4.12"/>
    <d v="2022-05-01T00:00:00"/>
    <n v="5"/>
    <s v="Q2"/>
    <x v="40"/>
    <s v="Medium"/>
  </r>
  <r>
    <x v="3"/>
    <x v="4"/>
    <x v="0"/>
    <x v="5"/>
    <x v="5"/>
    <x v="133"/>
    <n v="4.2"/>
    <d v="2022-05-01T00:00:00"/>
    <n v="5"/>
    <s v="Q2"/>
    <x v="40"/>
    <s v="Medium"/>
  </r>
  <r>
    <x v="3"/>
    <x v="4"/>
    <x v="0"/>
    <x v="6"/>
    <x v="6"/>
    <x v="140"/>
    <n v="4.28"/>
    <d v="2022-05-01T00:00:00"/>
    <n v="5"/>
    <s v="Q2"/>
    <x v="40"/>
    <s v="Medium"/>
  </r>
  <r>
    <x v="3"/>
    <x v="4"/>
    <x v="1"/>
    <x v="0"/>
    <x v="0"/>
    <x v="84"/>
    <n v="3.8"/>
    <d v="2022-05-01T00:00:00"/>
    <n v="5"/>
    <s v="Q2"/>
    <x v="40"/>
    <s v="Medium"/>
  </r>
  <r>
    <x v="3"/>
    <x v="4"/>
    <x v="1"/>
    <x v="1"/>
    <x v="1"/>
    <x v="96"/>
    <n v="3.88"/>
    <d v="2022-05-01T00:00:00"/>
    <n v="5"/>
    <s v="Q2"/>
    <x v="40"/>
    <s v="Medium"/>
  </r>
  <r>
    <x v="3"/>
    <x v="4"/>
    <x v="1"/>
    <x v="2"/>
    <x v="2"/>
    <x v="106"/>
    <n v="3.96"/>
    <d v="2022-05-01T00:00:00"/>
    <n v="5"/>
    <s v="Q2"/>
    <x v="40"/>
    <s v="Medium"/>
  </r>
  <r>
    <x v="3"/>
    <x v="4"/>
    <x v="1"/>
    <x v="3"/>
    <x v="3"/>
    <x v="112"/>
    <n v="4.04"/>
    <d v="2022-05-01T00:00:00"/>
    <n v="5"/>
    <s v="Q2"/>
    <x v="40"/>
    <s v="Medium"/>
  </r>
  <r>
    <x v="3"/>
    <x v="4"/>
    <x v="1"/>
    <x v="4"/>
    <x v="4"/>
    <x v="124"/>
    <n v="4.12"/>
    <d v="2022-05-01T00:00:00"/>
    <n v="5"/>
    <s v="Q2"/>
    <x v="40"/>
    <s v="Medium"/>
  </r>
  <r>
    <x v="3"/>
    <x v="4"/>
    <x v="1"/>
    <x v="5"/>
    <x v="5"/>
    <x v="134"/>
    <n v="4.2"/>
    <d v="2022-05-01T00:00:00"/>
    <n v="5"/>
    <s v="Q2"/>
    <x v="40"/>
    <s v="Medium"/>
  </r>
  <r>
    <x v="3"/>
    <x v="4"/>
    <x v="1"/>
    <x v="6"/>
    <x v="6"/>
    <x v="146"/>
    <n v="4.28"/>
    <d v="2022-05-01T00:00:00"/>
    <n v="5"/>
    <s v="Q2"/>
    <x v="40"/>
    <s v="Medium"/>
  </r>
  <r>
    <x v="3"/>
    <x v="4"/>
    <x v="2"/>
    <x v="0"/>
    <x v="0"/>
    <x v="91"/>
    <n v="3.8"/>
    <d v="2022-05-01T00:00:00"/>
    <n v="5"/>
    <s v="Q2"/>
    <x v="40"/>
    <s v="Medium"/>
  </r>
  <r>
    <x v="3"/>
    <x v="4"/>
    <x v="2"/>
    <x v="1"/>
    <x v="1"/>
    <x v="97"/>
    <n v="3.88"/>
    <d v="2022-05-01T00:00:00"/>
    <n v="5"/>
    <s v="Q2"/>
    <x v="40"/>
    <s v="Medium"/>
  </r>
  <r>
    <x v="3"/>
    <x v="4"/>
    <x v="2"/>
    <x v="2"/>
    <x v="2"/>
    <x v="107"/>
    <n v="3.96"/>
    <d v="2022-05-01T00:00:00"/>
    <n v="5"/>
    <s v="Q2"/>
    <x v="40"/>
    <s v="Medium"/>
  </r>
  <r>
    <x v="3"/>
    <x v="4"/>
    <x v="2"/>
    <x v="3"/>
    <x v="3"/>
    <x v="119"/>
    <n v="4.04"/>
    <d v="2022-05-01T00:00:00"/>
    <n v="5"/>
    <s v="Q2"/>
    <x v="40"/>
    <s v="Medium"/>
  </r>
  <r>
    <x v="3"/>
    <x v="4"/>
    <x v="2"/>
    <x v="4"/>
    <x v="4"/>
    <x v="129"/>
    <n v="4.12"/>
    <d v="2022-05-01T00:00:00"/>
    <n v="5"/>
    <s v="Q2"/>
    <x v="40"/>
    <s v="Medium"/>
  </r>
  <r>
    <x v="3"/>
    <x v="4"/>
    <x v="2"/>
    <x v="5"/>
    <x v="5"/>
    <x v="141"/>
    <n v="4.2"/>
    <d v="2022-05-01T00:00:00"/>
    <n v="5"/>
    <s v="Q2"/>
    <x v="40"/>
    <s v="Medium"/>
  </r>
  <r>
    <x v="3"/>
    <x v="4"/>
    <x v="2"/>
    <x v="6"/>
    <x v="6"/>
    <x v="147"/>
    <n v="4.28"/>
    <d v="2022-05-01T00:00:00"/>
    <n v="5"/>
    <s v="Q2"/>
    <x v="40"/>
    <s v="Medium"/>
  </r>
  <r>
    <x v="3"/>
    <x v="5"/>
    <x v="0"/>
    <x v="0"/>
    <x v="0"/>
    <x v="85"/>
    <n v="3.05"/>
    <d v="2022-06-01T00:00:00"/>
    <n v="6"/>
    <s v="Q2"/>
    <x v="41"/>
    <s v="Medium"/>
  </r>
  <r>
    <x v="3"/>
    <x v="5"/>
    <x v="0"/>
    <x v="1"/>
    <x v="1"/>
    <x v="93"/>
    <n v="3.13"/>
    <d v="2022-06-01T00:00:00"/>
    <n v="6"/>
    <s v="Q2"/>
    <x v="41"/>
    <s v="Medium"/>
  </r>
  <r>
    <x v="3"/>
    <x v="5"/>
    <x v="0"/>
    <x v="2"/>
    <x v="2"/>
    <x v="103"/>
    <n v="3.21"/>
    <d v="2022-06-01T00:00:00"/>
    <n v="6"/>
    <s v="Q2"/>
    <x v="41"/>
    <s v="Medium"/>
  </r>
  <r>
    <x v="3"/>
    <x v="5"/>
    <x v="0"/>
    <x v="3"/>
    <x v="3"/>
    <x v="114"/>
    <n v="3.29"/>
    <d v="2022-06-01T00:00:00"/>
    <n v="6"/>
    <s v="Q2"/>
    <x v="41"/>
    <s v="Medium"/>
  </r>
  <r>
    <x v="3"/>
    <x v="5"/>
    <x v="0"/>
    <x v="4"/>
    <x v="4"/>
    <x v="125"/>
    <n v="3.37"/>
    <d v="2022-06-01T00:00:00"/>
    <n v="6"/>
    <s v="Q2"/>
    <x v="41"/>
    <s v="Medium"/>
  </r>
  <r>
    <x v="3"/>
    <x v="5"/>
    <x v="0"/>
    <x v="5"/>
    <x v="5"/>
    <x v="135"/>
    <n v="3.45"/>
    <d v="2022-06-01T00:00:00"/>
    <n v="6"/>
    <s v="Q2"/>
    <x v="41"/>
    <s v="Medium"/>
  </r>
  <r>
    <x v="3"/>
    <x v="5"/>
    <x v="0"/>
    <x v="6"/>
    <x v="6"/>
    <x v="143"/>
    <n v="3.53"/>
    <d v="2022-06-01T00:00:00"/>
    <n v="6"/>
    <s v="Q2"/>
    <x v="41"/>
    <s v="Medium"/>
  </r>
  <r>
    <x v="3"/>
    <x v="5"/>
    <x v="1"/>
    <x v="0"/>
    <x v="0"/>
    <x v="86"/>
    <n v="3.05"/>
    <d v="2022-06-01T00:00:00"/>
    <n v="6"/>
    <s v="Q2"/>
    <x v="41"/>
    <s v="Medium"/>
  </r>
  <r>
    <x v="3"/>
    <x v="5"/>
    <x v="1"/>
    <x v="1"/>
    <x v="1"/>
    <x v="98"/>
    <n v="3.13"/>
    <d v="2022-06-01T00:00:00"/>
    <n v="6"/>
    <s v="Q2"/>
    <x v="41"/>
    <s v="Medium"/>
  </r>
  <r>
    <x v="3"/>
    <x v="5"/>
    <x v="1"/>
    <x v="2"/>
    <x v="2"/>
    <x v="108"/>
    <n v="3.21"/>
    <d v="2022-06-01T00:00:00"/>
    <n v="6"/>
    <s v="Q2"/>
    <x v="41"/>
    <s v="Medium"/>
  </r>
  <r>
    <x v="3"/>
    <x v="5"/>
    <x v="1"/>
    <x v="3"/>
    <x v="3"/>
    <x v="115"/>
    <n v="3.29"/>
    <d v="2022-06-01T00:00:00"/>
    <n v="6"/>
    <s v="Q2"/>
    <x v="41"/>
    <s v="Medium"/>
  </r>
  <r>
    <x v="3"/>
    <x v="5"/>
    <x v="1"/>
    <x v="4"/>
    <x v="4"/>
    <x v="126"/>
    <n v="3.37"/>
    <d v="2022-06-01T00:00:00"/>
    <n v="6"/>
    <s v="Q2"/>
    <x v="41"/>
    <s v="Medium"/>
  </r>
  <r>
    <x v="3"/>
    <x v="5"/>
    <x v="1"/>
    <x v="5"/>
    <x v="5"/>
    <x v="136"/>
    <n v="3.45"/>
    <d v="2022-06-01T00:00:00"/>
    <n v="6"/>
    <s v="Q2"/>
    <x v="41"/>
    <s v="Medium"/>
  </r>
  <r>
    <x v="3"/>
    <x v="5"/>
    <x v="1"/>
    <x v="6"/>
    <x v="6"/>
    <x v="148"/>
    <n v="3.53"/>
    <d v="2022-06-01T00:00:00"/>
    <n v="6"/>
    <s v="Q2"/>
    <x v="41"/>
    <s v="Medium"/>
  </r>
  <r>
    <x v="3"/>
    <x v="5"/>
    <x v="2"/>
    <x v="0"/>
    <x v="0"/>
    <x v="87"/>
    <n v="3.05"/>
    <d v="2022-06-01T00:00:00"/>
    <n v="6"/>
    <s v="Q2"/>
    <x v="41"/>
    <s v="Medium"/>
  </r>
  <r>
    <x v="3"/>
    <x v="5"/>
    <x v="2"/>
    <x v="1"/>
    <x v="1"/>
    <x v="99"/>
    <n v="3.13"/>
    <d v="2022-06-01T00:00:00"/>
    <n v="6"/>
    <s v="Q2"/>
    <x v="41"/>
    <s v="Medium"/>
  </r>
  <r>
    <x v="3"/>
    <x v="5"/>
    <x v="2"/>
    <x v="2"/>
    <x v="2"/>
    <x v="109"/>
    <n v="3.21"/>
    <d v="2022-06-01T00:00:00"/>
    <n v="6"/>
    <s v="Q2"/>
    <x v="41"/>
    <s v="Medium"/>
  </r>
  <r>
    <x v="3"/>
    <x v="5"/>
    <x v="2"/>
    <x v="3"/>
    <x v="3"/>
    <x v="121"/>
    <n v="3.29"/>
    <d v="2022-06-01T00:00:00"/>
    <n v="6"/>
    <s v="Q2"/>
    <x v="41"/>
    <s v="Medium"/>
  </r>
  <r>
    <x v="3"/>
    <x v="5"/>
    <x v="2"/>
    <x v="4"/>
    <x v="4"/>
    <x v="131"/>
    <n v="3.37"/>
    <d v="2022-06-01T00:00:00"/>
    <n v="6"/>
    <s v="Q2"/>
    <x v="41"/>
    <s v="Medium"/>
  </r>
  <r>
    <x v="3"/>
    <x v="5"/>
    <x v="2"/>
    <x v="5"/>
    <x v="5"/>
    <x v="137"/>
    <n v="3.45"/>
    <d v="2022-06-01T00:00:00"/>
    <n v="6"/>
    <s v="Q2"/>
    <x v="41"/>
    <s v="Medium"/>
  </r>
  <r>
    <x v="3"/>
    <x v="5"/>
    <x v="2"/>
    <x v="6"/>
    <x v="6"/>
    <x v="149"/>
    <n v="3.53"/>
    <d v="2022-06-01T00:00:00"/>
    <n v="6"/>
    <s v="Q2"/>
    <x v="41"/>
    <s v="Medium"/>
  </r>
  <r>
    <x v="3"/>
    <x v="6"/>
    <x v="0"/>
    <x v="0"/>
    <x v="0"/>
    <x v="88"/>
    <n v="3.2"/>
    <d v="2022-07-01T00:00:00"/>
    <n v="7"/>
    <s v="Q3"/>
    <x v="42"/>
    <s v="Medium"/>
  </r>
  <r>
    <x v="3"/>
    <x v="6"/>
    <x v="0"/>
    <x v="1"/>
    <x v="1"/>
    <x v="95"/>
    <n v="3.28"/>
    <d v="2022-07-01T00:00:00"/>
    <n v="7"/>
    <s v="Q3"/>
    <x v="42"/>
    <s v="Medium"/>
  </r>
  <r>
    <x v="3"/>
    <x v="6"/>
    <x v="0"/>
    <x v="2"/>
    <x v="2"/>
    <x v="105"/>
    <n v="3.36"/>
    <d v="2022-07-01T00:00:00"/>
    <n v="7"/>
    <s v="Q3"/>
    <x v="42"/>
    <s v="Medium"/>
  </r>
  <r>
    <x v="3"/>
    <x v="6"/>
    <x v="0"/>
    <x v="3"/>
    <x v="3"/>
    <x v="117"/>
    <n v="3.44"/>
    <d v="2022-07-01T00:00:00"/>
    <n v="7"/>
    <s v="Q3"/>
    <x v="42"/>
    <s v="Medium"/>
  </r>
  <r>
    <x v="3"/>
    <x v="6"/>
    <x v="0"/>
    <x v="4"/>
    <x v="4"/>
    <x v="127"/>
    <n v="3.52"/>
    <d v="2022-07-01T00:00:00"/>
    <n v="7"/>
    <s v="Q3"/>
    <x v="42"/>
    <s v="Medium"/>
  </r>
  <r>
    <x v="3"/>
    <x v="6"/>
    <x v="0"/>
    <x v="5"/>
    <x v="5"/>
    <x v="138"/>
    <n v="3.6"/>
    <d v="2022-07-01T00:00:00"/>
    <n v="7"/>
    <s v="Q3"/>
    <x v="42"/>
    <s v="Medium"/>
  </r>
  <r>
    <x v="3"/>
    <x v="6"/>
    <x v="0"/>
    <x v="6"/>
    <x v="6"/>
    <x v="145"/>
    <n v="3.68"/>
    <d v="2022-07-01T00:00:00"/>
    <n v="7"/>
    <s v="Q3"/>
    <x v="42"/>
    <s v="Medium"/>
  </r>
  <r>
    <x v="3"/>
    <x v="6"/>
    <x v="1"/>
    <x v="0"/>
    <x v="0"/>
    <x v="89"/>
    <n v="3.2"/>
    <d v="2022-07-01T00:00:00"/>
    <n v="7"/>
    <s v="Q3"/>
    <x v="42"/>
    <s v="Medium"/>
  </r>
  <r>
    <x v="3"/>
    <x v="6"/>
    <x v="1"/>
    <x v="1"/>
    <x v="1"/>
    <x v="100"/>
    <n v="3.28"/>
    <d v="2022-07-01T00:00:00"/>
    <n v="7"/>
    <s v="Q3"/>
    <x v="42"/>
    <s v="Medium"/>
  </r>
  <r>
    <x v="3"/>
    <x v="6"/>
    <x v="1"/>
    <x v="2"/>
    <x v="2"/>
    <x v="110"/>
    <n v="3.36"/>
    <d v="2022-07-01T00:00:00"/>
    <n v="7"/>
    <s v="Q3"/>
    <x v="42"/>
    <s v="Medium"/>
  </r>
  <r>
    <x v="3"/>
    <x v="6"/>
    <x v="1"/>
    <x v="3"/>
    <x v="3"/>
    <x v="118"/>
    <n v="3.44"/>
    <d v="2022-07-01T00:00:00"/>
    <n v="7"/>
    <s v="Q3"/>
    <x v="42"/>
    <s v="Medium"/>
  </r>
  <r>
    <x v="3"/>
    <x v="6"/>
    <x v="1"/>
    <x v="4"/>
    <x v="4"/>
    <x v="128"/>
    <n v="3.52"/>
    <d v="2022-07-01T00:00:00"/>
    <n v="7"/>
    <s v="Q3"/>
    <x v="42"/>
    <s v="Medium"/>
  </r>
  <r>
    <x v="3"/>
    <x v="6"/>
    <x v="1"/>
    <x v="5"/>
    <x v="5"/>
    <x v="139"/>
    <n v="3.6"/>
    <d v="2022-07-01T00:00:00"/>
    <n v="7"/>
    <s v="Q3"/>
    <x v="42"/>
    <s v="Medium"/>
  </r>
  <r>
    <x v="3"/>
    <x v="6"/>
    <x v="1"/>
    <x v="6"/>
    <x v="6"/>
    <x v="150"/>
    <n v="3.68"/>
    <d v="2022-07-01T00:00:00"/>
    <n v="7"/>
    <s v="Q3"/>
    <x v="42"/>
    <s v="Medium"/>
  </r>
  <r>
    <x v="3"/>
    <x v="6"/>
    <x v="2"/>
    <x v="0"/>
    <x v="0"/>
    <x v="90"/>
    <n v="3.2"/>
    <d v="2022-07-01T00:00:00"/>
    <n v="7"/>
    <s v="Q3"/>
    <x v="42"/>
    <s v="Medium"/>
  </r>
  <r>
    <x v="3"/>
    <x v="6"/>
    <x v="2"/>
    <x v="1"/>
    <x v="1"/>
    <x v="101"/>
    <n v="3.28"/>
    <d v="2022-07-01T00:00:00"/>
    <n v="7"/>
    <s v="Q3"/>
    <x v="42"/>
    <s v="Medium"/>
  </r>
  <r>
    <x v="3"/>
    <x v="6"/>
    <x v="2"/>
    <x v="2"/>
    <x v="2"/>
    <x v="111"/>
    <n v="3.36"/>
    <d v="2022-07-01T00:00:00"/>
    <n v="7"/>
    <s v="Q3"/>
    <x v="42"/>
    <s v="Medium"/>
  </r>
  <r>
    <x v="3"/>
    <x v="6"/>
    <x v="2"/>
    <x v="3"/>
    <x v="3"/>
    <x v="123"/>
    <n v="3.44"/>
    <d v="2022-07-01T00:00:00"/>
    <n v="7"/>
    <s v="Q3"/>
    <x v="42"/>
    <s v="Medium"/>
  </r>
  <r>
    <x v="3"/>
    <x v="6"/>
    <x v="2"/>
    <x v="4"/>
    <x v="4"/>
    <x v="133"/>
    <n v="3.52"/>
    <d v="2022-07-01T00:00:00"/>
    <n v="7"/>
    <s v="Q3"/>
    <x v="42"/>
    <s v="Medium"/>
  </r>
  <r>
    <x v="3"/>
    <x v="6"/>
    <x v="2"/>
    <x v="5"/>
    <x v="5"/>
    <x v="140"/>
    <n v="3.6"/>
    <d v="2022-07-01T00:00:00"/>
    <n v="7"/>
    <s v="Q3"/>
    <x v="42"/>
    <s v="Medium"/>
  </r>
  <r>
    <x v="3"/>
    <x v="6"/>
    <x v="2"/>
    <x v="6"/>
    <x v="6"/>
    <x v="151"/>
    <n v="3.68"/>
    <d v="2022-07-01T00:00:00"/>
    <n v="7"/>
    <s v="Q3"/>
    <x v="42"/>
    <s v="Medium"/>
  </r>
  <r>
    <x v="3"/>
    <x v="7"/>
    <x v="0"/>
    <x v="0"/>
    <x v="0"/>
    <x v="91"/>
    <n v="3.35"/>
    <d v="2022-08-01T00:00:00"/>
    <n v="8"/>
    <s v="Q3"/>
    <x v="43"/>
    <s v="Medium"/>
  </r>
  <r>
    <x v="3"/>
    <x v="7"/>
    <x v="0"/>
    <x v="1"/>
    <x v="1"/>
    <x v="97"/>
    <n v="3.43"/>
    <d v="2022-08-01T00:00:00"/>
    <n v="8"/>
    <s v="Q3"/>
    <x v="43"/>
    <s v="Medium"/>
  </r>
  <r>
    <x v="3"/>
    <x v="7"/>
    <x v="0"/>
    <x v="2"/>
    <x v="2"/>
    <x v="107"/>
    <n v="3.51"/>
    <d v="2022-08-01T00:00:00"/>
    <n v="8"/>
    <s v="Q3"/>
    <x v="43"/>
    <s v="Medium"/>
  </r>
  <r>
    <x v="3"/>
    <x v="7"/>
    <x v="0"/>
    <x v="3"/>
    <x v="3"/>
    <x v="119"/>
    <n v="3.59"/>
    <d v="2022-08-01T00:00:00"/>
    <n v="8"/>
    <s v="Q3"/>
    <x v="43"/>
    <s v="Medium"/>
  </r>
  <r>
    <x v="3"/>
    <x v="7"/>
    <x v="0"/>
    <x v="4"/>
    <x v="4"/>
    <x v="129"/>
    <n v="3.67"/>
    <d v="2022-08-01T00:00:00"/>
    <n v="8"/>
    <s v="Q3"/>
    <x v="43"/>
    <s v="Medium"/>
  </r>
  <r>
    <x v="3"/>
    <x v="7"/>
    <x v="0"/>
    <x v="5"/>
    <x v="5"/>
    <x v="141"/>
    <n v="3.75"/>
    <d v="2022-08-01T00:00:00"/>
    <n v="8"/>
    <s v="Q3"/>
    <x v="43"/>
    <s v="Medium"/>
  </r>
  <r>
    <x v="3"/>
    <x v="7"/>
    <x v="0"/>
    <x v="6"/>
    <x v="6"/>
    <x v="147"/>
    <n v="3.83"/>
    <d v="2022-08-01T00:00:00"/>
    <n v="8"/>
    <s v="Q3"/>
    <x v="43"/>
    <s v="Medium"/>
  </r>
  <r>
    <x v="3"/>
    <x v="7"/>
    <x v="1"/>
    <x v="0"/>
    <x v="0"/>
    <x v="92"/>
    <n v="3.35"/>
    <d v="2022-08-01T00:00:00"/>
    <n v="8"/>
    <s v="Q3"/>
    <x v="43"/>
    <s v="Medium"/>
  </r>
  <r>
    <x v="3"/>
    <x v="7"/>
    <x v="1"/>
    <x v="1"/>
    <x v="1"/>
    <x v="102"/>
    <n v="3.43"/>
    <d v="2022-08-01T00:00:00"/>
    <n v="8"/>
    <s v="Q3"/>
    <x v="43"/>
    <s v="Medium"/>
  </r>
  <r>
    <x v="3"/>
    <x v="7"/>
    <x v="1"/>
    <x v="2"/>
    <x v="2"/>
    <x v="113"/>
    <n v="3.51"/>
    <d v="2022-08-01T00:00:00"/>
    <n v="8"/>
    <s v="Q3"/>
    <x v="43"/>
    <s v="Medium"/>
  </r>
  <r>
    <x v="3"/>
    <x v="7"/>
    <x v="1"/>
    <x v="3"/>
    <x v="3"/>
    <x v="120"/>
    <n v="3.59"/>
    <d v="2022-08-01T00:00:00"/>
    <n v="8"/>
    <s v="Q3"/>
    <x v="43"/>
    <s v="Medium"/>
  </r>
  <r>
    <x v="3"/>
    <x v="7"/>
    <x v="1"/>
    <x v="4"/>
    <x v="4"/>
    <x v="130"/>
    <n v="3.67"/>
    <d v="2022-08-01T00:00:00"/>
    <n v="8"/>
    <s v="Q3"/>
    <x v="43"/>
    <s v="Medium"/>
  </r>
  <r>
    <x v="3"/>
    <x v="7"/>
    <x v="1"/>
    <x v="5"/>
    <x v="5"/>
    <x v="142"/>
    <n v="3.75"/>
    <d v="2022-08-01T00:00:00"/>
    <n v="8"/>
    <s v="Q3"/>
    <x v="43"/>
    <s v="Medium"/>
  </r>
  <r>
    <x v="3"/>
    <x v="7"/>
    <x v="1"/>
    <x v="6"/>
    <x v="6"/>
    <x v="152"/>
    <n v="3.83"/>
    <d v="2022-08-01T00:00:00"/>
    <n v="8"/>
    <s v="Q3"/>
    <x v="43"/>
    <s v="Medium"/>
  </r>
  <r>
    <x v="3"/>
    <x v="7"/>
    <x v="2"/>
    <x v="0"/>
    <x v="0"/>
    <x v="93"/>
    <n v="3.35"/>
    <d v="2022-08-01T00:00:00"/>
    <n v="8"/>
    <s v="Q3"/>
    <x v="43"/>
    <s v="Medium"/>
  </r>
  <r>
    <x v="3"/>
    <x v="7"/>
    <x v="2"/>
    <x v="1"/>
    <x v="1"/>
    <x v="103"/>
    <n v="3.43"/>
    <d v="2022-08-01T00:00:00"/>
    <n v="8"/>
    <s v="Q3"/>
    <x v="43"/>
    <s v="Medium"/>
  </r>
  <r>
    <x v="3"/>
    <x v="7"/>
    <x v="2"/>
    <x v="2"/>
    <x v="2"/>
    <x v="114"/>
    <n v="3.51"/>
    <d v="2022-08-01T00:00:00"/>
    <n v="8"/>
    <s v="Q3"/>
    <x v="43"/>
    <s v="Medium"/>
  </r>
  <r>
    <x v="3"/>
    <x v="7"/>
    <x v="2"/>
    <x v="3"/>
    <x v="3"/>
    <x v="125"/>
    <n v="3.59"/>
    <d v="2022-08-01T00:00:00"/>
    <n v="8"/>
    <s v="Q3"/>
    <x v="43"/>
    <s v="Medium"/>
  </r>
  <r>
    <x v="3"/>
    <x v="7"/>
    <x v="2"/>
    <x v="4"/>
    <x v="4"/>
    <x v="135"/>
    <n v="3.67"/>
    <d v="2022-08-01T00:00:00"/>
    <n v="8"/>
    <s v="Q3"/>
    <x v="43"/>
    <s v="Medium"/>
  </r>
  <r>
    <x v="3"/>
    <x v="7"/>
    <x v="2"/>
    <x v="5"/>
    <x v="5"/>
    <x v="143"/>
    <n v="3.75"/>
    <d v="2022-08-01T00:00:00"/>
    <n v="8"/>
    <s v="Q3"/>
    <x v="43"/>
    <s v="Medium"/>
  </r>
  <r>
    <x v="3"/>
    <x v="7"/>
    <x v="2"/>
    <x v="6"/>
    <x v="6"/>
    <x v="153"/>
    <n v="3.83"/>
    <d v="2022-08-01T00:00:00"/>
    <n v="8"/>
    <s v="Q3"/>
    <x v="43"/>
    <s v="Medium"/>
  </r>
  <r>
    <x v="3"/>
    <x v="8"/>
    <x v="0"/>
    <x v="0"/>
    <x v="0"/>
    <x v="87"/>
    <n v="3.5"/>
    <d v="2022-09-01T00:00:00"/>
    <n v="9"/>
    <s v="Q3"/>
    <x v="44"/>
    <s v="Medium"/>
  </r>
  <r>
    <x v="3"/>
    <x v="8"/>
    <x v="0"/>
    <x v="1"/>
    <x v="1"/>
    <x v="99"/>
    <n v="3.58"/>
    <d v="2022-09-01T00:00:00"/>
    <n v="9"/>
    <s v="Q3"/>
    <x v="44"/>
    <s v="Medium"/>
  </r>
  <r>
    <x v="3"/>
    <x v="8"/>
    <x v="0"/>
    <x v="2"/>
    <x v="2"/>
    <x v="109"/>
    <n v="3.66"/>
    <d v="2022-09-01T00:00:00"/>
    <n v="9"/>
    <s v="Q3"/>
    <x v="44"/>
    <s v="Medium"/>
  </r>
  <r>
    <x v="3"/>
    <x v="8"/>
    <x v="0"/>
    <x v="3"/>
    <x v="3"/>
    <x v="121"/>
    <n v="3.74"/>
    <d v="2022-09-01T00:00:00"/>
    <n v="9"/>
    <s v="Q3"/>
    <x v="44"/>
    <s v="Medium"/>
  </r>
  <r>
    <x v="3"/>
    <x v="8"/>
    <x v="0"/>
    <x v="4"/>
    <x v="4"/>
    <x v="131"/>
    <n v="3.82"/>
    <d v="2022-09-01T00:00:00"/>
    <n v="9"/>
    <s v="Q3"/>
    <x v="44"/>
    <s v="Medium"/>
  </r>
  <r>
    <x v="3"/>
    <x v="8"/>
    <x v="0"/>
    <x v="5"/>
    <x v="5"/>
    <x v="137"/>
    <n v="3.9"/>
    <d v="2022-09-01T00:00:00"/>
    <n v="9"/>
    <s v="Q3"/>
    <x v="44"/>
    <s v="Medium"/>
  </r>
  <r>
    <x v="3"/>
    <x v="8"/>
    <x v="0"/>
    <x v="6"/>
    <x v="6"/>
    <x v="149"/>
    <n v="3.98"/>
    <d v="2022-09-01T00:00:00"/>
    <n v="9"/>
    <s v="Q3"/>
    <x v="44"/>
    <s v="Medium"/>
  </r>
  <r>
    <x v="3"/>
    <x v="8"/>
    <x v="1"/>
    <x v="0"/>
    <x v="0"/>
    <x v="94"/>
    <n v="3.5"/>
    <d v="2022-09-01T00:00:00"/>
    <n v="9"/>
    <s v="Q3"/>
    <x v="44"/>
    <s v="Medium"/>
  </r>
  <r>
    <x v="3"/>
    <x v="8"/>
    <x v="1"/>
    <x v="1"/>
    <x v="1"/>
    <x v="104"/>
    <n v="3.58"/>
    <d v="2022-09-01T00:00:00"/>
    <n v="9"/>
    <s v="Q3"/>
    <x v="44"/>
    <s v="Medium"/>
  </r>
  <r>
    <x v="3"/>
    <x v="8"/>
    <x v="1"/>
    <x v="2"/>
    <x v="2"/>
    <x v="116"/>
    <n v="3.66"/>
    <d v="2022-09-01T00:00:00"/>
    <n v="9"/>
    <s v="Q3"/>
    <x v="44"/>
    <s v="Medium"/>
  </r>
  <r>
    <x v="3"/>
    <x v="8"/>
    <x v="1"/>
    <x v="3"/>
    <x v="3"/>
    <x v="122"/>
    <n v="3.74"/>
    <d v="2022-09-01T00:00:00"/>
    <n v="9"/>
    <s v="Q3"/>
    <x v="44"/>
    <s v="Medium"/>
  </r>
  <r>
    <x v="3"/>
    <x v="8"/>
    <x v="1"/>
    <x v="4"/>
    <x v="4"/>
    <x v="132"/>
    <n v="3.82"/>
    <d v="2022-09-01T00:00:00"/>
    <n v="9"/>
    <s v="Q3"/>
    <x v="44"/>
    <s v="Medium"/>
  </r>
  <r>
    <x v="3"/>
    <x v="8"/>
    <x v="1"/>
    <x v="5"/>
    <x v="5"/>
    <x v="144"/>
    <n v="3.9"/>
    <d v="2022-09-01T00:00:00"/>
    <n v="9"/>
    <s v="Q3"/>
    <x v="44"/>
    <s v="Medium"/>
  </r>
  <r>
    <x v="3"/>
    <x v="8"/>
    <x v="1"/>
    <x v="6"/>
    <x v="6"/>
    <x v="154"/>
    <n v="3.98"/>
    <d v="2022-09-01T00:00:00"/>
    <n v="9"/>
    <s v="Q3"/>
    <x v="44"/>
    <s v="Medium"/>
  </r>
  <r>
    <x v="3"/>
    <x v="8"/>
    <x v="2"/>
    <x v="0"/>
    <x v="0"/>
    <x v="95"/>
    <n v="3.5"/>
    <d v="2022-09-01T00:00:00"/>
    <n v="9"/>
    <s v="Q3"/>
    <x v="44"/>
    <s v="Medium"/>
  </r>
  <r>
    <x v="3"/>
    <x v="8"/>
    <x v="2"/>
    <x v="1"/>
    <x v="1"/>
    <x v="105"/>
    <n v="3.58"/>
    <d v="2022-09-01T00:00:00"/>
    <n v="9"/>
    <s v="Q3"/>
    <x v="44"/>
    <s v="Medium"/>
  </r>
  <r>
    <x v="3"/>
    <x v="8"/>
    <x v="2"/>
    <x v="2"/>
    <x v="2"/>
    <x v="117"/>
    <n v="3.66"/>
    <d v="2022-09-01T00:00:00"/>
    <n v="9"/>
    <s v="Q3"/>
    <x v="44"/>
    <s v="Medium"/>
  </r>
  <r>
    <x v="3"/>
    <x v="8"/>
    <x v="2"/>
    <x v="3"/>
    <x v="3"/>
    <x v="127"/>
    <n v="3.74"/>
    <d v="2022-09-01T00:00:00"/>
    <n v="9"/>
    <s v="Q3"/>
    <x v="44"/>
    <s v="Medium"/>
  </r>
  <r>
    <x v="3"/>
    <x v="8"/>
    <x v="2"/>
    <x v="4"/>
    <x v="4"/>
    <x v="138"/>
    <n v="3.82"/>
    <d v="2022-09-01T00:00:00"/>
    <n v="9"/>
    <s v="Q3"/>
    <x v="44"/>
    <s v="Medium"/>
  </r>
  <r>
    <x v="3"/>
    <x v="8"/>
    <x v="2"/>
    <x v="5"/>
    <x v="5"/>
    <x v="145"/>
    <n v="3.9"/>
    <d v="2022-09-01T00:00:00"/>
    <n v="9"/>
    <s v="Q3"/>
    <x v="44"/>
    <s v="Medium"/>
  </r>
  <r>
    <x v="3"/>
    <x v="8"/>
    <x v="2"/>
    <x v="6"/>
    <x v="6"/>
    <x v="155"/>
    <n v="3.98"/>
    <d v="2022-09-01T00:00:00"/>
    <n v="9"/>
    <s v="Q3"/>
    <x v="44"/>
    <s v="Medium"/>
  </r>
  <r>
    <x v="3"/>
    <x v="9"/>
    <x v="0"/>
    <x v="0"/>
    <x v="0"/>
    <x v="90"/>
    <n v="3.65"/>
    <d v="2022-10-01T00:00:00"/>
    <n v="10"/>
    <s v="Q4"/>
    <x v="45"/>
    <s v="Medium"/>
  </r>
  <r>
    <x v="3"/>
    <x v="9"/>
    <x v="0"/>
    <x v="1"/>
    <x v="1"/>
    <x v="101"/>
    <n v="3.73"/>
    <d v="2022-10-01T00:00:00"/>
    <n v="10"/>
    <s v="Q4"/>
    <x v="45"/>
    <s v="Medium"/>
  </r>
  <r>
    <x v="3"/>
    <x v="9"/>
    <x v="0"/>
    <x v="2"/>
    <x v="2"/>
    <x v="111"/>
    <n v="3.81"/>
    <d v="2022-10-01T00:00:00"/>
    <n v="10"/>
    <s v="Q4"/>
    <x v="45"/>
    <s v="Medium"/>
  </r>
  <r>
    <x v="3"/>
    <x v="9"/>
    <x v="0"/>
    <x v="3"/>
    <x v="3"/>
    <x v="123"/>
    <n v="3.89"/>
    <d v="2022-10-01T00:00:00"/>
    <n v="10"/>
    <s v="Q4"/>
    <x v="45"/>
    <s v="Medium"/>
  </r>
  <r>
    <x v="3"/>
    <x v="9"/>
    <x v="0"/>
    <x v="4"/>
    <x v="4"/>
    <x v="133"/>
    <n v="3.97"/>
    <d v="2022-10-01T00:00:00"/>
    <n v="10"/>
    <s v="Q4"/>
    <x v="45"/>
    <s v="Medium"/>
  </r>
  <r>
    <x v="3"/>
    <x v="9"/>
    <x v="0"/>
    <x v="5"/>
    <x v="5"/>
    <x v="140"/>
    <n v="4.05"/>
    <d v="2022-10-01T00:00:00"/>
    <n v="10"/>
    <s v="Q4"/>
    <x v="45"/>
    <s v="Medium"/>
  </r>
  <r>
    <x v="3"/>
    <x v="9"/>
    <x v="0"/>
    <x v="6"/>
    <x v="6"/>
    <x v="151"/>
    <n v="4.13"/>
    <d v="2022-10-01T00:00:00"/>
    <n v="10"/>
    <s v="Q4"/>
    <x v="45"/>
    <s v="Medium"/>
  </r>
  <r>
    <x v="3"/>
    <x v="9"/>
    <x v="1"/>
    <x v="0"/>
    <x v="0"/>
    <x v="96"/>
    <n v="3.65"/>
    <d v="2022-10-01T00:00:00"/>
    <n v="10"/>
    <s v="Q4"/>
    <x v="45"/>
    <s v="Medium"/>
  </r>
  <r>
    <x v="3"/>
    <x v="9"/>
    <x v="1"/>
    <x v="1"/>
    <x v="1"/>
    <x v="106"/>
    <n v="3.73"/>
    <d v="2022-10-01T00:00:00"/>
    <n v="10"/>
    <s v="Q4"/>
    <x v="45"/>
    <s v="Medium"/>
  </r>
  <r>
    <x v="3"/>
    <x v="9"/>
    <x v="1"/>
    <x v="2"/>
    <x v="2"/>
    <x v="112"/>
    <n v="3.81"/>
    <d v="2022-10-01T00:00:00"/>
    <n v="10"/>
    <s v="Q4"/>
    <x v="45"/>
    <s v="Medium"/>
  </r>
  <r>
    <x v="3"/>
    <x v="9"/>
    <x v="1"/>
    <x v="3"/>
    <x v="3"/>
    <x v="124"/>
    <n v="3.89"/>
    <d v="2022-10-01T00:00:00"/>
    <n v="10"/>
    <s v="Q4"/>
    <x v="45"/>
    <s v="Medium"/>
  </r>
  <r>
    <x v="3"/>
    <x v="9"/>
    <x v="1"/>
    <x v="4"/>
    <x v="4"/>
    <x v="134"/>
    <n v="3.97"/>
    <d v="2022-10-01T00:00:00"/>
    <n v="10"/>
    <s v="Q4"/>
    <x v="45"/>
    <s v="Medium"/>
  </r>
  <r>
    <x v="3"/>
    <x v="9"/>
    <x v="1"/>
    <x v="5"/>
    <x v="5"/>
    <x v="146"/>
    <n v="4.05"/>
    <d v="2022-10-01T00:00:00"/>
    <n v="10"/>
    <s v="Q4"/>
    <x v="45"/>
    <s v="Medium"/>
  </r>
  <r>
    <x v="3"/>
    <x v="9"/>
    <x v="1"/>
    <x v="6"/>
    <x v="6"/>
    <x v="156"/>
    <n v="4.13"/>
    <d v="2022-10-01T00:00:00"/>
    <n v="10"/>
    <s v="Q4"/>
    <x v="45"/>
    <s v="Medium"/>
  </r>
  <r>
    <x v="3"/>
    <x v="9"/>
    <x v="2"/>
    <x v="0"/>
    <x v="0"/>
    <x v="97"/>
    <n v="3.65"/>
    <d v="2022-10-01T00:00:00"/>
    <n v="10"/>
    <s v="Q4"/>
    <x v="45"/>
    <s v="Medium"/>
  </r>
  <r>
    <x v="3"/>
    <x v="9"/>
    <x v="2"/>
    <x v="1"/>
    <x v="1"/>
    <x v="107"/>
    <n v="3.73"/>
    <d v="2022-10-01T00:00:00"/>
    <n v="10"/>
    <s v="Q4"/>
    <x v="45"/>
    <s v="Medium"/>
  </r>
  <r>
    <x v="3"/>
    <x v="9"/>
    <x v="2"/>
    <x v="2"/>
    <x v="2"/>
    <x v="119"/>
    <n v="3.81"/>
    <d v="2022-10-01T00:00:00"/>
    <n v="10"/>
    <s v="Q4"/>
    <x v="45"/>
    <s v="Medium"/>
  </r>
  <r>
    <x v="3"/>
    <x v="9"/>
    <x v="2"/>
    <x v="3"/>
    <x v="3"/>
    <x v="129"/>
    <n v="3.89"/>
    <d v="2022-10-01T00:00:00"/>
    <n v="10"/>
    <s v="Q4"/>
    <x v="45"/>
    <s v="Medium"/>
  </r>
  <r>
    <x v="3"/>
    <x v="9"/>
    <x v="2"/>
    <x v="4"/>
    <x v="4"/>
    <x v="141"/>
    <n v="3.97"/>
    <d v="2022-10-01T00:00:00"/>
    <n v="10"/>
    <s v="Q4"/>
    <x v="45"/>
    <s v="Medium"/>
  </r>
  <r>
    <x v="3"/>
    <x v="9"/>
    <x v="2"/>
    <x v="5"/>
    <x v="5"/>
    <x v="147"/>
    <n v="4.05"/>
    <d v="2022-10-01T00:00:00"/>
    <n v="10"/>
    <s v="Q4"/>
    <x v="45"/>
    <s v="Medium"/>
  </r>
  <r>
    <x v="3"/>
    <x v="9"/>
    <x v="2"/>
    <x v="6"/>
    <x v="6"/>
    <x v="157"/>
    <n v="4.13"/>
    <d v="2022-10-01T00:00:00"/>
    <n v="10"/>
    <s v="Q4"/>
    <x v="45"/>
    <s v="Medium"/>
  </r>
  <r>
    <x v="3"/>
    <x v="10"/>
    <x v="0"/>
    <x v="0"/>
    <x v="0"/>
    <x v="93"/>
    <n v="3.8"/>
    <d v="2022-11-01T00:00:00"/>
    <n v="11"/>
    <s v="Q4"/>
    <x v="46"/>
    <s v="Medium"/>
  </r>
  <r>
    <x v="3"/>
    <x v="10"/>
    <x v="0"/>
    <x v="1"/>
    <x v="1"/>
    <x v="103"/>
    <n v="3.88"/>
    <d v="2022-11-01T00:00:00"/>
    <n v="11"/>
    <s v="Q4"/>
    <x v="46"/>
    <s v="Medium"/>
  </r>
  <r>
    <x v="3"/>
    <x v="10"/>
    <x v="0"/>
    <x v="2"/>
    <x v="2"/>
    <x v="114"/>
    <n v="3.96"/>
    <d v="2022-11-01T00:00:00"/>
    <n v="11"/>
    <s v="Q4"/>
    <x v="46"/>
    <s v="Medium"/>
  </r>
  <r>
    <x v="3"/>
    <x v="10"/>
    <x v="0"/>
    <x v="3"/>
    <x v="3"/>
    <x v="125"/>
    <n v="4.04"/>
    <d v="2022-11-01T00:00:00"/>
    <n v="11"/>
    <s v="Q4"/>
    <x v="46"/>
    <s v="Medium"/>
  </r>
  <r>
    <x v="3"/>
    <x v="10"/>
    <x v="0"/>
    <x v="4"/>
    <x v="4"/>
    <x v="135"/>
    <n v="4.12"/>
    <d v="2022-11-01T00:00:00"/>
    <n v="11"/>
    <s v="Q4"/>
    <x v="46"/>
    <s v="Medium"/>
  </r>
  <r>
    <x v="3"/>
    <x v="10"/>
    <x v="0"/>
    <x v="5"/>
    <x v="5"/>
    <x v="143"/>
    <n v="4.2"/>
    <d v="2022-11-01T00:00:00"/>
    <n v="11"/>
    <s v="Q4"/>
    <x v="46"/>
    <s v="Medium"/>
  </r>
  <r>
    <x v="3"/>
    <x v="10"/>
    <x v="0"/>
    <x v="6"/>
    <x v="6"/>
    <x v="153"/>
    <n v="4.28"/>
    <d v="2022-11-01T00:00:00"/>
    <n v="11"/>
    <s v="Q4"/>
    <x v="46"/>
    <s v="Medium"/>
  </r>
  <r>
    <x v="3"/>
    <x v="10"/>
    <x v="1"/>
    <x v="0"/>
    <x v="0"/>
    <x v="98"/>
    <n v="3.8"/>
    <d v="2022-11-01T00:00:00"/>
    <n v="11"/>
    <s v="Q4"/>
    <x v="46"/>
    <s v="Medium"/>
  </r>
  <r>
    <x v="3"/>
    <x v="10"/>
    <x v="1"/>
    <x v="1"/>
    <x v="1"/>
    <x v="108"/>
    <n v="3.88"/>
    <d v="2022-11-01T00:00:00"/>
    <n v="11"/>
    <s v="Q4"/>
    <x v="46"/>
    <s v="Medium"/>
  </r>
  <r>
    <x v="3"/>
    <x v="10"/>
    <x v="1"/>
    <x v="2"/>
    <x v="2"/>
    <x v="115"/>
    <n v="3.96"/>
    <d v="2022-11-01T00:00:00"/>
    <n v="11"/>
    <s v="Q4"/>
    <x v="46"/>
    <s v="Medium"/>
  </r>
  <r>
    <x v="3"/>
    <x v="10"/>
    <x v="1"/>
    <x v="3"/>
    <x v="3"/>
    <x v="126"/>
    <n v="4.04"/>
    <d v="2022-11-01T00:00:00"/>
    <n v="11"/>
    <s v="Q4"/>
    <x v="46"/>
    <s v="Medium"/>
  </r>
  <r>
    <x v="3"/>
    <x v="10"/>
    <x v="1"/>
    <x v="4"/>
    <x v="4"/>
    <x v="136"/>
    <n v="4.12"/>
    <d v="2022-11-01T00:00:00"/>
    <n v="11"/>
    <s v="Q4"/>
    <x v="46"/>
    <s v="Medium"/>
  </r>
  <r>
    <x v="3"/>
    <x v="10"/>
    <x v="1"/>
    <x v="5"/>
    <x v="5"/>
    <x v="148"/>
    <n v="4.2"/>
    <d v="2022-11-01T00:00:00"/>
    <n v="11"/>
    <s v="Q4"/>
    <x v="46"/>
    <s v="Medium"/>
  </r>
  <r>
    <x v="3"/>
    <x v="10"/>
    <x v="1"/>
    <x v="6"/>
    <x v="6"/>
    <x v="158"/>
    <n v="4.28"/>
    <d v="2022-11-01T00:00:00"/>
    <n v="11"/>
    <s v="Q4"/>
    <x v="46"/>
    <s v="Medium"/>
  </r>
  <r>
    <x v="3"/>
    <x v="10"/>
    <x v="2"/>
    <x v="0"/>
    <x v="0"/>
    <x v="99"/>
    <n v="3.8"/>
    <d v="2022-11-01T00:00:00"/>
    <n v="11"/>
    <s v="Q4"/>
    <x v="46"/>
    <s v="Medium"/>
  </r>
  <r>
    <x v="3"/>
    <x v="10"/>
    <x v="2"/>
    <x v="1"/>
    <x v="1"/>
    <x v="109"/>
    <n v="3.88"/>
    <d v="2022-11-01T00:00:00"/>
    <n v="11"/>
    <s v="Q4"/>
    <x v="46"/>
    <s v="Medium"/>
  </r>
  <r>
    <x v="3"/>
    <x v="10"/>
    <x v="2"/>
    <x v="2"/>
    <x v="2"/>
    <x v="121"/>
    <n v="3.96"/>
    <d v="2022-11-01T00:00:00"/>
    <n v="11"/>
    <s v="Q4"/>
    <x v="46"/>
    <s v="Medium"/>
  </r>
  <r>
    <x v="3"/>
    <x v="10"/>
    <x v="2"/>
    <x v="3"/>
    <x v="3"/>
    <x v="131"/>
    <n v="4.04"/>
    <d v="2022-11-01T00:00:00"/>
    <n v="11"/>
    <s v="Q4"/>
    <x v="46"/>
    <s v="Medium"/>
  </r>
  <r>
    <x v="3"/>
    <x v="10"/>
    <x v="2"/>
    <x v="4"/>
    <x v="4"/>
    <x v="137"/>
    <n v="4.12"/>
    <d v="2022-11-01T00:00:00"/>
    <n v="11"/>
    <s v="Q4"/>
    <x v="46"/>
    <s v="Medium"/>
  </r>
  <r>
    <x v="3"/>
    <x v="10"/>
    <x v="2"/>
    <x v="5"/>
    <x v="5"/>
    <x v="149"/>
    <n v="4.2"/>
    <d v="2022-11-01T00:00:00"/>
    <n v="11"/>
    <s v="Q4"/>
    <x v="46"/>
    <s v="Medium"/>
  </r>
  <r>
    <x v="3"/>
    <x v="10"/>
    <x v="2"/>
    <x v="6"/>
    <x v="6"/>
    <x v="159"/>
    <n v="4.28"/>
    <d v="2022-11-01T00:00:00"/>
    <n v="11"/>
    <s v="Q4"/>
    <x v="46"/>
    <s v="Medium"/>
  </r>
  <r>
    <x v="3"/>
    <x v="11"/>
    <x v="0"/>
    <x v="0"/>
    <x v="0"/>
    <x v="95"/>
    <n v="3.05"/>
    <d v="2022-12-01T00:00:00"/>
    <n v="12"/>
    <s v="Q4"/>
    <x v="47"/>
    <s v="Medium"/>
  </r>
  <r>
    <x v="3"/>
    <x v="11"/>
    <x v="0"/>
    <x v="1"/>
    <x v="1"/>
    <x v="105"/>
    <n v="3.13"/>
    <d v="2022-12-01T00:00:00"/>
    <n v="12"/>
    <s v="Q4"/>
    <x v="47"/>
    <s v="Medium"/>
  </r>
  <r>
    <x v="3"/>
    <x v="11"/>
    <x v="0"/>
    <x v="2"/>
    <x v="2"/>
    <x v="117"/>
    <n v="3.21"/>
    <d v="2022-12-01T00:00:00"/>
    <n v="12"/>
    <s v="Q4"/>
    <x v="47"/>
    <s v="Medium"/>
  </r>
  <r>
    <x v="3"/>
    <x v="11"/>
    <x v="0"/>
    <x v="3"/>
    <x v="3"/>
    <x v="127"/>
    <n v="3.29"/>
    <d v="2022-12-01T00:00:00"/>
    <n v="12"/>
    <s v="Q4"/>
    <x v="47"/>
    <s v="Medium"/>
  </r>
  <r>
    <x v="3"/>
    <x v="11"/>
    <x v="0"/>
    <x v="4"/>
    <x v="4"/>
    <x v="138"/>
    <n v="3.37"/>
    <d v="2022-12-01T00:00:00"/>
    <n v="12"/>
    <s v="Q4"/>
    <x v="47"/>
    <s v="Medium"/>
  </r>
  <r>
    <x v="3"/>
    <x v="11"/>
    <x v="0"/>
    <x v="5"/>
    <x v="5"/>
    <x v="145"/>
    <n v="3.45"/>
    <d v="2022-12-01T00:00:00"/>
    <n v="12"/>
    <s v="Q4"/>
    <x v="47"/>
    <s v="Medium"/>
  </r>
  <r>
    <x v="3"/>
    <x v="11"/>
    <x v="0"/>
    <x v="6"/>
    <x v="6"/>
    <x v="155"/>
    <n v="3.53"/>
    <d v="2022-12-01T00:00:00"/>
    <n v="12"/>
    <s v="Q4"/>
    <x v="47"/>
    <s v="Medium"/>
  </r>
  <r>
    <x v="3"/>
    <x v="11"/>
    <x v="1"/>
    <x v="0"/>
    <x v="0"/>
    <x v="100"/>
    <n v="3.05"/>
    <d v="2022-12-01T00:00:00"/>
    <n v="12"/>
    <s v="Q4"/>
    <x v="47"/>
    <s v="Medium"/>
  </r>
  <r>
    <x v="3"/>
    <x v="11"/>
    <x v="1"/>
    <x v="1"/>
    <x v="1"/>
    <x v="110"/>
    <n v="3.13"/>
    <d v="2022-12-01T00:00:00"/>
    <n v="12"/>
    <s v="Q4"/>
    <x v="47"/>
    <s v="Medium"/>
  </r>
  <r>
    <x v="3"/>
    <x v="11"/>
    <x v="1"/>
    <x v="2"/>
    <x v="2"/>
    <x v="118"/>
    <n v="3.21"/>
    <d v="2022-12-01T00:00:00"/>
    <n v="12"/>
    <s v="Q4"/>
    <x v="47"/>
    <s v="Medium"/>
  </r>
  <r>
    <x v="3"/>
    <x v="11"/>
    <x v="1"/>
    <x v="3"/>
    <x v="3"/>
    <x v="128"/>
    <n v="3.29"/>
    <d v="2022-12-01T00:00:00"/>
    <n v="12"/>
    <s v="Q4"/>
    <x v="47"/>
    <s v="Medium"/>
  </r>
  <r>
    <x v="3"/>
    <x v="11"/>
    <x v="1"/>
    <x v="4"/>
    <x v="4"/>
    <x v="139"/>
    <n v="3.37"/>
    <d v="2022-12-01T00:00:00"/>
    <n v="12"/>
    <s v="Q4"/>
    <x v="47"/>
    <s v="Medium"/>
  </r>
  <r>
    <x v="3"/>
    <x v="11"/>
    <x v="1"/>
    <x v="5"/>
    <x v="5"/>
    <x v="150"/>
    <n v="3.45"/>
    <d v="2022-12-01T00:00:00"/>
    <n v="12"/>
    <s v="Q4"/>
    <x v="47"/>
    <s v="Medium"/>
  </r>
  <r>
    <x v="3"/>
    <x v="11"/>
    <x v="1"/>
    <x v="6"/>
    <x v="6"/>
    <x v="160"/>
    <n v="3.53"/>
    <d v="2022-12-01T00:00:00"/>
    <n v="12"/>
    <s v="Q4"/>
    <x v="47"/>
    <s v="Medium"/>
  </r>
  <r>
    <x v="3"/>
    <x v="11"/>
    <x v="2"/>
    <x v="0"/>
    <x v="0"/>
    <x v="101"/>
    <n v="3.05"/>
    <d v="2022-12-01T00:00:00"/>
    <n v="12"/>
    <s v="Q4"/>
    <x v="47"/>
    <s v="Medium"/>
  </r>
  <r>
    <x v="3"/>
    <x v="11"/>
    <x v="2"/>
    <x v="1"/>
    <x v="1"/>
    <x v="111"/>
    <n v="3.13"/>
    <d v="2022-12-01T00:00:00"/>
    <n v="12"/>
    <s v="Q4"/>
    <x v="47"/>
    <s v="Medium"/>
  </r>
  <r>
    <x v="3"/>
    <x v="11"/>
    <x v="2"/>
    <x v="2"/>
    <x v="2"/>
    <x v="123"/>
    <n v="3.21"/>
    <d v="2022-12-01T00:00:00"/>
    <n v="12"/>
    <s v="Q4"/>
    <x v="47"/>
    <s v="Medium"/>
  </r>
  <r>
    <x v="3"/>
    <x v="11"/>
    <x v="2"/>
    <x v="3"/>
    <x v="3"/>
    <x v="133"/>
    <n v="3.29"/>
    <d v="2022-12-01T00:00:00"/>
    <n v="12"/>
    <s v="Q4"/>
    <x v="47"/>
    <s v="Medium"/>
  </r>
  <r>
    <x v="3"/>
    <x v="11"/>
    <x v="2"/>
    <x v="4"/>
    <x v="4"/>
    <x v="140"/>
    <n v="3.37"/>
    <d v="2022-12-01T00:00:00"/>
    <n v="12"/>
    <s v="Q4"/>
    <x v="47"/>
    <s v="Medium"/>
  </r>
  <r>
    <x v="3"/>
    <x v="11"/>
    <x v="2"/>
    <x v="5"/>
    <x v="5"/>
    <x v="151"/>
    <n v="3.45"/>
    <d v="2022-12-01T00:00:00"/>
    <n v="12"/>
    <s v="Q4"/>
    <x v="47"/>
    <s v="Medium"/>
  </r>
  <r>
    <x v="3"/>
    <x v="11"/>
    <x v="2"/>
    <x v="6"/>
    <x v="6"/>
    <x v="161"/>
    <n v="3.53"/>
    <d v="2022-12-01T00:00:00"/>
    <n v="12"/>
    <s v="Q4"/>
    <x v="47"/>
    <s v="Medium"/>
  </r>
  <r>
    <x v="4"/>
    <x v="0"/>
    <x v="0"/>
    <x v="0"/>
    <x v="0"/>
    <x v="100"/>
    <n v="3.55"/>
    <d v="2023-01-01T00:00:00"/>
    <n v="1"/>
    <s v="Q1"/>
    <x v="48"/>
    <s v="Medium"/>
  </r>
  <r>
    <x v="4"/>
    <x v="0"/>
    <x v="0"/>
    <x v="1"/>
    <x v="1"/>
    <x v="110"/>
    <n v="3.63"/>
    <d v="2023-01-01T00:00:00"/>
    <n v="1"/>
    <s v="Q1"/>
    <x v="48"/>
    <s v="Medium"/>
  </r>
  <r>
    <x v="4"/>
    <x v="0"/>
    <x v="0"/>
    <x v="2"/>
    <x v="2"/>
    <x v="118"/>
    <n v="3.71"/>
    <d v="2023-01-01T00:00:00"/>
    <n v="1"/>
    <s v="Q1"/>
    <x v="48"/>
    <s v="Medium"/>
  </r>
  <r>
    <x v="4"/>
    <x v="0"/>
    <x v="0"/>
    <x v="3"/>
    <x v="3"/>
    <x v="128"/>
    <n v="3.79"/>
    <d v="2023-01-01T00:00:00"/>
    <n v="1"/>
    <s v="Q1"/>
    <x v="48"/>
    <s v="Medium"/>
  </r>
  <r>
    <x v="4"/>
    <x v="0"/>
    <x v="0"/>
    <x v="4"/>
    <x v="4"/>
    <x v="139"/>
    <n v="3.87"/>
    <d v="2023-01-01T00:00:00"/>
    <n v="1"/>
    <s v="Q1"/>
    <x v="48"/>
    <s v="Medium"/>
  </r>
  <r>
    <x v="4"/>
    <x v="0"/>
    <x v="0"/>
    <x v="5"/>
    <x v="5"/>
    <x v="150"/>
    <n v="3.95"/>
    <d v="2023-01-01T00:00:00"/>
    <n v="1"/>
    <s v="Q1"/>
    <x v="48"/>
    <s v="Medium"/>
  </r>
  <r>
    <x v="4"/>
    <x v="0"/>
    <x v="0"/>
    <x v="6"/>
    <x v="6"/>
    <x v="160"/>
    <n v="4.03"/>
    <d v="2023-01-01T00:00:00"/>
    <n v="1"/>
    <s v="Q1"/>
    <x v="48"/>
    <s v="Medium"/>
  </r>
  <r>
    <x v="4"/>
    <x v="0"/>
    <x v="1"/>
    <x v="0"/>
    <x v="0"/>
    <x v="101"/>
    <n v="3.55"/>
    <d v="2023-01-01T00:00:00"/>
    <n v="1"/>
    <s v="Q1"/>
    <x v="48"/>
    <s v="Medium"/>
  </r>
  <r>
    <x v="4"/>
    <x v="0"/>
    <x v="1"/>
    <x v="1"/>
    <x v="1"/>
    <x v="111"/>
    <n v="3.63"/>
    <d v="2023-01-01T00:00:00"/>
    <n v="1"/>
    <s v="Q1"/>
    <x v="48"/>
    <s v="Medium"/>
  </r>
  <r>
    <x v="4"/>
    <x v="0"/>
    <x v="1"/>
    <x v="2"/>
    <x v="2"/>
    <x v="123"/>
    <n v="3.71"/>
    <d v="2023-01-01T00:00:00"/>
    <n v="1"/>
    <s v="Q1"/>
    <x v="48"/>
    <s v="Medium"/>
  </r>
  <r>
    <x v="4"/>
    <x v="0"/>
    <x v="1"/>
    <x v="3"/>
    <x v="3"/>
    <x v="133"/>
    <n v="3.79"/>
    <d v="2023-01-01T00:00:00"/>
    <n v="1"/>
    <s v="Q1"/>
    <x v="48"/>
    <s v="Medium"/>
  </r>
  <r>
    <x v="4"/>
    <x v="0"/>
    <x v="1"/>
    <x v="4"/>
    <x v="4"/>
    <x v="140"/>
    <n v="3.87"/>
    <d v="2023-01-01T00:00:00"/>
    <n v="1"/>
    <s v="Q1"/>
    <x v="48"/>
    <s v="Medium"/>
  </r>
  <r>
    <x v="4"/>
    <x v="0"/>
    <x v="1"/>
    <x v="5"/>
    <x v="5"/>
    <x v="151"/>
    <n v="3.95"/>
    <d v="2023-01-01T00:00:00"/>
    <n v="1"/>
    <s v="Q1"/>
    <x v="48"/>
    <s v="Medium"/>
  </r>
  <r>
    <x v="4"/>
    <x v="0"/>
    <x v="1"/>
    <x v="6"/>
    <x v="6"/>
    <x v="161"/>
    <n v="4.03"/>
    <d v="2023-01-01T00:00:00"/>
    <n v="1"/>
    <s v="Q1"/>
    <x v="48"/>
    <s v="Medium"/>
  </r>
  <r>
    <x v="4"/>
    <x v="0"/>
    <x v="2"/>
    <x v="0"/>
    <x v="0"/>
    <x v="106"/>
    <n v="3.55"/>
    <d v="2023-01-01T00:00:00"/>
    <n v="1"/>
    <s v="Q1"/>
    <x v="48"/>
    <s v="Medium"/>
  </r>
  <r>
    <x v="4"/>
    <x v="0"/>
    <x v="2"/>
    <x v="1"/>
    <x v="1"/>
    <x v="112"/>
    <n v="3.63"/>
    <d v="2023-01-01T00:00:00"/>
    <n v="1"/>
    <s v="Q1"/>
    <x v="48"/>
    <s v="Medium"/>
  </r>
  <r>
    <x v="4"/>
    <x v="0"/>
    <x v="2"/>
    <x v="2"/>
    <x v="2"/>
    <x v="124"/>
    <n v="3.71"/>
    <d v="2023-01-01T00:00:00"/>
    <n v="1"/>
    <s v="Q1"/>
    <x v="48"/>
    <s v="Medium"/>
  </r>
  <r>
    <x v="4"/>
    <x v="0"/>
    <x v="2"/>
    <x v="3"/>
    <x v="3"/>
    <x v="134"/>
    <n v="3.79"/>
    <d v="2023-01-01T00:00:00"/>
    <n v="1"/>
    <s v="Q1"/>
    <x v="48"/>
    <s v="Medium"/>
  </r>
  <r>
    <x v="4"/>
    <x v="0"/>
    <x v="2"/>
    <x v="4"/>
    <x v="4"/>
    <x v="146"/>
    <n v="3.87"/>
    <d v="2023-01-01T00:00:00"/>
    <n v="1"/>
    <s v="Q1"/>
    <x v="48"/>
    <s v="Medium"/>
  </r>
  <r>
    <x v="4"/>
    <x v="0"/>
    <x v="2"/>
    <x v="5"/>
    <x v="5"/>
    <x v="156"/>
    <n v="3.95"/>
    <d v="2023-01-01T00:00:00"/>
    <n v="1"/>
    <s v="Q1"/>
    <x v="48"/>
    <s v="Medium"/>
  </r>
  <r>
    <x v="4"/>
    <x v="0"/>
    <x v="2"/>
    <x v="6"/>
    <x v="6"/>
    <x v="162"/>
    <n v="4.03"/>
    <d v="2023-01-01T00:00:00"/>
    <n v="1"/>
    <s v="Q1"/>
    <x v="48"/>
    <s v="Medium"/>
  </r>
  <r>
    <x v="4"/>
    <x v="1"/>
    <x v="0"/>
    <x v="0"/>
    <x v="0"/>
    <x v="102"/>
    <n v="3.7"/>
    <d v="2023-02-01T00:00:00"/>
    <n v="2"/>
    <s v="Q1"/>
    <x v="49"/>
    <s v="Medium"/>
  </r>
  <r>
    <x v="4"/>
    <x v="1"/>
    <x v="0"/>
    <x v="1"/>
    <x v="1"/>
    <x v="113"/>
    <n v="3.78"/>
    <d v="2023-02-01T00:00:00"/>
    <n v="2"/>
    <s v="Q1"/>
    <x v="49"/>
    <s v="Medium"/>
  </r>
  <r>
    <x v="4"/>
    <x v="1"/>
    <x v="0"/>
    <x v="2"/>
    <x v="2"/>
    <x v="120"/>
    <n v="3.86"/>
    <d v="2023-02-01T00:00:00"/>
    <n v="2"/>
    <s v="Q1"/>
    <x v="49"/>
    <s v="Medium"/>
  </r>
  <r>
    <x v="4"/>
    <x v="1"/>
    <x v="0"/>
    <x v="3"/>
    <x v="3"/>
    <x v="130"/>
    <n v="3.94"/>
    <d v="2023-02-01T00:00:00"/>
    <n v="2"/>
    <s v="Q1"/>
    <x v="49"/>
    <s v="Medium"/>
  </r>
  <r>
    <x v="4"/>
    <x v="1"/>
    <x v="0"/>
    <x v="4"/>
    <x v="4"/>
    <x v="142"/>
    <n v="4.0199999999999996"/>
    <d v="2023-02-01T00:00:00"/>
    <n v="2"/>
    <s v="Q1"/>
    <x v="49"/>
    <s v="Medium"/>
  </r>
  <r>
    <x v="4"/>
    <x v="1"/>
    <x v="0"/>
    <x v="5"/>
    <x v="5"/>
    <x v="152"/>
    <n v="4.0999999999999996"/>
    <d v="2023-02-01T00:00:00"/>
    <n v="2"/>
    <s v="Q1"/>
    <x v="49"/>
    <s v="Medium"/>
  </r>
  <r>
    <x v="4"/>
    <x v="1"/>
    <x v="0"/>
    <x v="6"/>
    <x v="6"/>
    <x v="163"/>
    <n v="4.18"/>
    <d v="2023-02-01T00:00:00"/>
    <n v="2"/>
    <s v="Q1"/>
    <x v="49"/>
    <s v="Medium"/>
  </r>
  <r>
    <x v="4"/>
    <x v="1"/>
    <x v="1"/>
    <x v="0"/>
    <x v="0"/>
    <x v="103"/>
    <n v="3.7"/>
    <d v="2023-02-01T00:00:00"/>
    <n v="2"/>
    <s v="Q1"/>
    <x v="49"/>
    <s v="Medium"/>
  </r>
  <r>
    <x v="4"/>
    <x v="1"/>
    <x v="1"/>
    <x v="1"/>
    <x v="1"/>
    <x v="114"/>
    <n v="3.78"/>
    <d v="2023-02-01T00:00:00"/>
    <n v="2"/>
    <s v="Q1"/>
    <x v="49"/>
    <s v="Medium"/>
  </r>
  <r>
    <x v="4"/>
    <x v="1"/>
    <x v="1"/>
    <x v="2"/>
    <x v="2"/>
    <x v="125"/>
    <n v="3.86"/>
    <d v="2023-02-01T00:00:00"/>
    <n v="2"/>
    <s v="Q1"/>
    <x v="49"/>
    <s v="Medium"/>
  </r>
  <r>
    <x v="4"/>
    <x v="1"/>
    <x v="1"/>
    <x v="3"/>
    <x v="3"/>
    <x v="135"/>
    <n v="3.94"/>
    <d v="2023-02-01T00:00:00"/>
    <n v="2"/>
    <s v="Q1"/>
    <x v="49"/>
    <s v="Medium"/>
  </r>
  <r>
    <x v="4"/>
    <x v="1"/>
    <x v="1"/>
    <x v="4"/>
    <x v="4"/>
    <x v="143"/>
    <n v="4.0199999999999996"/>
    <d v="2023-02-01T00:00:00"/>
    <n v="2"/>
    <s v="Q1"/>
    <x v="49"/>
    <s v="Medium"/>
  </r>
  <r>
    <x v="4"/>
    <x v="1"/>
    <x v="1"/>
    <x v="5"/>
    <x v="5"/>
    <x v="153"/>
    <n v="4.0999999999999996"/>
    <d v="2023-02-01T00:00:00"/>
    <n v="2"/>
    <s v="Q1"/>
    <x v="49"/>
    <s v="Medium"/>
  </r>
  <r>
    <x v="4"/>
    <x v="1"/>
    <x v="1"/>
    <x v="6"/>
    <x v="6"/>
    <x v="164"/>
    <n v="4.18"/>
    <d v="2023-02-01T00:00:00"/>
    <n v="2"/>
    <s v="Q1"/>
    <x v="49"/>
    <s v="Medium"/>
  </r>
  <r>
    <x v="4"/>
    <x v="1"/>
    <x v="2"/>
    <x v="0"/>
    <x v="0"/>
    <x v="108"/>
    <n v="3.7"/>
    <d v="2023-02-01T00:00:00"/>
    <n v="2"/>
    <s v="Q1"/>
    <x v="49"/>
    <s v="Medium"/>
  </r>
  <r>
    <x v="4"/>
    <x v="1"/>
    <x v="2"/>
    <x v="1"/>
    <x v="1"/>
    <x v="115"/>
    <n v="3.78"/>
    <d v="2023-02-01T00:00:00"/>
    <n v="2"/>
    <s v="Q1"/>
    <x v="49"/>
    <s v="Medium"/>
  </r>
  <r>
    <x v="4"/>
    <x v="1"/>
    <x v="2"/>
    <x v="2"/>
    <x v="2"/>
    <x v="126"/>
    <n v="3.86"/>
    <d v="2023-02-01T00:00:00"/>
    <n v="2"/>
    <s v="Q1"/>
    <x v="49"/>
    <s v="Medium"/>
  </r>
  <r>
    <x v="4"/>
    <x v="1"/>
    <x v="2"/>
    <x v="3"/>
    <x v="3"/>
    <x v="136"/>
    <n v="3.94"/>
    <d v="2023-02-01T00:00:00"/>
    <n v="2"/>
    <s v="Q1"/>
    <x v="49"/>
    <s v="Medium"/>
  </r>
  <r>
    <x v="4"/>
    <x v="1"/>
    <x v="2"/>
    <x v="4"/>
    <x v="4"/>
    <x v="148"/>
    <n v="4.0199999999999996"/>
    <d v="2023-02-01T00:00:00"/>
    <n v="2"/>
    <s v="Q1"/>
    <x v="49"/>
    <s v="Medium"/>
  </r>
  <r>
    <x v="4"/>
    <x v="1"/>
    <x v="2"/>
    <x v="5"/>
    <x v="5"/>
    <x v="158"/>
    <n v="4.0999999999999996"/>
    <d v="2023-02-01T00:00:00"/>
    <n v="2"/>
    <s v="Q1"/>
    <x v="49"/>
    <s v="Medium"/>
  </r>
  <r>
    <x v="4"/>
    <x v="1"/>
    <x v="2"/>
    <x v="6"/>
    <x v="6"/>
    <x v="165"/>
    <n v="4.18"/>
    <d v="2023-02-01T00:00:00"/>
    <n v="2"/>
    <s v="Q1"/>
    <x v="49"/>
    <s v="Medium"/>
  </r>
  <r>
    <x v="4"/>
    <x v="2"/>
    <x v="0"/>
    <x v="0"/>
    <x v="0"/>
    <x v="104"/>
    <n v="3.85"/>
    <d v="2023-03-01T00:00:00"/>
    <n v="3"/>
    <s v="Q1"/>
    <x v="50"/>
    <s v="Medium"/>
  </r>
  <r>
    <x v="4"/>
    <x v="2"/>
    <x v="0"/>
    <x v="1"/>
    <x v="1"/>
    <x v="116"/>
    <n v="3.93"/>
    <d v="2023-03-01T00:00:00"/>
    <n v="3"/>
    <s v="Q1"/>
    <x v="50"/>
    <s v="Medium"/>
  </r>
  <r>
    <x v="4"/>
    <x v="2"/>
    <x v="0"/>
    <x v="2"/>
    <x v="2"/>
    <x v="122"/>
    <n v="4.01"/>
    <d v="2023-03-01T00:00:00"/>
    <n v="3"/>
    <s v="Q1"/>
    <x v="50"/>
    <s v="Medium"/>
  </r>
  <r>
    <x v="4"/>
    <x v="2"/>
    <x v="0"/>
    <x v="3"/>
    <x v="3"/>
    <x v="132"/>
    <n v="4.09"/>
    <d v="2023-03-01T00:00:00"/>
    <n v="3"/>
    <s v="Q1"/>
    <x v="50"/>
    <s v="Medium"/>
  </r>
  <r>
    <x v="4"/>
    <x v="2"/>
    <x v="0"/>
    <x v="4"/>
    <x v="4"/>
    <x v="144"/>
    <n v="4.17"/>
    <d v="2023-03-01T00:00:00"/>
    <n v="3"/>
    <s v="Q1"/>
    <x v="50"/>
    <s v="Medium"/>
  </r>
  <r>
    <x v="4"/>
    <x v="2"/>
    <x v="0"/>
    <x v="5"/>
    <x v="5"/>
    <x v="154"/>
    <n v="4.25"/>
    <d v="2023-03-01T00:00:00"/>
    <n v="3"/>
    <s v="Q1"/>
    <x v="50"/>
    <s v="Medium"/>
  </r>
  <r>
    <x v="4"/>
    <x v="2"/>
    <x v="0"/>
    <x v="6"/>
    <x v="6"/>
    <x v="166"/>
    <n v="4.33"/>
    <d v="2023-03-01T00:00:00"/>
    <n v="3"/>
    <s v="Q1"/>
    <x v="50"/>
    <s v="Medium"/>
  </r>
  <r>
    <x v="4"/>
    <x v="2"/>
    <x v="1"/>
    <x v="0"/>
    <x v="0"/>
    <x v="105"/>
    <n v="3.85"/>
    <d v="2023-03-01T00:00:00"/>
    <n v="3"/>
    <s v="Q1"/>
    <x v="50"/>
    <s v="Medium"/>
  </r>
  <r>
    <x v="4"/>
    <x v="2"/>
    <x v="1"/>
    <x v="1"/>
    <x v="1"/>
    <x v="117"/>
    <n v="3.93"/>
    <d v="2023-03-01T00:00:00"/>
    <n v="3"/>
    <s v="Q1"/>
    <x v="50"/>
    <s v="Medium"/>
  </r>
  <r>
    <x v="4"/>
    <x v="2"/>
    <x v="1"/>
    <x v="2"/>
    <x v="2"/>
    <x v="127"/>
    <n v="4.01"/>
    <d v="2023-03-01T00:00:00"/>
    <n v="3"/>
    <s v="Q1"/>
    <x v="50"/>
    <s v="Medium"/>
  </r>
  <r>
    <x v="4"/>
    <x v="2"/>
    <x v="1"/>
    <x v="3"/>
    <x v="3"/>
    <x v="138"/>
    <n v="4.09"/>
    <d v="2023-03-01T00:00:00"/>
    <n v="3"/>
    <s v="Q1"/>
    <x v="50"/>
    <s v="Medium"/>
  </r>
  <r>
    <x v="4"/>
    <x v="2"/>
    <x v="1"/>
    <x v="4"/>
    <x v="4"/>
    <x v="145"/>
    <n v="4.17"/>
    <d v="2023-03-01T00:00:00"/>
    <n v="3"/>
    <s v="Q1"/>
    <x v="50"/>
    <s v="Medium"/>
  </r>
  <r>
    <x v="4"/>
    <x v="2"/>
    <x v="1"/>
    <x v="5"/>
    <x v="5"/>
    <x v="155"/>
    <n v="4.25"/>
    <d v="2023-03-01T00:00:00"/>
    <n v="3"/>
    <s v="Q1"/>
    <x v="50"/>
    <s v="Medium"/>
  </r>
  <r>
    <x v="4"/>
    <x v="2"/>
    <x v="1"/>
    <x v="6"/>
    <x v="6"/>
    <x v="167"/>
    <n v="4.33"/>
    <d v="2023-03-01T00:00:00"/>
    <n v="3"/>
    <s v="Q1"/>
    <x v="50"/>
    <s v="Medium"/>
  </r>
  <r>
    <x v="4"/>
    <x v="2"/>
    <x v="2"/>
    <x v="0"/>
    <x v="0"/>
    <x v="110"/>
    <n v="3.85"/>
    <d v="2023-03-01T00:00:00"/>
    <n v="3"/>
    <s v="Q1"/>
    <x v="50"/>
    <s v="Medium"/>
  </r>
  <r>
    <x v="4"/>
    <x v="2"/>
    <x v="2"/>
    <x v="1"/>
    <x v="1"/>
    <x v="118"/>
    <n v="3.93"/>
    <d v="2023-03-01T00:00:00"/>
    <n v="3"/>
    <s v="Q1"/>
    <x v="50"/>
    <s v="Medium"/>
  </r>
  <r>
    <x v="4"/>
    <x v="2"/>
    <x v="2"/>
    <x v="2"/>
    <x v="2"/>
    <x v="128"/>
    <n v="4.01"/>
    <d v="2023-03-01T00:00:00"/>
    <n v="3"/>
    <s v="Q1"/>
    <x v="50"/>
    <s v="Medium"/>
  </r>
  <r>
    <x v="4"/>
    <x v="2"/>
    <x v="2"/>
    <x v="3"/>
    <x v="3"/>
    <x v="139"/>
    <n v="4.09"/>
    <d v="2023-03-01T00:00:00"/>
    <n v="3"/>
    <s v="Q1"/>
    <x v="50"/>
    <s v="Medium"/>
  </r>
  <r>
    <x v="4"/>
    <x v="2"/>
    <x v="2"/>
    <x v="4"/>
    <x v="4"/>
    <x v="150"/>
    <n v="4.17"/>
    <d v="2023-03-01T00:00:00"/>
    <n v="3"/>
    <s v="Q1"/>
    <x v="50"/>
    <s v="Medium"/>
  </r>
  <r>
    <x v="4"/>
    <x v="2"/>
    <x v="2"/>
    <x v="5"/>
    <x v="5"/>
    <x v="160"/>
    <n v="4.25"/>
    <d v="2023-03-01T00:00:00"/>
    <n v="3"/>
    <s v="Q1"/>
    <x v="50"/>
    <s v="Medium"/>
  </r>
  <r>
    <x v="4"/>
    <x v="2"/>
    <x v="2"/>
    <x v="6"/>
    <x v="6"/>
    <x v="168"/>
    <n v="4.33"/>
    <d v="2023-03-01T00:00:00"/>
    <n v="3"/>
    <s v="Q1"/>
    <x v="50"/>
    <s v="Medium"/>
  </r>
  <r>
    <x v="4"/>
    <x v="3"/>
    <x v="0"/>
    <x v="0"/>
    <x v="0"/>
    <x v="106"/>
    <n v="4"/>
    <d v="2023-04-01T00:00:00"/>
    <n v="4"/>
    <s v="Q2"/>
    <x v="51"/>
    <s v="Medium"/>
  </r>
  <r>
    <x v="4"/>
    <x v="3"/>
    <x v="0"/>
    <x v="1"/>
    <x v="1"/>
    <x v="112"/>
    <n v="4.08"/>
    <d v="2023-04-01T00:00:00"/>
    <n v="4"/>
    <s v="Q2"/>
    <x v="51"/>
    <s v="Medium"/>
  </r>
  <r>
    <x v="4"/>
    <x v="3"/>
    <x v="0"/>
    <x v="2"/>
    <x v="2"/>
    <x v="124"/>
    <n v="4.16"/>
    <d v="2023-04-01T00:00:00"/>
    <n v="4"/>
    <s v="Q2"/>
    <x v="51"/>
    <s v="Medium"/>
  </r>
  <r>
    <x v="4"/>
    <x v="3"/>
    <x v="0"/>
    <x v="3"/>
    <x v="3"/>
    <x v="134"/>
    <n v="4.24"/>
    <d v="2023-04-01T00:00:00"/>
    <n v="4"/>
    <s v="Q2"/>
    <x v="51"/>
    <s v="Medium"/>
  </r>
  <r>
    <x v="4"/>
    <x v="3"/>
    <x v="0"/>
    <x v="4"/>
    <x v="4"/>
    <x v="146"/>
    <n v="4.32"/>
    <d v="2023-04-01T00:00:00"/>
    <n v="4"/>
    <s v="Q2"/>
    <x v="51"/>
    <s v="Medium"/>
  </r>
  <r>
    <x v="4"/>
    <x v="3"/>
    <x v="0"/>
    <x v="5"/>
    <x v="5"/>
    <x v="156"/>
    <n v="4.4000000000000004"/>
    <d v="2023-04-01T00:00:00"/>
    <n v="4"/>
    <s v="Q2"/>
    <x v="51"/>
    <s v="Medium"/>
  </r>
  <r>
    <x v="4"/>
    <x v="3"/>
    <x v="0"/>
    <x v="6"/>
    <x v="6"/>
    <x v="162"/>
    <n v="4.4800000000000004"/>
    <d v="2023-04-01T00:00:00"/>
    <n v="4"/>
    <s v="Q2"/>
    <x v="51"/>
    <s v="Medium"/>
  </r>
  <r>
    <x v="4"/>
    <x v="3"/>
    <x v="1"/>
    <x v="0"/>
    <x v="0"/>
    <x v="107"/>
    <n v="4"/>
    <d v="2023-04-01T00:00:00"/>
    <n v="4"/>
    <s v="Q2"/>
    <x v="51"/>
    <s v="Medium"/>
  </r>
  <r>
    <x v="4"/>
    <x v="3"/>
    <x v="1"/>
    <x v="1"/>
    <x v="1"/>
    <x v="119"/>
    <n v="4.08"/>
    <d v="2023-04-01T00:00:00"/>
    <n v="4"/>
    <s v="Q2"/>
    <x v="51"/>
    <s v="Medium"/>
  </r>
  <r>
    <x v="4"/>
    <x v="3"/>
    <x v="1"/>
    <x v="2"/>
    <x v="2"/>
    <x v="129"/>
    <n v="4.16"/>
    <d v="2023-04-01T00:00:00"/>
    <n v="4"/>
    <s v="Q2"/>
    <x v="51"/>
    <s v="Medium"/>
  </r>
  <r>
    <x v="4"/>
    <x v="3"/>
    <x v="1"/>
    <x v="3"/>
    <x v="3"/>
    <x v="141"/>
    <n v="4.24"/>
    <d v="2023-04-01T00:00:00"/>
    <n v="4"/>
    <s v="Q2"/>
    <x v="51"/>
    <s v="Medium"/>
  </r>
  <r>
    <x v="4"/>
    <x v="3"/>
    <x v="1"/>
    <x v="4"/>
    <x v="4"/>
    <x v="147"/>
    <n v="4.32"/>
    <d v="2023-04-01T00:00:00"/>
    <n v="4"/>
    <s v="Q2"/>
    <x v="51"/>
    <s v="Medium"/>
  </r>
  <r>
    <x v="4"/>
    <x v="3"/>
    <x v="1"/>
    <x v="5"/>
    <x v="5"/>
    <x v="157"/>
    <n v="4.4000000000000004"/>
    <d v="2023-04-01T00:00:00"/>
    <n v="4"/>
    <s v="Q2"/>
    <x v="51"/>
    <s v="Medium"/>
  </r>
  <r>
    <x v="4"/>
    <x v="3"/>
    <x v="1"/>
    <x v="6"/>
    <x v="6"/>
    <x v="169"/>
    <n v="4.4800000000000004"/>
    <d v="2023-04-01T00:00:00"/>
    <n v="4"/>
    <s v="Q2"/>
    <x v="51"/>
    <s v="Medium"/>
  </r>
  <r>
    <x v="4"/>
    <x v="3"/>
    <x v="2"/>
    <x v="0"/>
    <x v="0"/>
    <x v="113"/>
    <n v="4"/>
    <d v="2023-04-01T00:00:00"/>
    <n v="4"/>
    <s v="Q2"/>
    <x v="51"/>
    <s v="Medium"/>
  </r>
  <r>
    <x v="4"/>
    <x v="3"/>
    <x v="2"/>
    <x v="1"/>
    <x v="1"/>
    <x v="120"/>
    <n v="4.08"/>
    <d v="2023-04-01T00:00:00"/>
    <n v="4"/>
    <s v="Q2"/>
    <x v="51"/>
    <s v="Medium"/>
  </r>
  <r>
    <x v="4"/>
    <x v="3"/>
    <x v="2"/>
    <x v="2"/>
    <x v="2"/>
    <x v="130"/>
    <n v="4.16"/>
    <d v="2023-04-01T00:00:00"/>
    <n v="4"/>
    <s v="Q2"/>
    <x v="51"/>
    <s v="Medium"/>
  </r>
  <r>
    <x v="4"/>
    <x v="3"/>
    <x v="2"/>
    <x v="3"/>
    <x v="3"/>
    <x v="142"/>
    <n v="4.24"/>
    <d v="2023-04-01T00:00:00"/>
    <n v="4"/>
    <s v="Q2"/>
    <x v="51"/>
    <s v="Medium"/>
  </r>
  <r>
    <x v="4"/>
    <x v="3"/>
    <x v="2"/>
    <x v="4"/>
    <x v="4"/>
    <x v="152"/>
    <n v="4.32"/>
    <d v="2023-04-01T00:00:00"/>
    <n v="4"/>
    <s v="Q2"/>
    <x v="51"/>
    <s v="Medium"/>
  </r>
  <r>
    <x v="4"/>
    <x v="3"/>
    <x v="2"/>
    <x v="5"/>
    <x v="5"/>
    <x v="163"/>
    <n v="4.4000000000000004"/>
    <d v="2023-04-01T00:00:00"/>
    <n v="4"/>
    <s v="Q2"/>
    <x v="51"/>
    <s v="Medium"/>
  </r>
  <r>
    <x v="4"/>
    <x v="3"/>
    <x v="2"/>
    <x v="6"/>
    <x v="6"/>
    <x v="170"/>
    <n v="4.4800000000000004"/>
    <d v="2023-04-01T00:00:00"/>
    <n v="4"/>
    <s v="Q2"/>
    <x v="51"/>
    <s v="Medium"/>
  </r>
  <r>
    <x v="4"/>
    <x v="4"/>
    <x v="0"/>
    <x v="0"/>
    <x v="0"/>
    <x v="108"/>
    <n v="4.1500000000000004"/>
    <d v="2023-05-01T00:00:00"/>
    <n v="5"/>
    <s v="Q2"/>
    <x v="52"/>
    <s v="Medium"/>
  </r>
  <r>
    <x v="4"/>
    <x v="4"/>
    <x v="0"/>
    <x v="1"/>
    <x v="1"/>
    <x v="115"/>
    <n v="4.2300000000000004"/>
    <d v="2023-05-01T00:00:00"/>
    <n v="5"/>
    <s v="Q2"/>
    <x v="52"/>
    <s v="Medium"/>
  </r>
  <r>
    <x v="4"/>
    <x v="4"/>
    <x v="0"/>
    <x v="2"/>
    <x v="2"/>
    <x v="126"/>
    <n v="4.3099999999999996"/>
    <d v="2023-05-01T00:00:00"/>
    <n v="5"/>
    <s v="Q2"/>
    <x v="52"/>
    <s v="Medium"/>
  </r>
  <r>
    <x v="4"/>
    <x v="4"/>
    <x v="0"/>
    <x v="3"/>
    <x v="3"/>
    <x v="136"/>
    <n v="4.3899999999999997"/>
    <d v="2023-05-01T00:00:00"/>
    <n v="5"/>
    <s v="Q2"/>
    <x v="52"/>
    <s v="Medium"/>
  </r>
  <r>
    <x v="4"/>
    <x v="4"/>
    <x v="0"/>
    <x v="4"/>
    <x v="4"/>
    <x v="148"/>
    <n v="4.47"/>
    <d v="2023-05-01T00:00:00"/>
    <n v="5"/>
    <s v="Q2"/>
    <x v="52"/>
    <s v="Medium"/>
  </r>
  <r>
    <x v="4"/>
    <x v="4"/>
    <x v="0"/>
    <x v="5"/>
    <x v="5"/>
    <x v="158"/>
    <n v="4.55"/>
    <d v="2023-05-01T00:00:00"/>
    <n v="5"/>
    <s v="Q2"/>
    <x v="52"/>
    <s v="Medium"/>
  </r>
  <r>
    <x v="4"/>
    <x v="4"/>
    <x v="0"/>
    <x v="6"/>
    <x v="6"/>
    <x v="165"/>
    <n v="4.63"/>
    <d v="2023-05-01T00:00:00"/>
    <n v="5"/>
    <s v="Q2"/>
    <x v="52"/>
    <s v="Medium"/>
  </r>
  <r>
    <x v="4"/>
    <x v="4"/>
    <x v="1"/>
    <x v="0"/>
    <x v="0"/>
    <x v="109"/>
    <n v="4.1500000000000004"/>
    <d v="2023-05-01T00:00:00"/>
    <n v="5"/>
    <s v="Q2"/>
    <x v="52"/>
    <s v="Medium"/>
  </r>
  <r>
    <x v="4"/>
    <x v="4"/>
    <x v="1"/>
    <x v="1"/>
    <x v="1"/>
    <x v="121"/>
    <n v="4.2300000000000004"/>
    <d v="2023-05-01T00:00:00"/>
    <n v="5"/>
    <s v="Q2"/>
    <x v="52"/>
    <s v="Medium"/>
  </r>
  <r>
    <x v="4"/>
    <x v="4"/>
    <x v="1"/>
    <x v="2"/>
    <x v="2"/>
    <x v="131"/>
    <n v="4.3099999999999996"/>
    <d v="2023-05-01T00:00:00"/>
    <n v="5"/>
    <s v="Q2"/>
    <x v="52"/>
    <s v="Medium"/>
  </r>
  <r>
    <x v="4"/>
    <x v="4"/>
    <x v="1"/>
    <x v="3"/>
    <x v="3"/>
    <x v="137"/>
    <n v="4.3899999999999997"/>
    <d v="2023-05-01T00:00:00"/>
    <n v="5"/>
    <s v="Q2"/>
    <x v="52"/>
    <s v="Medium"/>
  </r>
  <r>
    <x v="4"/>
    <x v="4"/>
    <x v="1"/>
    <x v="4"/>
    <x v="4"/>
    <x v="149"/>
    <n v="4.47"/>
    <d v="2023-05-01T00:00:00"/>
    <n v="5"/>
    <s v="Q2"/>
    <x v="52"/>
    <s v="Medium"/>
  </r>
  <r>
    <x v="4"/>
    <x v="4"/>
    <x v="1"/>
    <x v="5"/>
    <x v="5"/>
    <x v="159"/>
    <n v="4.55"/>
    <d v="2023-05-01T00:00:00"/>
    <n v="5"/>
    <s v="Q2"/>
    <x v="52"/>
    <s v="Medium"/>
  </r>
  <r>
    <x v="4"/>
    <x v="4"/>
    <x v="1"/>
    <x v="6"/>
    <x v="6"/>
    <x v="171"/>
    <n v="4.63"/>
    <d v="2023-05-01T00:00:00"/>
    <n v="5"/>
    <s v="Q2"/>
    <x v="52"/>
    <s v="Medium"/>
  </r>
  <r>
    <x v="4"/>
    <x v="4"/>
    <x v="2"/>
    <x v="0"/>
    <x v="0"/>
    <x v="116"/>
    <n v="4.1500000000000004"/>
    <d v="2023-05-01T00:00:00"/>
    <n v="5"/>
    <s v="Q2"/>
    <x v="52"/>
    <s v="Medium"/>
  </r>
  <r>
    <x v="4"/>
    <x v="4"/>
    <x v="2"/>
    <x v="1"/>
    <x v="1"/>
    <x v="122"/>
    <n v="4.2300000000000004"/>
    <d v="2023-05-01T00:00:00"/>
    <n v="5"/>
    <s v="Q2"/>
    <x v="52"/>
    <s v="Medium"/>
  </r>
  <r>
    <x v="4"/>
    <x v="4"/>
    <x v="2"/>
    <x v="2"/>
    <x v="2"/>
    <x v="132"/>
    <n v="4.3099999999999996"/>
    <d v="2023-05-01T00:00:00"/>
    <n v="5"/>
    <s v="Q2"/>
    <x v="52"/>
    <s v="Medium"/>
  </r>
  <r>
    <x v="4"/>
    <x v="4"/>
    <x v="2"/>
    <x v="3"/>
    <x v="3"/>
    <x v="144"/>
    <n v="4.3899999999999997"/>
    <d v="2023-05-01T00:00:00"/>
    <n v="5"/>
    <s v="Q2"/>
    <x v="52"/>
    <s v="Medium"/>
  </r>
  <r>
    <x v="4"/>
    <x v="4"/>
    <x v="2"/>
    <x v="4"/>
    <x v="4"/>
    <x v="154"/>
    <n v="4.47"/>
    <d v="2023-05-01T00:00:00"/>
    <n v="5"/>
    <s v="Q2"/>
    <x v="52"/>
    <s v="Medium"/>
  </r>
  <r>
    <x v="4"/>
    <x v="4"/>
    <x v="2"/>
    <x v="5"/>
    <x v="5"/>
    <x v="166"/>
    <n v="4.55"/>
    <d v="2023-05-01T00:00:00"/>
    <n v="5"/>
    <s v="Q2"/>
    <x v="52"/>
    <s v="Medium"/>
  </r>
  <r>
    <x v="4"/>
    <x v="4"/>
    <x v="2"/>
    <x v="6"/>
    <x v="6"/>
    <x v="172"/>
    <n v="4.63"/>
    <d v="2023-05-01T00:00:00"/>
    <n v="5"/>
    <s v="Q2"/>
    <x v="52"/>
    <s v="Medium"/>
  </r>
  <r>
    <x v="4"/>
    <x v="5"/>
    <x v="0"/>
    <x v="0"/>
    <x v="0"/>
    <x v="110"/>
    <n v="3.4"/>
    <d v="2023-06-01T00:00:00"/>
    <n v="6"/>
    <s v="Q2"/>
    <x v="53"/>
    <s v="Medium"/>
  </r>
  <r>
    <x v="4"/>
    <x v="5"/>
    <x v="0"/>
    <x v="1"/>
    <x v="1"/>
    <x v="118"/>
    <n v="3.48"/>
    <d v="2023-06-01T00:00:00"/>
    <n v="6"/>
    <s v="Q2"/>
    <x v="53"/>
    <s v="Medium"/>
  </r>
  <r>
    <x v="4"/>
    <x v="5"/>
    <x v="0"/>
    <x v="2"/>
    <x v="2"/>
    <x v="128"/>
    <n v="3.56"/>
    <d v="2023-06-01T00:00:00"/>
    <n v="6"/>
    <s v="Q2"/>
    <x v="53"/>
    <s v="Medium"/>
  </r>
  <r>
    <x v="4"/>
    <x v="5"/>
    <x v="0"/>
    <x v="3"/>
    <x v="3"/>
    <x v="139"/>
    <n v="3.64"/>
    <d v="2023-06-01T00:00:00"/>
    <n v="6"/>
    <s v="Q2"/>
    <x v="53"/>
    <s v="Medium"/>
  </r>
  <r>
    <x v="4"/>
    <x v="5"/>
    <x v="0"/>
    <x v="4"/>
    <x v="4"/>
    <x v="150"/>
    <n v="3.72"/>
    <d v="2023-06-01T00:00:00"/>
    <n v="6"/>
    <s v="Q2"/>
    <x v="53"/>
    <s v="Medium"/>
  </r>
  <r>
    <x v="4"/>
    <x v="5"/>
    <x v="0"/>
    <x v="5"/>
    <x v="5"/>
    <x v="160"/>
    <n v="3.8"/>
    <d v="2023-06-01T00:00:00"/>
    <n v="6"/>
    <s v="Q2"/>
    <x v="53"/>
    <s v="Medium"/>
  </r>
  <r>
    <x v="4"/>
    <x v="5"/>
    <x v="0"/>
    <x v="6"/>
    <x v="6"/>
    <x v="168"/>
    <n v="3.88"/>
    <d v="2023-06-01T00:00:00"/>
    <n v="6"/>
    <s v="Q2"/>
    <x v="53"/>
    <s v="Medium"/>
  </r>
  <r>
    <x v="4"/>
    <x v="5"/>
    <x v="1"/>
    <x v="0"/>
    <x v="0"/>
    <x v="111"/>
    <n v="3.4"/>
    <d v="2023-06-01T00:00:00"/>
    <n v="6"/>
    <s v="Q2"/>
    <x v="53"/>
    <s v="Medium"/>
  </r>
  <r>
    <x v="4"/>
    <x v="5"/>
    <x v="1"/>
    <x v="1"/>
    <x v="1"/>
    <x v="123"/>
    <n v="3.48"/>
    <d v="2023-06-01T00:00:00"/>
    <n v="6"/>
    <s v="Q2"/>
    <x v="53"/>
    <s v="Medium"/>
  </r>
  <r>
    <x v="4"/>
    <x v="5"/>
    <x v="1"/>
    <x v="2"/>
    <x v="2"/>
    <x v="133"/>
    <n v="3.56"/>
    <d v="2023-06-01T00:00:00"/>
    <n v="6"/>
    <s v="Q2"/>
    <x v="53"/>
    <s v="Medium"/>
  </r>
  <r>
    <x v="4"/>
    <x v="5"/>
    <x v="1"/>
    <x v="3"/>
    <x v="3"/>
    <x v="140"/>
    <n v="3.64"/>
    <d v="2023-06-01T00:00:00"/>
    <n v="6"/>
    <s v="Q2"/>
    <x v="53"/>
    <s v="Medium"/>
  </r>
  <r>
    <x v="4"/>
    <x v="5"/>
    <x v="1"/>
    <x v="4"/>
    <x v="4"/>
    <x v="151"/>
    <n v="3.72"/>
    <d v="2023-06-01T00:00:00"/>
    <n v="6"/>
    <s v="Q2"/>
    <x v="53"/>
    <s v="Medium"/>
  </r>
  <r>
    <x v="4"/>
    <x v="5"/>
    <x v="1"/>
    <x v="5"/>
    <x v="5"/>
    <x v="161"/>
    <n v="3.8"/>
    <d v="2023-06-01T00:00:00"/>
    <n v="6"/>
    <s v="Q2"/>
    <x v="53"/>
    <s v="Medium"/>
  </r>
  <r>
    <x v="4"/>
    <x v="5"/>
    <x v="1"/>
    <x v="6"/>
    <x v="6"/>
    <x v="173"/>
    <n v="3.88"/>
    <d v="2023-06-01T00:00:00"/>
    <n v="6"/>
    <s v="Q2"/>
    <x v="53"/>
    <s v="Medium"/>
  </r>
  <r>
    <x v="4"/>
    <x v="5"/>
    <x v="2"/>
    <x v="0"/>
    <x v="0"/>
    <x v="112"/>
    <n v="3.4"/>
    <d v="2023-06-01T00:00:00"/>
    <n v="6"/>
    <s v="Q2"/>
    <x v="53"/>
    <s v="Medium"/>
  </r>
  <r>
    <x v="4"/>
    <x v="5"/>
    <x v="2"/>
    <x v="1"/>
    <x v="1"/>
    <x v="124"/>
    <n v="3.48"/>
    <d v="2023-06-01T00:00:00"/>
    <n v="6"/>
    <s v="Q2"/>
    <x v="53"/>
    <s v="Medium"/>
  </r>
  <r>
    <x v="4"/>
    <x v="5"/>
    <x v="2"/>
    <x v="2"/>
    <x v="2"/>
    <x v="134"/>
    <n v="3.56"/>
    <d v="2023-06-01T00:00:00"/>
    <n v="6"/>
    <s v="Q2"/>
    <x v="53"/>
    <s v="Medium"/>
  </r>
  <r>
    <x v="4"/>
    <x v="5"/>
    <x v="2"/>
    <x v="3"/>
    <x v="3"/>
    <x v="146"/>
    <n v="3.64"/>
    <d v="2023-06-01T00:00:00"/>
    <n v="6"/>
    <s v="Q2"/>
    <x v="53"/>
    <s v="Medium"/>
  </r>
  <r>
    <x v="4"/>
    <x v="5"/>
    <x v="2"/>
    <x v="4"/>
    <x v="4"/>
    <x v="156"/>
    <n v="3.72"/>
    <d v="2023-06-01T00:00:00"/>
    <n v="6"/>
    <s v="Q2"/>
    <x v="53"/>
    <s v="Medium"/>
  </r>
  <r>
    <x v="4"/>
    <x v="5"/>
    <x v="2"/>
    <x v="5"/>
    <x v="5"/>
    <x v="162"/>
    <n v="3.8"/>
    <d v="2023-06-01T00:00:00"/>
    <n v="6"/>
    <s v="Q2"/>
    <x v="53"/>
    <s v="Medium"/>
  </r>
  <r>
    <x v="4"/>
    <x v="5"/>
    <x v="2"/>
    <x v="6"/>
    <x v="6"/>
    <x v="174"/>
    <n v="3.88"/>
    <d v="2023-06-01T00:00:00"/>
    <n v="6"/>
    <s v="Q2"/>
    <x v="53"/>
    <s v="Medium"/>
  </r>
  <r>
    <x v="4"/>
    <x v="6"/>
    <x v="0"/>
    <x v="0"/>
    <x v="0"/>
    <x v="113"/>
    <n v="3.55"/>
    <d v="2023-07-01T00:00:00"/>
    <n v="7"/>
    <s v="Q3"/>
    <x v="54"/>
    <s v="Medium"/>
  </r>
  <r>
    <x v="4"/>
    <x v="6"/>
    <x v="0"/>
    <x v="1"/>
    <x v="1"/>
    <x v="120"/>
    <n v="3.63"/>
    <d v="2023-07-01T00:00:00"/>
    <n v="7"/>
    <s v="Q3"/>
    <x v="54"/>
    <s v="Medium"/>
  </r>
  <r>
    <x v="4"/>
    <x v="6"/>
    <x v="0"/>
    <x v="2"/>
    <x v="2"/>
    <x v="130"/>
    <n v="3.71"/>
    <d v="2023-07-01T00:00:00"/>
    <n v="7"/>
    <s v="Q3"/>
    <x v="54"/>
    <s v="Medium"/>
  </r>
  <r>
    <x v="4"/>
    <x v="6"/>
    <x v="0"/>
    <x v="3"/>
    <x v="3"/>
    <x v="142"/>
    <n v="3.79"/>
    <d v="2023-07-01T00:00:00"/>
    <n v="7"/>
    <s v="Q3"/>
    <x v="54"/>
    <s v="Medium"/>
  </r>
  <r>
    <x v="4"/>
    <x v="6"/>
    <x v="0"/>
    <x v="4"/>
    <x v="4"/>
    <x v="152"/>
    <n v="3.87"/>
    <d v="2023-07-01T00:00:00"/>
    <n v="7"/>
    <s v="Q3"/>
    <x v="54"/>
    <s v="Medium"/>
  </r>
  <r>
    <x v="4"/>
    <x v="6"/>
    <x v="0"/>
    <x v="5"/>
    <x v="5"/>
    <x v="163"/>
    <n v="3.95"/>
    <d v="2023-07-01T00:00:00"/>
    <n v="7"/>
    <s v="Q3"/>
    <x v="54"/>
    <s v="Medium"/>
  </r>
  <r>
    <x v="4"/>
    <x v="6"/>
    <x v="0"/>
    <x v="6"/>
    <x v="6"/>
    <x v="170"/>
    <n v="4.03"/>
    <d v="2023-07-01T00:00:00"/>
    <n v="7"/>
    <s v="Q3"/>
    <x v="54"/>
    <s v="Medium"/>
  </r>
  <r>
    <x v="4"/>
    <x v="6"/>
    <x v="1"/>
    <x v="0"/>
    <x v="0"/>
    <x v="114"/>
    <n v="3.55"/>
    <d v="2023-07-01T00:00:00"/>
    <n v="7"/>
    <s v="Q3"/>
    <x v="54"/>
    <s v="Medium"/>
  </r>
  <r>
    <x v="4"/>
    <x v="6"/>
    <x v="1"/>
    <x v="1"/>
    <x v="1"/>
    <x v="125"/>
    <n v="3.63"/>
    <d v="2023-07-01T00:00:00"/>
    <n v="7"/>
    <s v="Q3"/>
    <x v="54"/>
    <s v="Medium"/>
  </r>
  <r>
    <x v="4"/>
    <x v="6"/>
    <x v="1"/>
    <x v="2"/>
    <x v="2"/>
    <x v="135"/>
    <n v="3.71"/>
    <d v="2023-07-01T00:00:00"/>
    <n v="7"/>
    <s v="Q3"/>
    <x v="54"/>
    <s v="Medium"/>
  </r>
  <r>
    <x v="4"/>
    <x v="6"/>
    <x v="1"/>
    <x v="3"/>
    <x v="3"/>
    <x v="143"/>
    <n v="3.79"/>
    <d v="2023-07-01T00:00:00"/>
    <n v="7"/>
    <s v="Q3"/>
    <x v="54"/>
    <s v="Medium"/>
  </r>
  <r>
    <x v="4"/>
    <x v="6"/>
    <x v="1"/>
    <x v="4"/>
    <x v="4"/>
    <x v="153"/>
    <n v="3.87"/>
    <d v="2023-07-01T00:00:00"/>
    <n v="7"/>
    <s v="Q3"/>
    <x v="54"/>
    <s v="Medium"/>
  </r>
  <r>
    <x v="4"/>
    <x v="6"/>
    <x v="1"/>
    <x v="5"/>
    <x v="5"/>
    <x v="164"/>
    <n v="3.95"/>
    <d v="2023-07-01T00:00:00"/>
    <n v="7"/>
    <s v="Q3"/>
    <x v="54"/>
    <s v="Medium"/>
  </r>
  <r>
    <x v="4"/>
    <x v="6"/>
    <x v="1"/>
    <x v="6"/>
    <x v="6"/>
    <x v="175"/>
    <n v="4.03"/>
    <d v="2023-07-01T00:00:00"/>
    <n v="7"/>
    <s v="Q3"/>
    <x v="54"/>
    <s v="Medium"/>
  </r>
  <r>
    <x v="4"/>
    <x v="6"/>
    <x v="2"/>
    <x v="0"/>
    <x v="0"/>
    <x v="115"/>
    <n v="3.55"/>
    <d v="2023-07-01T00:00:00"/>
    <n v="7"/>
    <s v="Q3"/>
    <x v="54"/>
    <s v="Medium"/>
  </r>
  <r>
    <x v="4"/>
    <x v="6"/>
    <x v="2"/>
    <x v="1"/>
    <x v="1"/>
    <x v="126"/>
    <n v="3.63"/>
    <d v="2023-07-01T00:00:00"/>
    <n v="7"/>
    <s v="Q3"/>
    <x v="54"/>
    <s v="Medium"/>
  </r>
  <r>
    <x v="4"/>
    <x v="6"/>
    <x v="2"/>
    <x v="2"/>
    <x v="2"/>
    <x v="136"/>
    <n v="3.71"/>
    <d v="2023-07-01T00:00:00"/>
    <n v="7"/>
    <s v="Q3"/>
    <x v="54"/>
    <s v="Medium"/>
  </r>
  <r>
    <x v="4"/>
    <x v="6"/>
    <x v="2"/>
    <x v="3"/>
    <x v="3"/>
    <x v="148"/>
    <n v="3.79"/>
    <d v="2023-07-01T00:00:00"/>
    <n v="7"/>
    <s v="Q3"/>
    <x v="54"/>
    <s v="Medium"/>
  </r>
  <r>
    <x v="4"/>
    <x v="6"/>
    <x v="2"/>
    <x v="4"/>
    <x v="4"/>
    <x v="158"/>
    <n v="3.87"/>
    <d v="2023-07-01T00:00:00"/>
    <n v="7"/>
    <s v="Q3"/>
    <x v="54"/>
    <s v="Medium"/>
  </r>
  <r>
    <x v="4"/>
    <x v="6"/>
    <x v="2"/>
    <x v="5"/>
    <x v="5"/>
    <x v="165"/>
    <n v="3.95"/>
    <d v="2023-07-01T00:00:00"/>
    <n v="7"/>
    <s v="Q3"/>
    <x v="54"/>
    <s v="Medium"/>
  </r>
  <r>
    <x v="4"/>
    <x v="6"/>
    <x v="2"/>
    <x v="6"/>
    <x v="6"/>
    <x v="176"/>
    <n v="4.03"/>
    <d v="2023-07-01T00:00:00"/>
    <n v="7"/>
    <s v="Q3"/>
    <x v="54"/>
    <s v="Medium"/>
  </r>
  <r>
    <x v="4"/>
    <x v="7"/>
    <x v="0"/>
    <x v="0"/>
    <x v="0"/>
    <x v="116"/>
    <n v="3.7"/>
    <d v="2023-08-01T00:00:00"/>
    <n v="8"/>
    <s v="Q3"/>
    <x v="55"/>
    <s v="Medium"/>
  </r>
  <r>
    <x v="4"/>
    <x v="7"/>
    <x v="0"/>
    <x v="1"/>
    <x v="1"/>
    <x v="122"/>
    <n v="3.78"/>
    <d v="2023-08-01T00:00:00"/>
    <n v="8"/>
    <s v="Q3"/>
    <x v="55"/>
    <s v="Medium"/>
  </r>
  <r>
    <x v="4"/>
    <x v="7"/>
    <x v="0"/>
    <x v="2"/>
    <x v="2"/>
    <x v="132"/>
    <n v="3.86"/>
    <d v="2023-08-01T00:00:00"/>
    <n v="8"/>
    <s v="Q3"/>
    <x v="55"/>
    <s v="Medium"/>
  </r>
  <r>
    <x v="4"/>
    <x v="7"/>
    <x v="0"/>
    <x v="3"/>
    <x v="3"/>
    <x v="144"/>
    <n v="3.94"/>
    <d v="2023-08-01T00:00:00"/>
    <n v="8"/>
    <s v="Q3"/>
    <x v="55"/>
    <s v="Medium"/>
  </r>
  <r>
    <x v="4"/>
    <x v="7"/>
    <x v="0"/>
    <x v="4"/>
    <x v="4"/>
    <x v="154"/>
    <n v="4.0199999999999996"/>
    <d v="2023-08-01T00:00:00"/>
    <n v="8"/>
    <s v="Q3"/>
    <x v="55"/>
    <s v="Medium"/>
  </r>
  <r>
    <x v="4"/>
    <x v="7"/>
    <x v="0"/>
    <x v="5"/>
    <x v="5"/>
    <x v="166"/>
    <n v="4.0999999999999996"/>
    <d v="2023-08-01T00:00:00"/>
    <n v="8"/>
    <s v="Q3"/>
    <x v="55"/>
    <s v="Medium"/>
  </r>
  <r>
    <x v="4"/>
    <x v="7"/>
    <x v="0"/>
    <x v="6"/>
    <x v="6"/>
    <x v="172"/>
    <n v="4.18"/>
    <d v="2023-08-01T00:00:00"/>
    <n v="8"/>
    <s v="Q3"/>
    <x v="55"/>
    <s v="Medium"/>
  </r>
  <r>
    <x v="4"/>
    <x v="7"/>
    <x v="1"/>
    <x v="0"/>
    <x v="0"/>
    <x v="117"/>
    <n v="3.7"/>
    <d v="2023-08-01T00:00:00"/>
    <n v="8"/>
    <s v="Q3"/>
    <x v="55"/>
    <s v="Medium"/>
  </r>
  <r>
    <x v="4"/>
    <x v="7"/>
    <x v="1"/>
    <x v="1"/>
    <x v="1"/>
    <x v="127"/>
    <n v="3.78"/>
    <d v="2023-08-01T00:00:00"/>
    <n v="8"/>
    <s v="Q3"/>
    <x v="55"/>
    <s v="Medium"/>
  </r>
  <r>
    <x v="4"/>
    <x v="7"/>
    <x v="1"/>
    <x v="2"/>
    <x v="2"/>
    <x v="138"/>
    <n v="3.86"/>
    <d v="2023-08-01T00:00:00"/>
    <n v="8"/>
    <s v="Q3"/>
    <x v="55"/>
    <s v="Medium"/>
  </r>
  <r>
    <x v="4"/>
    <x v="7"/>
    <x v="1"/>
    <x v="3"/>
    <x v="3"/>
    <x v="145"/>
    <n v="3.94"/>
    <d v="2023-08-01T00:00:00"/>
    <n v="8"/>
    <s v="Q3"/>
    <x v="55"/>
    <s v="Medium"/>
  </r>
  <r>
    <x v="4"/>
    <x v="7"/>
    <x v="1"/>
    <x v="4"/>
    <x v="4"/>
    <x v="155"/>
    <n v="4.0199999999999996"/>
    <d v="2023-08-01T00:00:00"/>
    <n v="8"/>
    <s v="Q3"/>
    <x v="55"/>
    <s v="Medium"/>
  </r>
  <r>
    <x v="4"/>
    <x v="7"/>
    <x v="1"/>
    <x v="5"/>
    <x v="5"/>
    <x v="167"/>
    <n v="4.0999999999999996"/>
    <d v="2023-08-01T00:00:00"/>
    <n v="8"/>
    <s v="Q3"/>
    <x v="55"/>
    <s v="Medium"/>
  </r>
  <r>
    <x v="4"/>
    <x v="7"/>
    <x v="1"/>
    <x v="6"/>
    <x v="6"/>
    <x v="177"/>
    <n v="4.18"/>
    <d v="2023-08-01T00:00:00"/>
    <n v="8"/>
    <s v="Q3"/>
    <x v="55"/>
    <s v="Medium"/>
  </r>
  <r>
    <x v="4"/>
    <x v="7"/>
    <x v="2"/>
    <x v="0"/>
    <x v="0"/>
    <x v="118"/>
    <n v="3.7"/>
    <d v="2023-08-01T00:00:00"/>
    <n v="8"/>
    <s v="Q3"/>
    <x v="55"/>
    <s v="Medium"/>
  </r>
  <r>
    <x v="4"/>
    <x v="7"/>
    <x v="2"/>
    <x v="1"/>
    <x v="1"/>
    <x v="128"/>
    <n v="3.78"/>
    <d v="2023-08-01T00:00:00"/>
    <n v="8"/>
    <s v="Q3"/>
    <x v="55"/>
    <s v="Medium"/>
  </r>
  <r>
    <x v="4"/>
    <x v="7"/>
    <x v="2"/>
    <x v="2"/>
    <x v="2"/>
    <x v="139"/>
    <n v="3.86"/>
    <d v="2023-08-01T00:00:00"/>
    <n v="8"/>
    <s v="Q3"/>
    <x v="55"/>
    <s v="Medium"/>
  </r>
  <r>
    <x v="4"/>
    <x v="7"/>
    <x v="2"/>
    <x v="3"/>
    <x v="3"/>
    <x v="150"/>
    <n v="3.94"/>
    <d v="2023-08-01T00:00:00"/>
    <n v="8"/>
    <s v="Q3"/>
    <x v="55"/>
    <s v="Medium"/>
  </r>
  <r>
    <x v="4"/>
    <x v="7"/>
    <x v="2"/>
    <x v="4"/>
    <x v="4"/>
    <x v="160"/>
    <n v="4.0199999999999996"/>
    <d v="2023-08-01T00:00:00"/>
    <n v="8"/>
    <s v="Q3"/>
    <x v="55"/>
    <s v="Medium"/>
  </r>
  <r>
    <x v="4"/>
    <x v="7"/>
    <x v="2"/>
    <x v="5"/>
    <x v="5"/>
    <x v="168"/>
    <n v="4.0999999999999996"/>
    <d v="2023-08-01T00:00:00"/>
    <n v="8"/>
    <s v="Q3"/>
    <x v="55"/>
    <s v="Medium"/>
  </r>
  <r>
    <x v="4"/>
    <x v="7"/>
    <x v="2"/>
    <x v="6"/>
    <x v="6"/>
    <x v="178"/>
    <n v="4.18"/>
    <d v="2023-08-01T00:00:00"/>
    <n v="8"/>
    <s v="Q3"/>
    <x v="55"/>
    <s v="Medium"/>
  </r>
  <r>
    <x v="4"/>
    <x v="8"/>
    <x v="0"/>
    <x v="0"/>
    <x v="0"/>
    <x v="112"/>
    <n v="3.85"/>
    <d v="2023-09-01T00:00:00"/>
    <n v="9"/>
    <s v="Q3"/>
    <x v="56"/>
    <s v="Medium"/>
  </r>
  <r>
    <x v="4"/>
    <x v="8"/>
    <x v="0"/>
    <x v="1"/>
    <x v="1"/>
    <x v="124"/>
    <n v="3.93"/>
    <d v="2023-09-01T00:00:00"/>
    <n v="9"/>
    <s v="Q3"/>
    <x v="56"/>
    <s v="Medium"/>
  </r>
  <r>
    <x v="4"/>
    <x v="8"/>
    <x v="0"/>
    <x v="2"/>
    <x v="2"/>
    <x v="134"/>
    <n v="4.01"/>
    <d v="2023-09-01T00:00:00"/>
    <n v="9"/>
    <s v="Q3"/>
    <x v="56"/>
    <s v="Medium"/>
  </r>
  <r>
    <x v="4"/>
    <x v="8"/>
    <x v="0"/>
    <x v="3"/>
    <x v="3"/>
    <x v="146"/>
    <n v="4.09"/>
    <d v="2023-09-01T00:00:00"/>
    <n v="9"/>
    <s v="Q3"/>
    <x v="56"/>
    <s v="Medium"/>
  </r>
  <r>
    <x v="4"/>
    <x v="8"/>
    <x v="0"/>
    <x v="4"/>
    <x v="4"/>
    <x v="156"/>
    <n v="4.17"/>
    <d v="2023-09-01T00:00:00"/>
    <n v="9"/>
    <s v="Q3"/>
    <x v="56"/>
    <s v="Medium"/>
  </r>
  <r>
    <x v="4"/>
    <x v="8"/>
    <x v="0"/>
    <x v="5"/>
    <x v="5"/>
    <x v="162"/>
    <n v="4.25"/>
    <d v="2023-09-01T00:00:00"/>
    <n v="9"/>
    <s v="Q3"/>
    <x v="56"/>
    <s v="Medium"/>
  </r>
  <r>
    <x v="4"/>
    <x v="8"/>
    <x v="0"/>
    <x v="6"/>
    <x v="6"/>
    <x v="174"/>
    <n v="4.33"/>
    <d v="2023-09-01T00:00:00"/>
    <n v="9"/>
    <s v="Q3"/>
    <x v="56"/>
    <s v="Medium"/>
  </r>
  <r>
    <x v="4"/>
    <x v="8"/>
    <x v="1"/>
    <x v="0"/>
    <x v="0"/>
    <x v="119"/>
    <n v="3.85"/>
    <d v="2023-09-01T00:00:00"/>
    <n v="9"/>
    <s v="Q3"/>
    <x v="56"/>
    <s v="Medium"/>
  </r>
  <r>
    <x v="4"/>
    <x v="8"/>
    <x v="1"/>
    <x v="1"/>
    <x v="1"/>
    <x v="129"/>
    <n v="3.93"/>
    <d v="2023-09-01T00:00:00"/>
    <n v="9"/>
    <s v="Q3"/>
    <x v="56"/>
    <s v="Medium"/>
  </r>
  <r>
    <x v="4"/>
    <x v="8"/>
    <x v="1"/>
    <x v="2"/>
    <x v="2"/>
    <x v="141"/>
    <n v="4.01"/>
    <d v="2023-09-01T00:00:00"/>
    <n v="9"/>
    <s v="Q3"/>
    <x v="56"/>
    <s v="Medium"/>
  </r>
  <r>
    <x v="4"/>
    <x v="8"/>
    <x v="1"/>
    <x v="3"/>
    <x v="3"/>
    <x v="147"/>
    <n v="4.09"/>
    <d v="2023-09-01T00:00:00"/>
    <n v="9"/>
    <s v="Q3"/>
    <x v="56"/>
    <s v="Medium"/>
  </r>
  <r>
    <x v="4"/>
    <x v="8"/>
    <x v="1"/>
    <x v="4"/>
    <x v="4"/>
    <x v="157"/>
    <n v="4.17"/>
    <d v="2023-09-01T00:00:00"/>
    <n v="9"/>
    <s v="Q3"/>
    <x v="56"/>
    <s v="Medium"/>
  </r>
  <r>
    <x v="4"/>
    <x v="8"/>
    <x v="1"/>
    <x v="5"/>
    <x v="5"/>
    <x v="169"/>
    <n v="4.25"/>
    <d v="2023-09-01T00:00:00"/>
    <n v="9"/>
    <s v="Q3"/>
    <x v="56"/>
    <s v="Medium"/>
  </r>
  <r>
    <x v="4"/>
    <x v="8"/>
    <x v="1"/>
    <x v="6"/>
    <x v="6"/>
    <x v="179"/>
    <n v="4.33"/>
    <d v="2023-09-01T00:00:00"/>
    <n v="9"/>
    <s v="Q3"/>
    <x v="56"/>
    <s v="Medium"/>
  </r>
  <r>
    <x v="4"/>
    <x v="8"/>
    <x v="2"/>
    <x v="0"/>
    <x v="0"/>
    <x v="120"/>
    <n v="3.85"/>
    <d v="2023-09-01T00:00:00"/>
    <n v="9"/>
    <s v="Q3"/>
    <x v="56"/>
    <s v="Medium"/>
  </r>
  <r>
    <x v="4"/>
    <x v="8"/>
    <x v="2"/>
    <x v="1"/>
    <x v="1"/>
    <x v="130"/>
    <n v="3.93"/>
    <d v="2023-09-01T00:00:00"/>
    <n v="9"/>
    <s v="Q3"/>
    <x v="56"/>
    <s v="Medium"/>
  </r>
  <r>
    <x v="4"/>
    <x v="8"/>
    <x v="2"/>
    <x v="2"/>
    <x v="2"/>
    <x v="142"/>
    <n v="4.01"/>
    <d v="2023-09-01T00:00:00"/>
    <n v="9"/>
    <s v="Q3"/>
    <x v="56"/>
    <s v="Medium"/>
  </r>
  <r>
    <x v="4"/>
    <x v="8"/>
    <x v="2"/>
    <x v="3"/>
    <x v="3"/>
    <x v="152"/>
    <n v="4.09"/>
    <d v="2023-09-01T00:00:00"/>
    <n v="9"/>
    <s v="Q3"/>
    <x v="56"/>
    <s v="Medium"/>
  </r>
  <r>
    <x v="4"/>
    <x v="8"/>
    <x v="2"/>
    <x v="4"/>
    <x v="4"/>
    <x v="163"/>
    <n v="4.17"/>
    <d v="2023-09-01T00:00:00"/>
    <n v="9"/>
    <s v="Q3"/>
    <x v="56"/>
    <s v="Medium"/>
  </r>
  <r>
    <x v="4"/>
    <x v="8"/>
    <x v="2"/>
    <x v="5"/>
    <x v="5"/>
    <x v="170"/>
    <n v="4.25"/>
    <d v="2023-09-01T00:00:00"/>
    <n v="9"/>
    <s v="Q3"/>
    <x v="56"/>
    <s v="Medium"/>
  </r>
  <r>
    <x v="4"/>
    <x v="8"/>
    <x v="2"/>
    <x v="6"/>
    <x v="6"/>
    <x v="180"/>
    <n v="4.33"/>
    <d v="2023-09-01T00:00:00"/>
    <n v="9"/>
    <s v="Q3"/>
    <x v="56"/>
    <s v="Medium"/>
  </r>
  <r>
    <x v="4"/>
    <x v="9"/>
    <x v="0"/>
    <x v="0"/>
    <x v="0"/>
    <x v="115"/>
    <n v="4"/>
    <d v="2023-10-01T00:00:00"/>
    <n v="10"/>
    <s v="Q4"/>
    <x v="57"/>
    <s v="Medium"/>
  </r>
  <r>
    <x v="4"/>
    <x v="9"/>
    <x v="0"/>
    <x v="1"/>
    <x v="1"/>
    <x v="126"/>
    <n v="4.08"/>
    <d v="2023-10-01T00:00:00"/>
    <n v="10"/>
    <s v="Q4"/>
    <x v="57"/>
    <s v="Medium"/>
  </r>
  <r>
    <x v="4"/>
    <x v="9"/>
    <x v="0"/>
    <x v="2"/>
    <x v="2"/>
    <x v="136"/>
    <n v="4.16"/>
    <d v="2023-10-01T00:00:00"/>
    <n v="10"/>
    <s v="Q4"/>
    <x v="57"/>
    <s v="Medium"/>
  </r>
  <r>
    <x v="4"/>
    <x v="9"/>
    <x v="0"/>
    <x v="3"/>
    <x v="3"/>
    <x v="148"/>
    <n v="4.24"/>
    <d v="2023-10-01T00:00:00"/>
    <n v="10"/>
    <s v="Q4"/>
    <x v="57"/>
    <s v="Medium"/>
  </r>
  <r>
    <x v="4"/>
    <x v="9"/>
    <x v="0"/>
    <x v="4"/>
    <x v="4"/>
    <x v="158"/>
    <n v="4.32"/>
    <d v="2023-10-01T00:00:00"/>
    <n v="10"/>
    <s v="Q4"/>
    <x v="57"/>
    <s v="Medium"/>
  </r>
  <r>
    <x v="4"/>
    <x v="9"/>
    <x v="0"/>
    <x v="5"/>
    <x v="5"/>
    <x v="165"/>
    <n v="4.4000000000000004"/>
    <d v="2023-10-01T00:00:00"/>
    <n v="10"/>
    <s v="Q4"/>
    <x v="57"/>
    <s v="Medium"/>
  </r>
  <r>
    <x v="4"/>
    <x v="9"/>
    <x v="0"/>
    <x v="6"/>
    <x v="6"/>
    <x v="176"/>
    <n v="4.4800000000000004"/>
    <d v="2023-10-01T00:00:00"/>
    <n v="10"/>
    <s v="Q4"/>
    <x v="57"/>
    <s v="Medium"/>
  </r>
  <r>
    <x v="4"/>
    <x v="9"/>
    <x v="1"/>
    <x v="0"/>
    <x v="0"/>
    <x v="121"/>
    <n v="4"/>
    <d v="2023-10-01T00:00:00"/>
    <n v="10"/>
    <s v="Q4"/>
    <x v="57"/>
    <s v="Medium"/>
  </r>
  <r>
    <x v="4"/>
    <x v="9"/>
    <x v="1"/>
    <x v="1"/>
    <x v="1"/>
    <x v="131"/>
    <n v="4.08"/>
    <d v="2023-10-01T00:00:00"/>
    <n v="10"/>
    <s v="Q4"/>
    <x v="57"/>
    <s v="Medium"/>
  </r>
  <r>
    <x v="4"/>
    <x v="9"/>
    <x v="1"/>
    <x v="2"/>
    <x v="2"/>
    <x v="137"/>
    <n v="4.16"/>
    <d v="2023-10-01T00:00:00"/>
    <n v="10"/>
    <s v="Q4"/>
    <x v="57"/>
    <s v="Medium"/>
  </r>
  <r>
    <x v="4"/>
    <x v="9"/>
    <x v="1"/>
    <x v="3"/>
    <x v="3"/>
    <x v="149"/>
    <n v="4.24"/>
    <d v="2023-10-01T00:00:00"/>
    <n v="10"/>
    <s v="Q4"/>
    <x v="57"/>
    <s v="Medium"/>
  </r>
  <r>
    <x v="4"/>
    <x v="9"/>
    <x v="1"/>
    <x v="4"/>
    <x v="4"/>
    <x v="159"/>
    <n v="4.32"/>
    <d v="2023-10-01T00:00:00"/>
    <n v="10"/>
    <s v="Q4"/>
    <x v="57"/>
    <s v="Medium"/>
  </r>
  <r>
    <x v="4"/>
    <x v="9"/>
    <x v="1"/>
    <x v="5"/>
    <x v="5"/>
    <x v="171"/>
    <n v="4.4000000000000004"/>
    <d v="2023-10-01T00:00:00"/>
    <n v="10"/>
    <s v="Q4"/>
    <x v="57"/>
    <s v="Medium"/>
  </r>
  <r>
    <x v="4"/>
    <x v="9"/>
    <x v="1"/>
    <x v="6"/>
    <x v="6"/>
    <x v="181"/>
    <n v="4.4800000000000004"/>
    <d v="2023-10-01T00:00:00"/>
    <n v="10"/>
    <s v="Q4"/>
    <x v="57"/>
    <s v="Medium"/>
  </r>
  <r>
    <x v="4"/>
    <x v="9"/>
    <x v="2"/>
    <x v="0"/>
    <x v="0"/>
    <x v="122"/>
    <n v="4"/>
    <d v="2023-10-01T00:00:00"/>
    <n v="10"/>
    <s v="Q4"/>
    <x v="57"/>
    <s v="Medium"/>
  </r>
  <r>
    <x v="4"/>
    <x v="9"/>
    <x v="2"/>
    <x v="1"/>
    <x v="1"/>
    <x v="132"/>
    <n v="4.08"/>
    <d v="2023-10-01T00:00:00"/>
    <n v="10"/>
    <s v="Q4"/>
    <x v="57"/>
    <s v="Medium"/>
  </r>
  <r>
    <x v="4"/>
    <x v="9"/>
    <x v="2"/>
    <x v="2"/>
    <x v="2"/>
    <x v="144"/>
    <n v="4.16"/>
    <d v="2023-10-01T00:00:00"/>
    <n v="10"/>
    <s v="Q4"/>
    <x v="57"/>
    <s v="Medium"/>
  </r>
  <r>
    <x v="4"/>
    <x v="9"/>
    <x v="2"/>
    <x v="3"/>
    <x v="3"/>
    <x v="154"/>
    <n v="4.24"/>
    <d v="2023-10-01T00:00:00"/>
    <n v="10"/>
    <s v="Q4"/>
    <x v="57"/>
    <s v="Medium"/>
  </r>
  <r>
    <x v="4"/>
    <x v="9"/>
    <x v="2"/>
    <x v="4"/>
    <x v="4"/>
    <x v="166"/>
    <n v="4.32"/>
    <d v="2023-10-01T00:00:00"/>
    <n v="10"/>
    <s v="Q4"/>
    <x v="57"/>
    <s v="Medium"/>
  </r>
  <r>
    <x v="4"/>
    <x v="9"/>
    <x v="2"/>
    <x v="5"/>
    <x v="5"/>
    <x v="172"/>
    <n v="4.4000000000000004"/>
    <d v="2023-10-01T00:00:00"/>
    <n v="10"/>
    <s v="Q4"/>
    <x v="57"/>
    <s v="Medium"/>
  </r>
  <r>
    <x v="4"/>
    <x v="9"/>
    <x v="2"/>
    <x v="6"/>
    <x v="6"/>
    <x v="182"/>
    <n v="4.4800000000000004"/>
    <d v="2023-10-01T00:00:00"/>
    <n v="10"/>
    <s v="Q4"/>
    <x v="57"/>
    <s v="Medium"/>
  </r>
  <r>
    <x v="4"/>
    <x v="10"/>
    <x v="0"/>
    <x v="0"/>
    <x v="0"/>
    <x v="118"/>
    <n v="4.1500000000000004"/>
    <d v="2023-11-01T00:00:00"/>
    <n v="11"/>
    <s v="Q4"/>
    <x v="58"/>
    <s v="Medium"/>
  </r>
  <r>
    <x v="4"/>
    <x v="10"/>
    <x v="0"/>
    <x v="1"/>
    <x v="1"/>
    <x v="128"/>
    <n v="4.2300000000000004"/>
    <d v="2023-11-01T00:00:00"/>
    <n v="11"/>
    <s v="Q4"/>
    <x v="58"/>
    <s v="Medium"/>
  </r>
  <r>
    <x v="4"/>
    <x v="10"/>
    <x v="0"/>
    <x v="2"/>
    <x v="2"/>
    <x v="139"/>
    <n v="4.3099999999999996"/>
    <d v="2023-11-01T00:00:00"/>
    <n v="11"/>
    <s v="Q4"/>
    <x v="58"/>
    <s v="Medium"/>
  </r>
  <r>
    <x v="4"/>
    <x v="10"/>
    <x v="0"/>
    <x v="3"/>
    <x v="3"/>
    <x v="150"/>
    <n v="4.3899999999999997"/>
    <d v="2023-11-01T00:00:00"/>
    <n v="11"/>
    <s v="Q4"/>
    <x v="58"/>
    <s v="Medium"/>
  </r>
  <r>
    <x v="4"/>
    <x v="10"/>
    <x v="0"/>
    <x v="4"/>
    <x v="4"/>
    <x v="160"/>
    <n v="4.47"/>
    <d v="2023-11-01T00:00:00"/>
    <n v="11"/>
    <s v="Q4"/>
    <x v="58"/>
    <s v="Medium"/>
  </r>
  <r>
    <x v="4"/>
    <x v="10"/>
    <x v="0"/>
    <x v="5"/>
    <x v="5"/>
    <x v="168"/>
    <n v="4.55"/>
    <d v="2023-11-01T00:00:00"/>
    <n v="11"/>
    <s v="Q4"/>
    <x v="58"/>
    <s v="Medium"/>
  </r>
  <r>
    <x v="4"/>
    <x v="10"/>
    <x v="0"/>
    <x v="6"/>
    <x v="6"/>
    <x v="178"/>
    <n v="4.63"/>
    <d v="2023-11-01T00:00:00"/>
    <n v="11"/>
    <s v="Q4"/>
    <x v="58"/>
    <s v="Medium"/>
  </r>
  <r>
    <x v="4"/>
    <x v="10"/>
    <x v="1"/>
    <x v="0"/>
    <x v="0"/>
    <x v="123"/>
    <n v="4.1500000000000004"/>
    <d v="2023-11-01T00:00:00"/>
    <n v="11"/>
    <s v="Q4"/>
    <x v="58"/>
    <s v="Medium"/>
  </r>
  <r>
    <x v="4"/>
    <x v="10"/>
    <x v="1"/>
    <x v="1"/>
    <x v="1"/>
    <x v="133"/>
    <n v="4.2300000000000004"/>
    <d v="2023-11-01T00:00:00"/>
    <n v="11"/>
    <s v="Q4"/>
    <x v="58"/>
    <s v="Medium"/>
  </r>
  <r>
    <x v="4"/>
    <x v="10"/>
    <x v="1"/>
    <x v="2"/>
    <x v="2"/>
    <x v="140"/>
    <n v="4.3099999999999996"/>
    <d v="2023-11-01T00:00:00"/>
    <n v="11"/>
    <s v="Q4"/>
    <x v="58"/>
    <s v="Medium"/>
  </r>
  <r>
    <x v="4"/>
    <x v="10"/>
    <x v="1"/>
    <x v="3"/>
    <x v="3"/>
    <x v="151"/>
    <n v="4.3899999999999997"/>
    <d v="2023-11-01T00:00:00"/>
    <n v="11"/>
    <s v="Q4"/>
    <x v="58"/>
    <s v="Medium"/>
  </r>
  <r>
    <x v="4"/>
    <x v="10"/>
    <x v="1"/>
    <x v="4"/>
    <x v="4"/>
    <x v="161"/>
    <n v="4.47"/>
    <d v="2023-11-01T00:00:00"/>
    <n v="11"/>
    <s v="Q4"/>
    <x v="58"/>
    <s v="Medium"/>
  </r>
  <r>
    <x v="4"/>
    <x v="10"/>
    <x v="1"/>
    <x v="5"/>
    <x v="5"/>
    <x v="173"/>
    <n v="4.55"/>
    <d v="2023-11-01T00:00:00"/>
    <n v="11"/>
    <s v="Q4"/>
    <x v="58"/>
    <s v="Medium"/>
  </r>
  <r>
    <x v="4"/>
    <x v="10"/>
    <x v="1"/>
    <x v="6"/>
    <x v="6"/>
    <x v="183"/>
    <n v="4.63"/>
    <d v="2023-11-01T00:00:00"/>
    <n v="11"/>
    <s v="Q4"/>
    <x v="58"/>
    <s v="Medium"/>
  </r>
  <r>
    <x v="4"/>
    <x v="10"/>
    <x v="2"/>
    <x v="0"/>
    <x v="0"/>
    <x v="124"/>
    <n v="4.1500000000000004"/>
    <d v="2023-11-01T00:00:00"/>
    <n v="11"/>
    <s v="Q4"/>
    <x v="58"/>
    <s v="Medium"/>
  </r>
  <r>
    <x v="4"/>
    <x v="10"/>
    <x v="2"/>
    <x v="1"/>
    <x v="1"/>
    <x v="134"/>
    <n v="4.2300000000000004"/>
    <d v="2023-11-01T00:00:00"/>
    <n v="11"/>
    <s v="Q4"/>
    <x v="58"/>
    <s v="Medium"/>
  </r>
  <r>
    <x v="4"/>
    <x v="10"/>
    <x v="2"/>
    <x v="2"/>
    <x v="2"/>
    <x v="146"/>
    <n v="4.3099999999999996"/>
    <d v="2023-11-01T00:00:00"/>
    <n v="11"/>
    <s v="Q4"/>
    <x v="58"/>
    <s v="Medium"/>
  </r>
  <r>
    <x v="4"/>
    <x v="10"/>
    <x v="2"/>
    <x v="3"/>
    <x v="3"/>
    <x v="156"/>
    <n v="4.3899999999999997"/>
    <d v="2023-11-01T00:00:00"/>
    <n v="11"/>
    <s v="Q4"/>
    <x v="58"/>
    <s v="Medium"/>
  </r>
  <r>
    <x v="4"/>
    <x v="10"/>
    <x v="2"/>
    <x v="4"/>
    <x v="4"/>
    <x v="162"/>
    <n v="4.47"/>
    <d v="2023-11-01T00:00:00"/>
    <n v="11"/>
    <s v="Q4"/>
    <x v="58"/>
    <s v="Medium"/>
  </r>
  <r>
    <x v="4"/>
    <x v="10"/>
    <x v="2"/>
    <x v="5"/>
    <x v="5"/>
    <x v="174"/>
    <n v="4.55"/>
    <d v="2023-11-01T00:00:00"/>
    <n v="11"/>
    <s v="Q4"/>
    <x v="58"/>
    <s v="Medium"/>
  </r>
  <r>
    <x v="4"/>
    <x v="10"/>
    <x v="2"/>
    <x v="6"/>
    <x v="6"/>
    <x v="184"/>
    <n v="4.63"/>
    <d v="2023-11-01T00:00:00"/>
    <n v="11"/>
    <s v="Q4"/>
    <x v="58"/>
    <s v="Medium"/>
  </r>
  <r>
    <x v="4"/>
    <x v="11"/>
    <x v="0"/>
    <x v="0"/>
    <x v="0"/>
    <x v="120"/>
    <n v="3.4"/>
    <d v="2023-12-01T00:00:00"/>
    <n v="12"/>
    <s v="Q4"/>
    <x v="59"/>
    <s v="Medium"/>
  </r>
  <r>
    <x v="4"/>
    <x v="11"/>
    <x v="0"/>
    <x v="1"/>
    <x v="1"/>
    <x v="130"/>
    <n v="3.48"/>
    <d v="2023-12-01T00:00:00"/>
    <n v="12"/>
    <s v="Q4"/>
    <x v="59"/>
    <s v="Medium"/>
  </r>
  <r>
    <x v="4"/>
    <x v="11"/>
    <x v="0"/>
    <x v="2"/>
    <x v="2"/>
    <x v="142"/>
    <n v="3.56"/>
    <d v="2023-12-01T00:00:00"/>
    <n v="12"/>
    <s v="Q4"/>
    <x v="59"/>
    <s v="Medium"/>
  </r>
  <r>
    <x v="4"/>
    <x v="11"/>
    <x v="0"/>
    <x v="3"/>
    <x v="3"/>
    <x v="152"/>
    <n v="3.64"/>
    <d v="2023-12-01T00:00:00"/>
    <n v="12"/>
    <s v="Q4"/>
    <x v="59"/>
    <s v="Medium"/>
  </r>
  <r>
    <x v="4"/>
    <x v="11"/>
    <x v="0"/>
    <x v="4"/>
    <x v="4"/>
    <x v="163"/>
    <n v="3.72"/>
    <d v="2023-12-01T00:00:00"/>
    <n v="12"/>
    <s v="Q4"/>
    <x v="59"/>
    <s v="Medium"/>
  </r>
  <r>
    <x v="4"/>
    <x v="11"/>
    <x v="0"/>
    <x v="5"/>
    <x v="5"/>
    <x v="170"/>
    <n v="3.8"/>
    <d v="2023-12-01T00:00:00"/>
    <n v="12"/>
    <s v="Q4"/>
    <x v="59"/>
    <s v="Medium"/>
  </r>
  <r>
    <x v="4"/>
    <x v="11"/>
    <x v="0"/>
    <x v="6"/>
    <x v="6"/>
    <x v="180"/>
    <n v="3.88"/>
    <d v="2023-12-01T00:00:00"/>
    <n v="12"/>
    <s v="Q4"/>
    <x v="59"/>
    <s v="Medium"/>
  </r>
  <r>
    <x v="4"/>
    <x v="11"/>
    <x v="1"/>
    <x v="0"/>
    <x v="0"/>
    <x v="125"/>
    <n v="3.4"/>
    <d v="2023-12-01T00:00:00"/>
    <n v="12"/>
    <s v="Q4"/>
    <x v="59"/>
    <s v="Medium"/>
  </r>
  <r>
    <x v="4"/>
    <x v="11"/>
    <x v="1"/>
    <x v="1"/>
    <x v="1"/>
    <x v="135"/>
    <n v="3.48"/>
    <d v="2023-12-01T00:00:00"/>
    <n v="12"/>
    <s v="Q4"/>
    <x v="59"/>
    <s v="Medium"/>
  </r>
  <r>
    <x v="4"/>
    <x v="11"/>
    <x v="1"/>
    <x v="2"/>
    <x v="2"/>
    <x v="143"/>
    <n v="3.56"/>
    <d v="2023-12-01T00:00:00"/>
    <n v="12"/>
    <s v="Q4"/>
    <x v="59"/>
    <s v="Medium"/>
  </r>
  <r>
    <x v="4"/>
    <x v="11"/>
    <x v="1"/>
    <x v="3"/>
    <x v="3"/>
    <x v="153"/>
    <n v="3.64"/>
    <d v="2023-12-01T00:00:00"/>
    <n v="12"/>
    <s v="Q4"/>
    <x v="59"/>
    <s v="Medium"/>
  </r>
  <r>
    <x v="4"/>
    <x v="11"/>
    <x v="1"/>
    <x v="4"/>
    <x v="4"/>
    <x v="164"/>
    <n v="3.72"/>
    <d v="2023-12-01T00:00:00"/>
    <n v="12"/>
    <s v="Q4"/>
    <x v="59"/>
    <s v="Medium"/>
  </r>
  <r>
    <x v="4"/>
    <x v="11"/>
    <x v="1"/>
    <x v="5"/>
    <x v="5"/>
    <x v="175"/>
    <n v="3.8"/>
    <d v="2023-12-01T00:00:00"/>
    <n v="12"/>
    <s v="Q4"/>
    <x v="59"/>
    <s v="Medium"/>
  </r>
  <r>
    <x v="4"/>
    <x v="11"/>
    <x v="1"/>
    <x v="6"/>
    <x v="6"/>
    <x v="185"/>
    <n v="3.88"/>
    <d v="2023-12-01T00:00:00"/>
    <n v="12"/>
    <s v="Q4"/>
    <x v="59"/>
    <s v="Medium"/>
  </r>
  <r>
    <x v="4"/>
    <x v="11"/>
    <x v="2"/>
    <x v="0"/>
    <x v="0"/>
    <x v="126"/>
    <n v="3.4"/>
    <d v="2023-12-01T00:00:00"/>
    <n v="12"/>
    <s v="Q4"/>
    <x v="59"/>
    <s v="Medium"/>
  </r>
  <r>
    <x v="4"/>
    <x v="11"/>
    <x v="2"/>
    <x v="1"/>
    <x v="1"/>
    <x v="136"/>
    <n v="3.48"/>
    <d v="2023-12-01T00:00:00"/>
    <n v="12"/>
    <s v="Q4"/>
    <x v="59"/>
    <s v="Medium"/>
  </r>
  <r>
    <x v="4"/>
    <x v="11"/>
    <x v="2"/>
    <x v="2"/>
    <x v="2"/>
    <x v="148"/>
    <n v="3.56"/>
    <d v="2023-12-01T00:00:00"/>
    <n v="12"/>
    <s v="Q4"/>
    <x v="59"/>
    <s v="Medium"/>
  </r>
  <r>
    <x v="4"/>
    <x v="11"/>
    <x v="2"/>
    <x v="3"/>
    <x v="3"/>
    <x v="158"/>
    <n v="3.64"/>
    <d v="2023-12-01T00:00:00"/>
    <n v="12"/>
    <s v="Q4"/>
    <x v="59"/>
    <s v="Medium"/>
  </r>
  <r>
    <x v="4"/>
    <x v="11"/>
    <x v="2"/>
    <x v="4"/>
    <x v="4"/>
    <x v="165"/>
    <n v="3.72"/>
    <d v="2023-12-01T00:00:00"/>
    <n v="12"/>
    <s v="Q4"/>
    <x v="59"/>
    <s v="Medium"/>
  </r>
  <r>
    <x v="4"/>
    <x v="11"/>
    <x v="2"/>
    <x v="5"/>
    <x v="5"/>
    <x v="176"/>
    <n v="3.8"/>
    <d v="2023-12-01T00:00:00"/>
    <n v="12"/>
    <s v="Q4"/>
    <x v="59"/>
    <s v="Medium"/>
  </r>
  <r>
    <x v="4"/>
    <x v="11"/>
    <x v="2"/>
    <x v="6"/>
    <x v="6"/>
    <x v="186"/>
    <n v="3.88"/>
    <d v="2023-12-01T00:00:00"/>
    <n v="12"/>
    <s v="Q4"/>
    <x v="59"/>
    <s v="Medium"/>
  </r>
  <r>
    <x v="5"/>
    <x v="0"/>
    <x v="0"/>
    <x v="0"/>
    <x v="0"/>
    <x v="125"/>
    <n v="3.9"/>
    <d v="2024-01-01T00:00:00"/>
    <n v="1"/>
    <s v="Q1"/>
    <x v="60"/>
    <s v="Medium"/>
  </r>
  <r>
    <x v="5"/>
    <x v="0"/>
    <x v="0"/>
    <x v="1"/>
    <x v="1"/>
    <x v="135"/>
    <n v="3.98"/>
    <d v="2024-01-01T00:00:00"/>
    <n v="1"/>
    <s v="Q1"/>
    <x v="60"/>
    <s v="Medium"/>
  </r>
  <r>
    <x v="5"/>
    <x v="0"/>
    <x v="0"/>
    <x v="2"/>
    <x v="2"/>
    <x v="143"/>
    <n v="4.0599999999999996"/>
    <d v="2024-01-01T00:00:00"/>
    <n v="1"/>
    <s v="Q1"/>
    <x v="60"/>
    <s v="Medium"/>
  </r>
  <r>
    <x v="5"/>
    <x v="0"/>
    <x v="0"/>
    <x v="3"/>
    <x v="3"/>
    <x v="153"/>
    <n v="4.1399999999999997"/>
    <d v="2024-01-01T00:00:00"/>
    <n v="1"/>
    <s v="Q1"/>
    <x v="60"/>
    <s v="Medium"/>
  </r>
  <r>
    <x v="5"/>
    <x v="0"/>
    <x v="0"/>
    <x v="4"/>
    <x v="4"/>
    <x v="164"/>
    <n v="4.22"/>
    <d v="2024-01-01T00:00:00"/>
    <n v="1"/>
    <s v="Q1"/>
    <x v="60"/>
    <s v="Medium"/>
  </r>
  <r>
    <x v="5"/>
    <x v="0"/>
    <x v="0"/>
    <x v="5"/>
    <x v="5"/>
    <x v="175"/>
    <n v="4.3"/>
    <d v="2024-01-01T00:00:00"/>
    <n v="1"/>
    <s v="Q1"/>
    <x v="60"/>
    <s v="Medium"/>
  </r>
  <r>
    <x v="5"/>
    <x v="0"/>
    <x v="0"/>
    <x v="6"/>
    <x v="6"/>
    <x v="185"/>
    <n v="4.38"/>
    <d v="2024-01-01T00:00:00"/>
    <n v="1"/>
    <s v="Q1"/>
    <x v="60"/>
    <s v="Medium"/>
  </r>
  <r>
    <x v="5"/>
    <x v="0"/>
    <x v="1"/>
    <x v="0"/>
    <x v="0"/>
    <x v="126"/>
    <n v="3.9"/>
    <d v="2024-01-01T00:00:00"/>
    <n v="1"/>
    <s v="Q1"/>
    <x v="60"/>
    <s v="Medium"/>
  </r>
  <r>
    <x v="5"/>
    <x v="0"/>
    <x v="1"/>
    <x v="1"/>
    <x v="1"/>
    <x v="136"/>
    <n v="3.98"/>
    <d v="2024-01-01T00:00:00"/>
    <n v="1"/>
    <s v="Q1"/>
    <x v="60"/>
    <s v="Medium"/>
  </r>
  <r>
    <x v="5"/>
    <x v="0"/>
    <x v="1"/>
    <x v="2"/>
    <x v="2"/>
    <x v="148"/>
    <n v="4.0599999999999996"/>
    <d v="2024-01-01T00:00:00"/>
    <n v="1"/>
    <s v="Q1"/>
    <x v="60"/>
    <s v="Medium"/>
  </r>
  <r>
    <x v="5"/>
    <x v="0"/>
    <x v="1"/>
    <x v="3"/>
    <x v="3"/>
    <x v="158"/>
    <n v="4.1399999999999997"/>
    <d v="2024-01-01T00:00:00"/>
    <n v="1"/>
    <s v="Q1"/>
    <x v="60"/>
    <s v="Medium"/>
  </r>
  <r>
    <x v="5"/>
    <x v="0"/>
    <x v="1"/>
    <x v="4"/>
    <x v="4"/>
    <x v="165"/>
    <n v="4.22"/>
    <d v="2024-01-01T00:00:00"/>
    <n v="1"/>
    <s v="Q1"/>
    <x v="60"/>
    <s v="Medium"/>
  </r>
  <r>
    <x v="5"/>
    <x v="0"/>
    <x v="1"/>
    <x v="5"/>
    <x v="5"/>
    <x v="176"/>
    <n v="4.3"/>
    <d v="2024-01-01T00:00:00"/>
    <n v="1"/>
    <s v="Q1"/>
    <x v="60"/>
    <s v="Medium"/>
  </r>
  <r>
    <x v="5"/>
    <x v="0"/>
    <x v="1"/>
    <x v="6"/>
    <x v="6"/>
    <x v="186"/>
    <n v="4.38"/>
    <d v="2024-01-01T00:00:00"/>
    <n v="1"/>
    <s v="Q1"/>
    <x v="60"/>
    <s v="Medium"/>
  </r>
  <r>
    <x v="5"/>
    <x v="0"/>
    <x v="2"/>
    <x v="0"/>
    <x v="0"/>
    <x v="131"/>
    <n v="3.9"/>
    <d v="2024-01-01T00:00:00"/>
    <n v="1"/>
    <s v="Q1"/>
    <x v="60"/>
    <s v="Medium"/>
  </r>
  <r>
    <x v="5"/>
    <x v="0"/>
    <x v="2"/>
    <x v="1"/>
    <x v="1"/>
    <x v="137"/>
    <n v="3.98"/>
    <d v="2024-01-01T00:00:00"/>
    <n v="1"/>
    <s v="Q1"/>
    <x v="60"/>
    <s v="Medium"/>
  </r>
  <r>
    <x v="5"/>
    <x v="0"/>
    <x v="2"/>
    <x v="2"/>
    <x v="2"/>
    <x v="149"/>
    <n v="4.0599999999999996"/>
    <d v="2024-01-01T00:00:00"/>
    <n v="1"/>
    <s v="Q1"/>
    <x v="60"/>
    <s v="Medium"/>
  </r>
  <r>
    <x v="5"/>
    <x v="0"/>
    <x v="2"/>
    <x v="3"/>
    <x v="3"/>
    <x v="159"/>
    <n v="4.1399999999999997"/>
    <d v="2024-01-01T00:00:00"/>
    <n v="1"/>
    <s v="Q1"/>
    <x v="60"/>
    <s v="Medium"/>
  </r>
  <r>
    <x v="5"/>
    <x v="0"/>
    <x v="2"/>
    <x v="4"/>
    <x v="4"/>
    <x v="171"/>
    <n v="4.22"/>
    <d v="2024-01-01T00:00:00"/>
    <n v="1"/>
    <s v="Q1"/>
    <x v="60"/>
    <s v="Medium"/>
  </r>
  <r>
    <x v="5"/>
    <x v="0"/>
    <x v="2"/>
    <x v="5"/>
    <x v="5"/>
    <x v="181"/>
    <n v="4.3"/>
    <d v="2024-01-01T00:00:00"/>
    <n v="1"/>
    <s v="Q1"/>
    <x v="60"/>
    <s v="Medium"/>
  </r>
  <r>
    <x v="5"/>
    <x v="0"/>
    <x v="2"/>
    <x v="6"/>
    <x v="6"/>
    <x v="187"/>
    <n v="4.38"/>
    <d v="2024-01-01T00:00:00"/>
    <n v="1"/>
    <s v="Q1"/>
    <x v="60"/>
    <s v="Medium"/>
  </r>
  <r>
    <x v="5"/>
    <x v="1"/>
    <x v="0"/>
    <x v="0"/>
    <x v="0"/>
    <x v="127"/>
    <n v="4.05"/>
    <d v="2024-02-01T00:00:00"/>
    <n v="2"/>
    <s v="Q1"/>
    <x v="61"/>
    <s v="Medium"/>
  </r>
  <r>
    <x v="5"/>
    <x v="1"/>
    <x v="0"/>
    <x v="1"/>
    <x v="1"/>
    <x v="138"/>
    <n v="4.13"/>
    <d v="2024-02-01T00:00:00"/>
    <n v="2"/>
    <s v="Q1"/>
    <x v="61"/>
    <s v="Medium"/>
  </r>
  <r>
    <x v="5"/>
    <x v="1"/>
    <x v="0"/>
    <x v="2"/>
    <x v="2"/>
    <x v="145"/>
    <n v="4.21"/>
    <d v="2024-02-01T00:00:00"/>
    <n v="2"/>
    <s v="Q1"/>
    <x v="61"/>
    <s v="Medium"/>
  </r>
  <r>
    <x v="5"/>
    <x v="1"/>
    <x v="0"/>
    <x v="3"/>
    <x v="3"/>
    <x v="155"/>
    <n v="4.29"/>
    <d v="2024-02-01T00:00:00"/>
    <n v="2"/>
    <s v="Q1"/>
    <x v="61"/>
    <s v="Medium"/>
  </r>
  <r>
    <x v="5"/>
    <x v="1"/>
    <x v="0"/>
    <x v="4"/>
    <x v="4"/>
    <x v="167"/>
    <n v="4.37"/>
    <d v="2024-02-01T00:00:00"/>
    <n v="2"/>
    <s v="Q1"/>
    <x v="61"/>
    <s v="Medium"/>
  </r>
  <r>
    <x v="5"/>
    <x v="1"/>
    <x v="0"/>
    <x v="5"/>
    <x v="5"/>
    <x v="177"/>
    <n v="4.45"/>
    <d v="2024-02-01T00:00:00"/>
    <n v="2"/>
    <s v="Q1"/>
    <x v="61"/>
    <s v="Medium"/>
  </r>
  <r>
    <x v="5"/>
    <x v="1"/>
    <x v="0"/>
    <x v="6"/>
    <x v="6"/>
    <x v="188"/>
    <n v="4.53"/>
    <d v="2024-02-01T00:00:00"/>
    <n v="2"/>
    <s v="Q1"/>
    <x v="61"/>
    <s v="Medium"/>
  </r>
  <r>
    <x v="5"/>
    <x v="1"/>
    <x v="1"/>
    <x v="0"/>
    <x v="0"/>
    <x v="128"/>
    <n v="4.05"/>
    <d v="2024-02-01T00:00:00"/>
    <n v="2"/>
    <s v="Q1"/>
    <x v="61"/>
    <s v="Medium"/>
  </r>
  <r>
    <x v="5"/>
    <x v="1"/>
    <x v="1"/>
    <x v="1"/>
    <x v="1"/>
    <x v="139"/>
    <n v="4.13"/>
    <d v="2024-02-01T00:00:00"/>
    <n v="2"/>
    <s v="Q1"/>
    <x v="61"/>
    <s v="Medium"/>
  </r>
  <r>
    <x v="5"/>
    <x v="1"/>
    <x v="1"/>
    <x v="2"/>
    <x v="2"/>
    <x v="150"/>
    <n v="4.21"/>
    <d v="2024-02-01T00:00:00"/>
    <n v="2"/>
    <s v="Q1"/>
    <x v="61"/>
    <s v="Medium"/>
  </r>
  <r>
    <x v="5"/>
    <x v="1"/>
    <x v="1"/>
    <x v="3"/>
    <x v="3"/>
    <x v="160"/>
    <n v="4.29"/>
    <d v="2024-02-01T00:00:00"/>
    <n v="2"/>
    <s v="Q1"/>
    <x v="61"/>
    <s v="Medium"/>
  </r>
  <r>
    <x v="5"/>
    <x v="1"/>
    <x v="1"/>
    <x v="4"/>
    <x v="4"/>
    <x v="168"/>
    <n v="4.37"/>
    <d v="2024-02-01T00:00:00"/>
    <n v="2"/>
    <s v="Q1"/>
    <x v="61"/>
    <s v="Medium"/>
  </r>
  <r>
    <x v="5"/>
    <x v="1"/>
    <x v="1"/>
    <x v="5"/>
    <x v="5"/>
    <x v="178"/>
    <n v="4.45"/>
    <d v="2024-02-01T00:00:00"/>
    <n v="2"/>
    <s v="Q1"/>
    <x v="61"/>
    <s v="Medium"/>
  </r>
  <r>
    <x v="5"/>
    <x v="1"/>
    <x v="1"/>
    <x v="6"/>
    <x v="6"/>
    <x v="189"/>
    <n v="4.53"/>
    <d v="2024-02-01T00:00:00"/>
    <n v="2"/>
    <s v="Q1"/>
    <x v="61"/>
    <s v="Medium"/>
  </r>
  <r>
    <x v="5"/>
    <x v="1"/>
    <x v="2"/>
    <x v="0"/>
    <x v="0"/>
    <x v="133"/>
    <n v="4.05"/>
    <d v="2024-02-01T00:00:00"/>
    <n v="2"/>
    <s v="Q1"/>
    <x v="61"/>
    <s v="Medium"/>
  </r>
  <r>
    <x v="5"/>
    <x v="1"/>
    <x v="2"/>
    <x v="1"/>
    <x v="1"/>
    <x v="140"/>
    <n v="4.13"/>
    <d v="2024-02-01T00:00:00"/>
    <n v="2"/>
    <s v="Q1"/>
    <x v="61"/>
    <s v="Medium"/>
  </r>
  <r>
    <x v="5"/>
    <x v="1"/>
    <x v="2"/>
    <x v="2"/>
    <x v="2"/>
    <x v="151"/>
    <n v="4.21"/>
    <d v="2024-02-01T00:00:00"/>
    <n v="2"/>
    <s v="Q1"/>
    <x v="61"/>
    <s v="Medium"/>
  </r>
  <r>
    <x v="5"/>
    <x v="1"/>
    <x v="2"/>
    <x v="3"/>
    <x v="3"/>
    <x v="161"/>
    <n v="4.29"/>
    <d v="2024-02-01T00:00:00"/>
    <n v="2"/>
    <s v="Q1"/>
    <x v="61"/>
    <s v="Medium"/>
  </r>
  <r>
    <x v="5"/>
    <x v="1"/>
    <x v="2"/>
    <x v="4"/>
    <x v="4"/>
    <x v="173"/>
    <n v="4.37"/>
    <d v="2024-02-01T00:00:00"/>
    <n v="2"/>
    <s v="Q1"/>
    <x v="61"/>
    <s v="Medium"/>
  </r>
  <r>
    <x v="5"/>
    <x v="1"/>
    <x v="2"/>
    <x v="5"/>
    <x v="5"/>
    <x v="183"/>
    <n v="4.45"/>
    <d v="2024-02-01T00:00:00"/>
    <n v="2"/>
    <s v="Q1"/>
    <x v="61"/>
    <s v="Medium"/>
  </r>
  <r>
    <x v="5"/>
    <x v="1"/>
    <x v="2"/>
    <x v="6"/>
    <x v="6"/>
    <x v="190"/>
    <n v="4.53"/>
    <d v="2024-02-01T00:00:00"/>
    <n v="2"/>
    <s v="Q1"/>
    <x v="61"/>
    <s v="Medium"/>
  </r>
  <r>
    <x v="5"/>
    <x v="2"/>
    <x v="0"/>
    <x v="0"/>
    <x v="0"/>
    <x v="129"/>
    <n v="4.2"/>
    <d v="2024-03-01T00:00:00"/>
    <n v="3"/>
    <s v="Q1"/>
    <x v="62"/>
    <s v="Medium"/>
  </r>
  <r>
    <x v="5"/>
    <x v="2"/>
    <x v="0"/>
    <x v="1"/>
    <x v="1"/>
    <x v="141"/>
    <n v="4.28"/>
    <d v="2024-03-01T00:00:00"/>
    <n v="3"/>
    <s v="Q1"/>
    <x v="62"/>
    <s v="Medium"/>
  </r>
  <r>
    <x v="5"/>
    <x v="2"/>
    <x v="0"/>
    <x v="2"/>
    <x v="2"/>
    <x v="147"/>
    <n v="4.3600000000000003"/>
    <d v="2024-03-01T00:00:00"/>
    <n v="3"/>
    <s v="Q1"/>
    <x v="62"/>
    <s v="Medium"/>
  </r>
  <r>
    <x v="5"/>
    <x v="2"/>
    <x v="0"/>
    <x v="3"/>
    <x v="3"/>
    <x v="157"/>
    <n v="4.4400000000000004"/>
    <d v="2024-03-01T00:00:00"/>
    <n v="3"/>
    <s v="Q1"/>
    <x v="62"/>
    <s v="Medium"/>
  </r>
  <r>
    <x v="5"/>
    <x v="2"/>
    <x v="0"/>
    <x v="4"/>
    <x v="4"/>
    <x v="169"/>
    <n v="4.5199999999999996"/>
    <d v="2024-03-01T00:00:00"/>
    <n v="3"/>
    <s v="Q1"/>
    <x v="62"/>
    <s v="Medium"/>
  </r>
  <r>
    <x v="5"/>
    <x v="2"/>
    <x v="0"/>
    <x v="5"/>
    <x v="5"/>
    <x v="179"/>
    <n v="4.5999999999999996"/>
    <d v="2024-03-01T00:00:00"/>
    <n v="3"/>
    <s v="Q1"/>
    <x v="62"/>
    <s v="Medium"/>
  </r>
  <r>
    <x v="5"/>
    <x v="2"/>
    <x v="0"/>
    <x v="6"/>
    <x v="6"/>
    <x v="191"/>
    <n v="4.68"/>
    <d v="2024-03-01T00:00:00"/>
    <n v="3"/>
    <s v="Q1"/>
    <x v="62"/>
    <s v="Medium"/>
  </r>
  <r>
    <x v="5"/>
    <x v="2"/>
    <x v="1"/>
    <x v="0"/>
    <x v="0"/>
    <x v="130"/>
    <n v="4.2"/>
    <d v="2024-03-01T00:00:00"/>
    <n v="3"/>
    <s v="Q1"/>
    <x v="62"/>
    <s v="Medium"/>
  </r>
  <r>
    <x v="5"/>
    <x v="2"/>
    <x v="1"/>
    <x v="1"/>
    <x v="1"/>
    <x v="142"/>
    <n v="4.28"/>
    <d v="2024-03-01T00:00:00"/>
    <n v="3"/>
    <s v="Q1"/>
    <x v="62"/>
    <s v="Medium"/>
  </r>
  <r>
    <x v="5"/>
    <x v="2"/>
    <x v="1"/>
    <x v="2"/>
    <x v="2"/>
    <x v="152"/>
    <n v="4.3600000000000003"/>
    <d v="2024-03-01T00:00:00"/>
    <n v="3"/>
    <s v="Q1"/>
    <x v="62"/>
    <s v="Medium"/>
  </r>
  <r>
    <x v="5"/>
    <x v="2"/>
    <x v="1"/>
    <x v="3"/>
    <x v="3"/>
    <x v="163"/>
    <n v="4.4400000000000004"/>
    <d v="2024-03-01T00:00:00"/>
    <n v="3"/>
    <s v="Q1"/>
    <x v="62"/>
    <s v="Medium"/>
  </r>
  <r>
    <x v="5"/>
    <x v="2"/>
    <x v="1"/>
    <x v="4"/>
    <x v="4"/>
    <x v="170"/>
    <n v="4.5199999999999996"/>
    <d v="2024-03-01T00:00:00"/>
    <n v="3"/>
    <s v="Q1"/>
    <x v="62"/>
    <s v="Medium"/>
  </r>
  <r>
    <x v="5"/>
    <x v="2"/>
    <x v="1"/>
    <x v="5"/>
    <x v="5"/>
    <x v="180"/>
    <n v="4.5999999999999996"/>
    <d v="2024-03-01T00:00:00"/>
    <n v="3"/>
    <s v="Q1"/>
    <x v="62"/>
    <s v="Medium"/>
  </r>
  <r>
    <x v="5"/>
    <x v="2"/>
    <x v="1"/>
    <x v="6"/>
    <x v="6"/>
    <x v="192"/>
    <n v="4.68"/>
    <d v="2024-03-01T00:00:00"/>
    <n v="3"/>
    <s v="Q1"/>
    <x v="62"/>
    <s v="Medium"/>
  </r>
  <r>
    <x v="5"/>
    <x v="2"/>
    <x v="2"/>
    <x v="0"/>
    <x v="0"/>
    <x v="135"/>
    <n v="4.2"/>
    <d v="2024-03-01T00:00:00"/>
    <n v="3"/>
    <s v="Q1"/>
    <x v="62"/>
    <s v="Medium"/>
  </r>
  <r>
    <x v="5"/>
    <x v="2"/>
    <x v="2"/>
    <x v="1"/>
    <x v="1"/>
    <x v="143"/>
    <n v="4.28"/>
    <d v="2024-03-01T00:00:00"/>
    <n v="3"/>
    <s v="Q1"/>
    <x v="62"/>
    <s v="Medium"/>
  </r>
  <r>
    <x v="5"/>
    <x v="2"/>
    <x v="2"/>
    <x v="2"/>
    <x v="2"/>
    <x v="153"/>
    <n v="4.3600000000000003"/>
    <d v="2024-03-01T00:00:00"/>
    <n v="3"/>
    <s v="Q1"/>
    <x v="62"/>
    <s v="Medium"/>
  </r>
  <r>
    <x v="5"/>
    <x v="2"/>
    <x v="2"/>
    <x v="3"/>
    <x v="3"/>
    <x v="164"/>
    <n v="4.4400000000000004"/>
    <d v="2024-03-01T00:00:00"/>
    <n v="3"/>
    <s v="Q1"/>
    <x v="62"/>
    <s v="Medium"/>
  </r>
  <r>
    <x v="5"/>
    <x v="2"/>
    <x v="2"/>
    <x v="4"/>
    <x v="4"/>
    <x v="175"/>
    <n v="4.5199999999999996"/>
    <d v="2024-03-01T00:00:00"/>
    <n v="3"/>
    <s v="Q1"/>
    <x v="62"/>
    <s v="Medium"/>
  </r>
  <r>
    <x v="5"/>
    <x v="2"/>
    <x v="2"/>
    <x v="5"/>
    <x v="5"/>
    <x v="185"/>
    <n v="4.5999999999999996"/>
    <d v="2024-03-01T00:00:00"/>
    <n v="3"/>
    <s v="Q1"/>
    <x v="62"/>
    <s v="Medium"/>
  </r>
  <r>
    <x v="5"/>
    <x v="2"/>
    <x v="2"/>
    <x v="6"/>
    <x v="6"/>
    <x v="193"/>
    <n v="4.68"/>
    <d v="2024-03-01T00:00:00"/>
    <n v="3"/>
    <s v="Q1"/>
    <x v="62"/>
    <s v="Medium"/>
  </r>
  <r>
    <x v="5"/>
    <x v="3"/>
    <x v="0"/>
    <x v="0"/>
    <x v="0"/>
    <x v="131"/>
    <n v="4.3499999999999996"/>
    <d v="2024-04-01T00:00:00"/>
    <n v="4"/>
    <s v="Q2"/>
    <x v="63"/>
    <s v="Medium"/>
  </r>
  <r>
    <x v="5"/>
    <x v="3"/>
    <x v="0"/>
    <x v="1"/>
    <x v="1"/>
    <x v="137"/>
    <n v="4.43"/>
    <d v="2024-04-01T00:00:00"/>
    <n v="4"/>
    <s v="Q2"/>
    <x v="63"/>
    <s v="Medium"/>
  </r>
  <r>
    <x v="5"/>
    <x v="3"/>
    <x v="0"/>
    <x v="2"/>
    <x v="2"/>
    <x v="149"/>
    <n v="4.51"/>
    <d v="2024-04-01T00:00:00"/>
    <n v="4"/>
    <s v="Q2"/>
    <x v="63"/>
    <s v="Medium"/>
  </r>
  <r>
    <x v="5"/>
    <x v="3"/>
    <x v="0"/>
    <x v="3"/>
    <x v="3"/>
    <x v="159"/>
    <n v="4.59"/>
    <d v="2024-04-01T00:00:00"/>
    <n v="4"/>
    <s v="Q2"/>
    <x v="63"/>
    <s v="Medium"/>
  </r>
  <r>
    <x v="5"/>
    <x v="3"/>
    <x v="0"/>
    <x v="4"/>
    <x v="4"/>
    <x v="171"/>
    <n v="4.67"/>
    <d v="2024-04-01T00:00:00"/>
    <n v="4"/>
    <s v="Q2"/>
    <x v="63"/>
    <s v="Medium"/>
  </r>
  <r>
    <x v="5"/>
    <x v="3"/>
    <x v="0"/>
    <x v="5"/>
    <x v="5"/>
    <x v="181"/>
    <n v="4.75"/>
    <d v="2024-04-01T00:00:00"/>
    <n v="4"/>
    <s v="Q2"/>
    <x v="63"/>
    <s v="Medium"/>
  </r>
  <r>
    <x v="5"/>
    <x v="3"/>
    <x v="0"/>
    <x v="6"/>
    <x v="6"/>
    <x v="187"/>
    <n v="4.83"/>
    <d v="2024-04-01T00:00:00"/>
    <n v="4"/>
    <s v="Q2"/>
    <x v="63"/>
    <s v="Medium"/>
  </r>
  <r>
    <x v="5"/>
    <x v="3"/>
    <x v="1"/>
    <x v="0"/>
    <x v="0"/>
    <x v="132"/>
    <n v="4.3499999999999996"/>
    <d v="2024-04-01T00:00:00"/>
    <n v="4"/>
    <s v="Q2"/>
    <x v="63"/>
    <s v="Medium"/>
  </r>
  <r>
    <x v="5"/>
    <x v="3"/>
    <x v="1"/>
    <x v="1"/>
    <x v="1"/>
    <x v="144"/>
    <n v="4.43"/>
    <d v="2024-04-01T00:00:00"/>
    <n v="4"/>
    <s v="Q2"/>
    <x v="63"/>
    <s v="Medium"/>
  </r>
  <r>
    <x v="5"/>
    <x v="3"/>
    <x v="1"/>
    <x v="2"/>
    <x v="2"/>
    <x v="154"/>
    <n v="4.51"/>
    <d v="2024-04-01T00:00:00"/>
    <n v="4"/>
    <s v="Q2"/>
    <x v="63"/>
    <s v="Medium"/>
  </r>
  <r>
    <x v="5"/>
    <x v="3"/>
    <x v="1"/>
    <x v="3"/>
    <x v="3"/>
    <x v="166"/>
    <n v="4.59"/>
    <d v="2024-04-01T00:00:00"/>
    <n v="4"/>
    <s v="Q2"/>
    <x v="63"/>
    <s v="Medium"/>
  </r>
  <r>
    <x v="5"/>
    <x v="3"/>
    <x v="1"/>
    <x v="4"/>
    <x v="4"/>
    <x v="172"/>
    <n v="4.67"/>
    <d v="2024-04-01T00:00:00"/>
    <n v="4"/>
    <s v="Q2"/>
    <x v="63"/>
    <s v="Medium"/>
  </r>
  <r>
    <x v="5"/>
    <x v="3"/>
    <x v="1"/>
    <x v="5"/>
    <x v="5"/>
    <x v="182"/>
    <n v="4.75"/>
    <d v="2024-04-01T00:00:00"/>
    <n v="4"/>
    <s v="Q2"/>
    <x v="63"/>
    <s v="Medium"/>
  </r>
  <r>
    <x v="5"/>
    <x v="3"/>
    <x v="1"/>
    <x v="6"/>
    <x v="6"/>
    <x v="194"/>
    <n v="4.83"/>
    <d v="2024-04-01T00:00:00"/>
    <n v="4"/>
    <s v="Q2"/>
    <x v="63"/>
    <s v="Medium"/>
  </r>
  <r>
    <x v="5"/>
    <x v="3"/>
    <x v="2"/>
    <x v="0"/>
    <x v="0"/>
    <x v="138"/>
    <n v="4.3499999999999996"/>
    <d v="2024-04-01T00:00:00"/>
    <n v="4"/>
    <s v="Q2"/>
    <x v="63"/>
    <s v="Medium"/>
  </r>
  <r>
    <x v="5"/>
    <x v="3"/>
    <x v="2"/>
    <x v="1"/>
    <x v="1"/>
    <x v="145"/>
    <n v="4.43"/>
    <d v="2024-04-01T00:00:00"/>
    <n v="4"/>
    <s v="Q2"/>
    <x v="63"/>
    <s v="Medium"/>
  </r>
  <r>
    <x v="5"/>
    <x v="3"/>
    <x v="2"/>
    <x v="2"/>
    <x v="2"/>
    <x v="155"/>
    <n v="4.51"/>
    <d v="2024-04-01T00:00:00"/>
    <n v="4"/>
    <s v="Q2"/>
    <x v="63"/>
    <s v="Medium"/>
  </r>
  <r>
    <x v="5"/>
    <x v="3"/>
    <x v="2"/>
    <x v="3"/>
    <x v="3"/>
    <x v="167"/>
    <n v="4.59"/>
    <d v="2024-04-01T00:00:00"/>
    <n v="4"/>
    <s v="Q2"/>
    <x v="63"/>
    <s v="Medium"/>
  </r>
  <r>
    <x v="5"/>
    <x v="3"/>
    <x v="2"/>
    <x v="4"/>
    <x v="4"/>
    <x v="177"/>
    <n v="4.67"/>
    <d v="2024-04-01T00:00:00"/>
    <n v="4"/>
    <s v="Q2"/>
    <x v="63"/>
    <s v="Medium"/>
  </r>
  <r>
    <x v="5"/>
    <x v="3"/>
    <x v="2"/>
    <x v="5"/>
    <x v="5"/>
    <x v="188"/>
    <n v="4.75"/>
    <d v="2024-04-01T00:00:00"/>
    <n v="4"/>
    <s v="Q2"/>
    <x v="63"/>
    <s v="Medium"/>
  </r>
  <r>
    <x v="5"/>
    <x v="3"/>
    <x v="2"/>
    <x v="6"/>
    <x v="6"/>
    <x v="195"/>
    <n v="4.83"/>
    <d v="2024-04-01T00:00:00"/>
    <n v="4"/>
    <s v="Q2"/>
    <x v="63"/>
    <s v="Medium"/>
  </r>
  <r>
    <x v="5"/>
    <x v="4"/>
    <x v="0"/>
    <x v="0"/>
    <x v="0"/>
    <x v="133"/>
    <n v="4.5"/>
    <d v="2024-05-01T00:00:00"/>
    <n v="5"/>
    <s v="Q2"/>
    <x v="64"/>
    <s v="Medium"/>
  </r>
  <r>
    <x v="5"/>
    <x v="4"/>
    <x v="0"/>
    <x v="1"/>
    <x v="1"/>
    <x v="140"/>
    <n v="4.58"/>
    <d v="2024-05-01T00:00:00"/>
    <n v="5"/>
    <s v="Q2"/>
    <x v="64"/>
    <s v="Medium"/>
  </r>
  <r>
    <x v="5"/>
    <x v="4"/>
    <x v="0"/>
    <x v="2"/>
    <x v="2"/>
    <x v="151"/>
    <n v="4.66"/>
    <d v="2024-05-01T00:00:00"/>
    <n v="5"/>
    <s v="Q2"/>
    <x v="64"/>
    <s v="Medium"/>
  </r>
  <r>
    <x v="5"/>
    <x v="4"/>
    <x v="0"/>
    <x v="3"/>
    <x v="3"/>
    <x v="161"/>
    <n v="4.74"/>
    <d v="2024-05-01T00:00:00"/>
    <n v="5"/>
    <s v="Q2"/>
    <x v="64"/>
    <s v="Medium"/>
  </r>
  <r>
    <x v="5"/>
    <x v="4"/>
    <x v="0"/>
    <x v="4"/>
    <x v="4"/>
    <x v="173"/>
    <n v="4.82"/>
    <d v="2024-05-01T00:00:00"/>
    <n v="5"/>
    <s v="Q2"/>
    <x v="64"/>
    <s v="Medium"/>
  </r>
  <r>
    <x v="5"/>
    <x v="4"/>
    <x v="0"/>
    <x v="5"/>
    <x v="5"/>
    <x v="183"/>
    <n v="4.9000000000000004"/>
    <d v="2024-05-01T00:00:00"/>
    <n v="5"/>
    <s v="Q2"/>
    <x v="64"/>
    <s v="Medium"/>
  </r>
  <r>
    <x v="5"/>
    <x v="4"/>
    <x v="0"/>
    <x v="6"/>
    <x v="6"/>
    <x v="190"/>
    <n v="4.9800000000000004"/>
    <d v="2024-05-01T00:00:00"/>
    <n v="5"/>
    <s v="Q2"/>
    <x v="64"/>
    <s v="Medium"/>
  </r>
  <r>
    <x v="5"/>
    <x v="4"/>
    <x v="1"/>
    <x v="0"/>
    <x v="0"/>
    <x v="134"/>
    <n v="4.5"/>
    <d v="2024-05-01T00:00:00"/>
    <n v="5"/>
    <s v="Q2"/>
    <x v="64"/>
    <s v="Medium"/>
  </r>
  <r>
    <x v="5"/>
    <x v="4"/>
    <x v="1"/>
    <x v="1"/>
    <x v="1"/>
    <x v="146"/>
    <n v="4.58"/>
    <d v="2024-05-01T00:00:00"/>
    <n v="5"/>
    <s v="Q2"/>
    <x v="64"/>
    <s v="Medium"/>
  </r>
  <r>
    <x v="5"/>
    <x v="4"/>
    <x v="1"/>
    <x v="2"/>
    <x v="2"/>
    <x v="156"/>
    <n v="4.66"/>
    <d v="2024-05-01T00:00:00"/>
    <n v="5"/>
    <s v="Q2"/>
    <x v="64"/>
    <s v="Medium"/>
  </r>
  <r>
    <x v="5"/>
    <x v="4"/>
    <x v="1"/>
    <x v="3"/>
    <x v="3"/>
    <x v="162"/>
    <n v="4.74"/>
    <d v="2024-05-01T00:00:00"/>
    <n v="5"/>
    <s v="Q2"/>
    <x v="64"/>
    <s v="Medium"/>
  </r>
  <r>
    <x v="5"/>
    <x v="4"/>
    <x v="1"/>
    <x v="4"/>
    <x v="4"/>
    <x v="174"/>
    <n v="4.82"/>
    <d v="2024-05-01T00:00:00"/>
    <n v="5"/>
    <s v="Q2"/>
    <x v="64"/>
    <s v="Medium"/>
  </r>
  <r>
    <x v="5"/>
    <x v="4"/>
    <x v="1"/>
    <x v="5"/>
    <x v="5"/>
    <x v="184"/>
    <n v="4.9000000000000004"/>
    <d v="2024-05-01T00:00:00"/>
    <n v="5"/>
    <s v="Q2"/>
    <x v="64"/>
    <s v="Medium"/>
  </r>
  <r>
    <x v="5"/>
    <x v="4"/>
    <x v="1"/>
    <x v="6"/>
    <x v="6"/>
    <x v="196"/>
    <n v="4.9800000000000004"/>
    <d v="2024-05-01T00:00:00"/>
    <n v="5"/>
    <s v="Q2"/>
    <x v="64"/>
    <s v="Medium"/>
  </r>
  <r>
    <x v="5"/>
    <x v="4"/>
    <x v="2"/>
    <x v="0"/>
    <x v="0"/>
    <x v="141"/>
    <n v="4.5"/>
    <d v="2024-05-01T00:00:00"/>
    <n v="5"/>
    <s v="Q2"/>
    <x v="64"/>
    <s v="Medium"/>
  </r>
  <r>
    <x v="5"/>
    <x v="4"/>
    <x v="2"/>
    <x v="1"/>
    <x v="1"/>
    <x v="147"/>
    <n v="4.58"/>
    <d v="2024-05-01T00:00:00"/>
    <n v="5"/>
    <s v="Q2"/>
    <x v="64"/>
    <s v="Medium"/>
  </r>
  <r>
    <x v="5"/>
    <x v="4"/>
    <x v="2"/>
    <x v="2"/>
    <x v="2"/>
    <x v="157"/>
    <n v="4.66"/>
    <d v="2024-05-01T00:00:00"/>
    <n v="5"/>
    <s v="Q2"/>
    <x v="64"/>
    <s v="Medium"/>
  </r>
  <r>
    <x v="5"/>
    <x v="4"/>
    <x v="2"/>
    <x v="3"/>
    <x v="3"/>
    <x v="169"/>
    <n v="4.74"/>
    <d v="2024-05-01T00:00:00"/>
    <n v="5"/>
    <s v="Q2"/>
    <x v="64"/>
    <s v="Medium"/>
  </r>
  <r>
    <x v="5"/>
    <x v="4"/>
    <x v="2"/>
    <x v="4"/>
    <x v="4"/>
    <x v="179"/>
    <n v="4.82"/>
    <d v="2024-05-01T00:00:00"/>
    <n v="5"/>
    <s v="Q2"/>
    <x v="64"/>
    <s v="Medium"/>
  </r>
  <r>
    <x v="5"/>
    <x v="4"/>
    <x v="2"/>
    <x v="5"/>
    <x v="5"/>
    <x v="191"/>
    <n v="4.9000000000000004"/>
    <d v="2024-05-01T00:00:00"/>
    <n v="5"/>
    <s v="Q2"/>
    <x v="64"/>
    <s v="Medium"/>
  </r>
  <r>
    <x v="5"/>
    <x v="4"/>
    <x v="2"/>
    <x v="6"/>
    <x v="6"/>
    <x v="197"/>
    <n v="4.9800000000000004"/>
    <d v="2024-05-01T00:00:00"/>
    <n v="5"/>
    <s v="Q2"/>
    <x v="64"/>
    <s v="Medium"/>
  </r>
  <r>
    <x v="5"/>
    <x v="5"/>
    <x v="0"/>
    <x v="0"/>
    <x v="0"/>
    <x v="135"/>
    <n v="3.75"/>
    <d v="2024-06-01T00:00:00"/>
    <n v="6"/>
    <s v="Q2"/>
    <x v="65"/>
    <s v="Medium"/>
  </r>
  <r>
    <x v="5"/>
    <x v="5"/>
    <x v="0"/>
    <x v="1"/>
    <x v="1"/>
    <x v="143"/>
    <n v="3.83"/>
    <d v="2024-06-01T00:00:00"/>
    <n v="6"/>
    <s v="Q2"/>
    <x v="65"/>
    <s v="Medium"/>
  </r>
  <r>
    <x v="5"/>
    <x v="5"/>
    <x v="0"/>
    <x v="2"/>
    <x v="2"/>
    <x v="153"/>
    <n v="3.91"/>
    <d v="2024-06-01T00:00:00"/>
    <n v="6"/>
    <s v="Q2"/>
    <x v="65"/>
    <s v="Medium"/>
  </r>
  <r>
    <x v="5"/>
    <x v="5"/>
    <x v="0"/>
    <x v="3"/>
    <x v="3"/>
    <x v="164"/>
    <n v="3.99"/>
    <d v="2024-06-01T00:00:00"/>
    <n v="6"/>
    <s v="Q2"/>
    <x v="65"/>
    <s v="Medium"/>
  </r>
  <r>
    <x v="5"/>
    <x v="5"/>
    <x v="0"/>
    <x v="4"/>
    <x v="4"/>
    <x v="175"/>
    <n v="4.07"/>
    <d v="2024-06-01T00:00:00"/>
    <n v="6"/>
    <s v="Q2"/>
    <x v="65"/>
    <s v="Medium"/>
  </r>
  <r>
    <x v="5"/>
    <x v="5"/>
    <x v="0"/>
    <x v="5"/>
    <x v="5"/>
    <x v="185"/>
    <n v="4.1500000000000004"/>
    <d v="2024-06-01T00:00:00"/>
    <n v="6"/>
    <s v="Q2"/>
    <x v="65"/>
    <s v="Medium"/>
  </r>
  <r>
    <x v="5"/>
    <x v="5"/>
    <x v="0"/>
    <x v="6"/>
    <x v="6"/>
    <x v="193"/>
    <n v="4.2300000000000004"/>
    <d v="2024-06-01T00:00:00"/>
    <n v="6"/>
    <s v="Q2"/>
    <x v="65"/>
    <s v="Medium"/>
  </r>
  <r>
    <x v="5"/>
    <x v="5"/>
    <x v="1"/>
    <x v="0"/>
    <x v="0"/>
    <x v="136"/>
    <n v="3.75"/>
    <d v="2024-06-01T00:00:00"/>
    <n v="6"/>
    <s v="Q2"/>
    <x v="65"/>
    <s v="Medium"/>
  </r>
  <r>
    <x v="5"/>
    <x v="5"/>
    <x v="1"/>
    <x v="1"/>
    <x v="1"/>
    <x v="148"/>
    <n v="3.83"/>
    <d v="2024-06-01T00:00:00"/>
    <n v="6"/>
    <s v="Q2"/>
    <x v="65"/>
    <s v="Medium"/>
  </r>
  <r>
    <x v="5"/>
    <x v="5"/>
    <x v="1"/>
    <x v="2"/>
    <x v="2"/>
    <x v="158"/>
    <n v="3.91"/>
    <d v="2024-06-01T00:00:00"/>
    <n v="6"/>
    <s v="Q2"/>
    <x v="65"/>
    <s v="Medium"/>
  </r>
  <r>
    <x v="5"/>
    <x v="5"/>
    <x v="1"/>
    <x v="3"/>
    <x v="3"/>
    <x v="165"/>
    <n v="3.99"/>
    <d v="2024-06-01T00:00:00"/>
    <n v="6"/>
    <s v="Q2"/>
    <x v="65"/>
    <s v="Medium"/>
  </r>
  <r>
    <x v="5"/>
    <x v="5"/>
    <x v="1"/>
    <x v="4"/>
    <x v="4"/>
    <x v="176"/>
    <n v="4.07"/>
    <d v="2024-06-01T00:00:00"/>
    <n v="6"/>
    <s v="Q2"/>
    <x v="65"/>
    <s v="Medium"/>
  </r>
  <r>
    <x v="5"/>
    <x v="5"/>
    <x v="1"/>
    <x v="5"/>
    <x v="5"/>
    <x v="186"/>
    <n v="4.1500000000000004"/>
    <d v="2024-06-01T00:00:00"/>
    <n v="6"/>
    <s v="Q2"/>
    <x v="65"/>
    <s v="Medium"/>
  </r>
  <r>
    <x v="5"/>
    <x v="5"/>
    <x v="1"/>
    <x v="6"/>
    <x v="6"/>
    <x v="198"/>
    <n v="4.2300000000000004"/>
    <d v="2024-06-01T00:00:00"/>
    <n v="6"/>
    <s v="Q2"/>
    <x v="65"/>
    <s v="Medium"/>
  </r>
  <r>
    <x v="5"/>
    <x v="5"/>
    <x v="2"/>
    <x v="0"/>
    <x v="0"/>
    <x v="137"/>
    <n v="3.75"/>
    <d v="2024-06-01T00:00:00"/>
    <n v="6"/>
    <s v="Q2"/>
    <x v="65"/>
    <s v="Medium"/>
  </r>
  <r>
    <x v="5"/>
    <x v="5"/>
    <x v="2"/>
    <x v="1"/>
    <x v="1"/>
    <x v="149"/>
    <n v="3.83"/>
    <d v="2024-06-01T00:00:00"/>
    <n v="6"/>
    <s v="Q2"/>
    <x v="65"/>
    <s v="Medium"/>
  </r>
  <r>
    <x v="5"/>
    <x v="5"/>
    <x v="2"/>
    <x v="2"/>
    <x v="2"/>
    <x v="159"/>
    <n v="3.91"/>
    <d v="2024-06-01T00:00:00"/>
    <n v="6"/>
    <s v="Q2"/>
    <x v="65"/>
    <s v="Medium"/>
  </r>
  <r>
    <x v="5"/>
    <x v="5"/>
    <x v="2"/>
    <x v="3"/>
    <x v="3"/>
    <x v="171"/>
    <n v="3.99"/>
    <d v="2024-06-01T00:00:00"/>
    <n v="6"/>
    <s v="Q2"/>
    <x v="65"/>
    <s v="Medium"/>
  </r>
  <r>
    <x v="5"/>
    <x v="5"/>
    <x v="2"/>
    <x v="4"/>
    <x v="4"/>
    <x v="181"/>
    <n v="4.07"/>
    <d v="2024-06-01T00:00:00"/>
    <n v="6"/>
    <s v="Q2"/>
    <x v="65"/>
    <s v="Medium"/>
  </r>
  <r>
    <x v="5"/>
    <x v="5"/>
    <x v="2"/>
    <x v="5"/>
    <x v="5"/>
    <x v="187"/>
    <n v="4.1500000000000004"/>
    <d v="2024-06-01T00:00:00"/>
    <n v="6"/>
    <s v="Q2"/>
    <x v="65"/>
    <s v="Medium"/>
  </r>
  <r>
    <x v="5"/>
    <x v="5"/>
    <x v="2"/>
    <x v="6"/>
    <x v="6"/>
    <x v="199"/>
    <n v="4.2300000000000004"/>
    <d v="2024-06-01T00:00:00"/>
    <n v="6"/>
    <s v="Q2"/>
    <x v="65"/>
    <s v="Medium"/>
  </r>
  <r>
    <x v="5"/>
    <x v="6"/>
    <x v="0"/>
    <x v="0"/>
    <x v="0"/>
    <x v="138"/>
    <n v="3.9"/>
    <d v="2024-07-01T00:00:00"/>
    <n v="7"/>
    <s v="Q3"/>
    <x v="66"/>
    <s v="Medium"/>
  </r>
  <r>
    <x v="5"/>
    <x v="6"/>
    <x v="0"/>
    <x v="1"/>
    <x v="1"/>
    <x v="145"/>
    <n v="3.98"/>
    <d v="2024-07-01T00:00:00"/>
    <n v="7"/>
    <s v="Q3"/>
    <x v="66"/>
    <s v="Medium"/>
  </r>
  <r>
    <x v="5"/>
    <x v="6"/>
    <x v="0"/>
    <x v="2"/>
    <x v="2"/>
    <x v="155"/>
    <n v="4.0599999999999996"/>
    <d v="2024-07-01T00:00:00"/>
    <n v="7"/>
    <s v="Q3"/>
    <x v="66"/>
    <s v="Medium"/>
  </r>
  <r>
    <x v="5"/>
    <x v="6"/>
    <x v="0"/>
    <x v="3"/>
    <x v="3"/>
    <x v="167"/>
    <n v="4.1399999999999997"/>
    <d v="2024-07-01T00:00:00"/>
    <n v="7"/>
    <s v="Q3"/>
    <x v="66"/>
    <s v="Medium"/>
  </r>
  <r>
    <x v="5"/>
    <x v="6"/>
    <x v="0"/>
    <x v="4"/>
    <x v="4"/>
    <x v="177"/>
    <n v="4.22"/>
    <d v="2024-07-01T00:00:00"/>
    <n v="7"/>
    <s v="Q3"/>
    <x v="66"/>
    <s v="Medium"/>
  </r>
  <r>
    <x v="5"/>
    <x v="6"/>
    <x v="0"/>
    <x v="5"/>
    <x v="5"/>
    <x v="188"/>
    <n v="4.3"/>
    <d v="2024-07-01T00:00:00"/>
    <n v="7"/>
    <s v="Q3"/>
    <x v="66"/>
    <s v="Medium"/>
  </r>
  <r>
    <x v="5"/>
    <x v="6"/>
    <x v="0"/>
    <x v="6"/>
    <x v="6"/>
    <x v="195"/>
    <n v="4.38"/>
    <d v="2024-07-01T00:00:00"/>
    <n v="7"/>
    <s v="Q3"/>
    <x v="66"/>
    <s v="Medium"/>
  </r>
  <r>
    <x v="5"/>
    <x v="6"/>
    <x v="1"/>
    <x v="0"/>
    <x v="0"/>
    <x v="139"/>
    <n v="3.9"/>
    <d v="2024-07-01T00:00:00"/>
    <n v="7"/>
    <s v="Q3"/>
    <x v="66"/>
    <s v="Medium"/>
  </r>
  <r>
    <x v="5"/>
    <x v="6"/>
    <x v="1"/>
    <x v="1"/>
    <x v="1"/>
    <x v="150"/>
    <n v="3.98"/>
    <d v="2024-07-01T00:00:00"/>
    <n v="7"/>
    <s v="Q3"/>
    <x v="66"/>
    <s v="Medium"/>
  </r>
  <r>
    <x v="5"/>
    <x v="6"/>
    <x v="1"/>
    <x v="2"/>
    <x v="2"/>
    <x v="160"/>
    <n v="4.0599999999999996"/>
    <d v="2024-07-01T00:00:00"/>
    <n v="7"/>
    <s v="Q3"/>
    <x v="66"/>
    <s v="Medium"/>
  </r>
  <r>
    <x v="5"/>
    <x v="6"/>
    <x v="1"/>
    <x v="3"/>
    <x v="3"/>
    <x v="168"/>
    <n v="4.1399999999999997"/>
    <d v="2024-07-01T00:00:00"/>
    <n v="7"/>
    <s v="Q3"/>
    <x v="66"/>
    <s v="Medium"/>
  </r>
  <r>
    <x v="5"/>
    <x v="6"/>
    <x v="1"/>
    <x v="4"/>
    <x v="4"/>
    <x v="178"/>
    <n v="4.22"/>
    <d v="2024-07-01T00:00:00"/>
    <n v="7"/>
    <s v="Q3"/>
    <x v="66"/>
    <s v="Medium"/>
  </r>
  <r>
    <x v="5"/>
    <x v="6"/>
    <x v="1"/>
    <x v="5"/>
    <x v="5"/>
    <x v="189"/>
    <n v="4.3"/>
    <d v="2024-07-01T00:00:00"/>
    <n v="7"/>
    <s v="Q3"/>
    <x v="66"/>
    <s v="Medium"/>
  </r>
  <r>
    <x v="5"/>
    <x v="6"/>
    <x v="1"/>
    <x v="6"/>
    <x v="6"/>
    <x v="200"/>
    <n v="4.38"/>
    <d v="2024-07-01T00:00:00"/>
    <n v="7"/>
    <s v="Q3"/>
    <x v="66"/>
    <s v="Medium"/>
  </r>
  <r>
    <x v="5"/>
    <x v="6"/>
    <x v="2"/>
    <x v="0"/>
    <x v="0"/>
    <x v="140"/>
    <n v="3.9"/>
    <d v="2024-07-01T00:00:00"/>
    <n v="7"/>
    <s v="Q3"/>
    <x v="66"/>
    <s v="Medium"/>
  </r>
  <r>
    <x v="5"/>
    <x v="6"/>
    <x v="2"/>
    <x v="1"/>
    <x v="1"/>
    <x v="151"/>
    <n v="3.98"/>
    <d v="2024-07-01T00:00:00"/>
    <n v="7"/>
    <s v="Q3"/>
    <x v="66"/>
    <s v="Medium"/>
  </r>
  <r>
    <x v="5"/>
    <x v="6"/>
    <x v="2"/>
    <x v="2"/>
    <x v="2"/>
    <x v="161"/>
    <n v="4.0599999999999996"/>
    <d v="2024-07-01T00:00:00"/>
    <n v="7"/>
    <s v="Q3"/>
    <x v="66"/>
    <s v="Medium"/>
  </r>
  <r>
    <x v="5"/>
    <x v="6"/>
    <x v="2"/>
    <x v="3"/>
    <x v="3"/>
    <x v="173"/>
    <n v="4.1399999999999997"/>
    <d v="2024-07-01T00:00:00"/>
    <n v="7"/>
    <s v="Q3"/>
    <x v="66"/>
    <s v="Medium"/>
  </r>
  <r>
    <x v="5"/>
    <x v="6"/>
    <x v="2"/>
    <x v="4"/>
    <x v="4"/>
    <x v="183"/>
    <n v="4.22"/>
    <d v="2024-07-01T00:00:00"/>
    <n v="7"/>
    <s v="Q3"/>
    <x v="66"/>
    <s v="Medium"/>
  </r>
  <r>
    <x v="5"/>
    <x v="6"/>
    <x v="2"/>
    <x v="5"/>
    <x v="5"/>
    <x v="190"/>
    <n v="4.3"/>
    <d v="2024-07-01T00:00:00"/>
    <n v="7"/>
    <s v="Q3"/>
    <x v="66"/>
    <s v="Medium"/>
  </r>
  <r>
    <x v="5"/>
    <x v="6"/>
    <x v="2"/>
    <x v="6"/>
    <x v="6"/>
    <x v="201"/>
    <n v="4.38"/>
    <d v="2024-07-01T00:00:00"/>
    <n v="7"/>
    <s v="Q3"/>
    <x v="66"/>
    <s v="Medium"/>
  </r>
  <r>
    <x v="5"/>
    <x v="7"/>
    <x v="0"/>
    <x v="0"/>
    <x v="0"/>
    <x v="141"/>
    <n v="4.05"/>
    <d v="2024-08-01T00:00:00"/>
    <n v="8"/>
    <s v="Q3"/>
    <x v="67"/>
    <s v="Medium"/>
  </r>
  <r>
    <x v="5"/>
    <x v="7"/>
    <x v="0"/>
    <x v="1"/>
    <x v="1"/>
    <x v="147"/>
    <n v="4.13"/>
    <d v="2024-08-01T00:00:00"/>
    <n v="8"/>
    <s v="Q3"/>
    <x v="67"/>
    <s v="Medium"/>
  </r>
  <r>
    <x v="5"/>
    <x v="7"/>
    <x v="0"/>
    <x v="2"/>
    <x v="2"/>
    <x v="157"/>
    <n v="4.21"/>
    <d v="2024-08-01T00:00:00"/>
    <n v="8"/>
    <s v="Q3"/>
    <x v="67"/>
    <s v="Medium"/>
  </r>
  <r>
    <x v="5"/>
    <x v="7"/>
    <x v="0"/>
    <x v="3"/>
    <x v="3"/>
    <x v="169"/>
    <n v="4.29"/>
    <d v="2024-08-01T00:00:00"/>
    <n v="8"/>
    <s v="Q3"/>
    <x v="67"/>
    <s v="Medium"/>
  </r>
  <r>
    <x v="5"/>
    <x v="7"/>
    <x v="0"/>
    <x v="4"/>
    <x v="4"/>
    <x v="179"/>
    <n v="4.37"/>
    <d v="2024-08-01T00:00:00"/>
    <n v="8"/>
    <s v="Q3"/>
    <x v="67"/>
    <s v="Medium"/>
  </r>
  <r>
    <x v="5"/>
    <x v="7"/>
    <x v="0"/>
    <x v="5"/>
    <x v="5"/>
    <x v="191"/>
    <n v="4.45"/>
    <d v="2024-08-01T00:00:00"/>
    <n v="8"/>
    <s v="Q3"/>
    <x v="67"/>
    <s v="Medium"/>
  </r>
  <r>
    <x v="5"/>
    <x v="7"/>
    <x v="0"/>
    <x v="6"/>
    <x v="6"/>
    <x v="197"/>
    <n v="4.53"/>
    <d v="2024-08-01T00:00:00"/>
    <n v="8"/>
    <s v="Q3"/>
    <x v="67"/>
    <s v="Medium"/>
  </r>
  <r>
    <x v="5"/>
    <x v="7"/>
    <x v="1"/>
    <x v="0"/>
    <x v="0"/>
    <x v="142"/>
    <n v="4.05"/>
    <d v="2024-08-01T00:00:00"/>
    <n v="8"/>
    <s v="Q3"/>
    <x v="67"/>
    <s v="Medium"/>
  </r>
  <r>
    <x v="5"/>
    <x v="7"/>
    <x v="1"/>
    <x v="1"/>
    <x v="1"/>
    <x v="152"/>
    <n v="4.13"/>
    <d v="2024-08-01T00:00:00"/>
    <n v="8"/>
    <s v="Q3"/>
    <x v="67"/>
    <s v="Medium"/>
  </r>
  <r>
    <x v="5"/>
    <x v="7"/>
    <x v="1"/>
    <x v="2"/>
    <x v="2"/>
    <x v="163"/>
    <n v="4.21"/>
    <d v="2024-08-01T00:00:00"/>
    <n v="8"/>
    <s v="Q3"/>
    <x v="67"/>
    <s v="Medium"/>
  </r>
  <r>
    <x v="5"/>
    <x v="7"/>
    <x v="1"/>
    <x v="3"/>
    <x v="3"/>
    <x v="170"/>
    <n v="4.29"/>
    <d v="2024-08-01T00:00:00"/>
    <n v="8"/>
    <s v="Q3"/>
    <x v="67"/>
    <s v="Medium"/>
  </r>
  <r>
    <x v="5"/>
    <x v="7"/>
    <x v="1"/>
    <x v="4"/>
    <x v="4"/>
    <x v="180"/>
    <n v="4.37"/>
    <d v="2024-08-01T00:00:00"/>
    <n v="8"/>
    <s v="Q3"/>
    <x v="67"/>
    <s v="Medium"/>
  </r>
  <r>
    <x v="5"/>
    <x v="7"/>
    <x v="1"/>
    <x v="5"/>
    <x v="5"/>
    <x v="192"/>
    <n v="4.45"/>
    <d v="2024-08-01T00:00:00"/>
    <n v="8"/>
    <s v="Q3"/>
    <x v="67"/>
    <s v="Medium"/>
  </r>
  <r>
    <x v="5"/>
    <x v="7"/>
    <x v="1"/>
    <x v="6"/>
    <x v="6"/>
    <x v="202"/>
    <n v="4.53"/>
    <d v="2024-08-01T00:00:00"/>
    <n v="8"/>
    <s v="Q3"/>
    <x v="67"/>
    <s v="Medium"/>
  </r>
  <r>
    <x v="5"/>
    <x v="7"/>
    <x v="2"/>
    <x v="0"/>
    <x v="0"/>
    <x v="143"/>
    <n v="4.05"/>
    <d v="2024-08-01T00:00:00"/>
    <n v="8"/>
    <s v="Q3"/>
    <x v="67"/>
    <s v="Medium"/>
  </r>
  <r>
    <x v="5"/>
    <x v="7"/>
    <x v="2"/>
    <x v="1"/>
    <x v="1"/>
    <x v="153"/>
    <n v="4.13"/>
    <d v="2024-08-01T00:00:00"/>
    <n v="8"/>
    <s v="Q3"/>
    <x v="67"/>
    <s v="Medium"/>
  </r>
  <r>
    <x v="5"/>
    <x v="7"/>
    <x v="2"/>
    <x v="2"/>
    <x v="2"/>
    <x v="164"/>
    <n v="4.21"/>
    <d v="2024-08-01T00:00:00"/>
    <n v="8"/>
    <s v="Q3"/>
    <x v="67"/>
    <s v="Medium"/>
  </r>
  <r>
    <x v="5"/>
    <x v="7"/>
    <x v="2"/>
    <x v="3"/>
    <x v="3"/>
    <x v="175"/>
    <n v="4.29"/>
    <d v="2024-08-01T00:00:00"/>
    <n v="8"/>
    <s v="Q3"/>
    <x v="67"/>
    <s v="Medium"/>
  </r>
  <r>
    <x v="5"/>
    <x v="7"/>
    <x v="2"/>
    <x v="4"/>
    <x v="4"/>
    <x v="185"/>
    <n v="4.37"/>
    <d v="2024-08-01T00:00:00"/>
    <n v="8"/>
    <s v="Q3"/>
    <x v="67"/>
    <s v="Medium"/>
  </r>
  <r>
    <x v="5"/>
    <x v="7"/>
    <x v="2"/>
    <x v="5"/>
    <x v="5"/>
    <x v="193"/>
    <n v="4.45"/>
    <d v="2024-08-01T00:00:00"/>
    <n v="8"/>
    <s v="Q3"/>
    <x v="67"/>
    <s v="Medium"/>
  </r>
  <r>
    <x v="5"/>
    <x v="7"/>
    <x v="2"/>
    <x v="6"/>
    <x v="6"/>
    <x v="203"/>
    <n v="4.53"/>
    <d v="2024-08-01T00:00:00"/>
    <n v="8"/>
    <s v="Q3"/>
    <x v="67"/>
    <s v="Medium"/>
  </r>
  <r>
    <x v="5"/>
    <x v="8"/>
    <x v="0"/>
    <x v="0"/>
    <x v="0"/>
    <x v="137"/>
    <n v="4.2"/>
    <d v="2024-09-01T00:00:00"/>
    <n v="9"/>
    <s v="Q3"/>
    <x v="68"/>
    <s v="Medium"/>
  </r>
  <r>
    <x v="5"/>
    <x v="8"/>
    <x v="0"/>
    <x v="1"/>
    <x v="1"/>
    <x v="149"/>
    <n v="4.28"/>
    <d v="2024-09-01T00:00:00"/>
    <n v="9"/>
    <s v="Q3"/>
    <x v="68"/>
    <s v="Medium"/>
  </r>
  <r>
    <x v="5"/>
    <x v="8"/>
    <x v="0"/>
    <x v="2"/>
    <x v="2"/>
    <x v="159"/>
    <n v="4.3600000000000003"/>
    <d v="2024-09-01T00:00:00"/>
    <n v="9"/>
    <s v="Q3"/>
    <x v="68"/>
    <s v="Medium"/>
  </r>
  <r>
    <x v="5"/>
    <x v="8"/>
    <x v="0"/>
    <x v="3"/>
    <x v="3"/>
    <x v="171"/>
    <n v="4.4400000000000004"/>
    <d v="2024-09-01T00:00:00"/>
    <n v="9"/>
    <s v="Q3"/>
    <x v="68"/>
    <s v="Medium"/>
  </r>
  <r>
    <x v="5"/>
    <x v="8"/>
    <x v="0"/>
    <x v="4"/>
    <x v="4"/>
    <x v="181"/>
    <n v="4.5199999999999996"/>
    <d v="2024-09-01T00:00:00"/>
    <n v="9"/>
    <s v="Q3"/>
    <x v="68"/>
    <s v="Medium"/>
  </r>
  <r>
    <x v="5"/>
    <x v="8"/>
    <x v="0"/>
    <x v="5"/>
    <x v="5"/>
    <x v="187"/>
    <n v="4.5999999999999996"/>
    <d v="2024-09-01T00:00:00"/>
    <n v="9"/>
    <s v="Q3"/>
    <x v="68"/>
    <s v="Medium"/>
  </r>
  <r>
    <x v="5"/>
    <x v="8"/>
    <x v="0"/>
    <x v="6"/>
    <x v="6"/>
    <x v="199"/>
    <n v="4.68"/>
    <d v="2024-09-01T00:00:00"/>
    <n v="9"/>
    <s v="Q3"/>
    <x v="68"/>
    <s v="Medium"/>
  </r>
  <r>
    <x v="5"/>
    <x v="8"/>
    <x v="1"/>
    <x v="0"/>
    <x v="0"/>
    <x v="144"/>
    <n v="4.2"/>
    <d v="2024-09-01T00:00:00"/>
    <n v="9"/>
    <s v="Q3"/>
    <x v="68"/>
    <s v="Medium"/>
  </r>
  <r>
    <x v="5"/>
    <x v="8"/>
    <x v="1"/>
    <x v="1"/>
    <x v="1"/>
    <x v="154"/>
    <n v="4.28"/>
    <d v="2024-09-01T00:00:00"/>
    <n v="9"/>
    <s v="Q3"/>
    <x v="68"/>
    <s v="Medium"/>
  </r>
  <r>
    <x v="5"/>
    <x v="8"/>
    <x v="1"/>
    <x v="2"/>
    <x v="2"/>
    <x v="166"/>
    <n v="4.3600000000000003"/>
    <d v="2024-09-01T00:00:00"/>
    <n v="9"/>
    <s v="Q3"/>
    <x v="68"/>
    <s v="Medium"/>
  </r>
  <r>
    <x v="5"/>
    <x v="8"/>
    <x v="1"/>
    <x v="3"/>
    <x v="3"/>
    <x v="172"/>
    <n v="4.4400000000000004"/>
    <d v="2024-09-01T00:00:00"/>
    <n v="9"/>
    <s v="Q3"/>
    <x v="68"/>
    <s v="Medium"/>
  </r>
  <r>
    <x v="5"/>
    <x v="8"/>
    <x v="1"/>
    <x v="4"/>
    <x v="4"/>
    <x v="182"/>
    <n v="4.5199999999999996"/>
    <d v="2024-09-01T00:00:00"/>
    <n v="9"/>
    <s v="Q3"/>
    <x v="68"/>
    <s v="Medium"/>
  </r>
  <r>
    <x v="5"/>
    <x v="8"/>
    <x v="1"/>
    <x v="5"/>
    <x v="5"/>
    <x v="194"/>
    <n v="4.5999999999999996"/>
    <d v="2024-09-01T00:00:00"/>
    <n v="9"/>
    <s v="Q3"/>
    <x v="68"/>
    <s v="Medium"/>
  </r>
  <r>
    <x v="5"/>
    <x v="8"/>
    <x v="1"/>
    <x v="6"/>
    <x v="6"/>
    <x v="204"/>
    <n v="4.68"/>
    <d v="2024-09-01T00:00:00"/>
    <n v="9"/>
    <s v="Q3"/>
    <x v="68"/>
    <s v="Medium"/>
  </r>
  <r>
    <x v="5"/>
    <x v="8"/>
    <x v="2"/>
    <x v="0"/>
    <x v="0"/>
    <x v="145"/>
    <n v="4.2"/>
    <d v="2024-09-01T00:00:00"/>
    <n v="9"/>
    <s v="Q3"/>
    <x v="68"/>
    <s v="Medium"/>
  </r>
  <r>
    <x v="5"/>
    <x v="8"/>
    <x v="2"/>
    <x v="1"/>
    <x v="1"/>
    <x v="155"/>
    <n v="4.28"/>
    <d v="2024-09-01T00:00:00"/>
    <n v="9"/>
    <s v="Q3"/>
    <x v="68"/>
    <s v="Medium"/>
  </r>
  <r>
    <x v="5"/>
    <x v="8"/>
    <x v="2"/>
    <x v="2"/>
    <x v="2"/>
    <x v="167"/>
    <n v="4.3600000000000003"/>
    <d v="2024-09-01T00:00:00"/>
    <n v="9"/>
    <s v="Q3"/>
    <x v="68"/>
    <s v="Medium"/>
  </r>
  <r>
    <x v="5"/>
    <x v="8"/>
    <x v="2"/>
    <x v="3"/>
    <x v="3"/>
    <x v="177"/>
    <n v="4.4400000000000004"/>
    <d v="2024-09-01T00:00:00"/>
    <n v="9"/>
    <s v="Q3"/>
    <x v="68"/>
    <s v="Medium"/>
  </r>
  <r>
    <x v="5"/>
    <x v="8"/>
    <x v="2"/>
    <x v="4"/>
    <x v="4"/>
    <x v="188"/>
    <n v="4.5199999999999996"/>
    <d v="2024-09-01T00:00:00"/>
    <n v="9"/>
    <s v="Q3"/>
    <x v="68"/>
    <s v="Medium"/>
  </r>
  <r>
    <x v="5"/>
    <x v="8"/>
    <x v="2"/>
    <x v="5"/>
    <x v="5"/>
    <x v="195"/>
    <n v="4.5999999999999996"/>
    <d v="2024-09-01T00:00:00"/>
    <n v="9"/>
    <s v="Q3"/>
    <x v="68"/>
    <s v="Medium"/>
  </r>
  <r>
    <x v="5"/>
    <x v="8"/>
    <x v="2"/>
    <x v="6"/>
    <x v="6"/>
    <x v="205"/>
    <n v="4.68"/>
    <d v="2024-09-01T00:00:00"/>
    <n v="9"/>
    <s v="Q3"/>
    <x v="68"/>
    <s v="Medium"/>
  </r>
  <r>
    <x v="5"/>
    <x v="9"/>
    <x v="0"/>
    <x v="0"/>
    <x v="0"/>
    <x v="140"/>
    <n v="4.3499999999999996"/>
    <d v="2024-10-01T00:00:00"/>
    <n v="10"/>
    <s v="Q4"/>
    <x v="69"/>
    <s v="Medium"/>
  </r>
  <r>
    <x v="5"/>
    <x v="9"/>
    <x v="0"/>
    <x v="1"/>
    <x v="1"/>
    <x v="151"/>
    <n v="4.43"/>
    <d v="2024-10-01T00:00:00"/>
    <n v="10"/>
    <s v="Q4"/>
    <x v="69"/>
    <s v="Medium"/>
  </r>
  <r>
    <x v="5"/>
    <x v="9"/>
    <x v="0"/>
    <x v="2"/>
    <x v="2"/>
    <x v="161"/>
    <n v="4.51"/>
    <d v="2024-10-01T00:00:00"/>
    <n v="10"/>
    <s v="Q4"/>
    <x v="69"/>
    <s v="Medium"/>
  </r>
  <r>
    <x v="5"/>
    <x v="9"/>
    <x v="0"/>
    <x v="3"/>
    <x v="3"/>
    <x v="173"/>
    <n v="4.59"/>
    <d v="2024-10-01T00:00:00"/>
    <n v="10"/>
    <s v="Q4"/>
    <x v="69"/>
    <s v="Medium"/>
  </r>
  <r>
    <x v="5"/>
    <x v="9"/>
    <x v="0"/>
    <x v="4"/>
    <x v="4"/>
    <x v="183"/>
    <n v="4.67"/>
    <d v="2024-10-01T00:00:00"/>
    <n v="10"/>
    <s v="Q4"/>
    <x v="69"/>
    <s v="Medium"/>
  </r>
  <r>
    <x v="5"/>
    <x v="9"/>
    <x v="0"/>
    <x v="5"/>
    <x v="5"/>
    <x v="190"/>
    <n v="4.75"/>
    <d v="2024-10-01T00:00:00"/>
    <n v="10"/>
    <s v="Q4"/>
    <x v="69"/>
    <s v="Medium"/>
  </r>
  <r>
    <x v="5"/>
    <x v="9"/>
    <x v="0"/>
    <x v="6"/>
    <x v="6"/>
    <x v="201"/>
    <n v="4.83"/>
    <d v="2024-10-01T00:00:00"/>
    <n v="10"/>
    <s v="Q4"/>
    <x v="69"/>
    <s v="Medium"/>
  </r>
  <r>
    <x v="5"/>
    <x v="9"/>
    <x v="1"/>
    <x v="0"/>
    <x v="0"/>
    <x v="146"/>
    <n v="4.3499999999999996"/>
    <d v="2024-10-01T00:00:00"/>
    <n v="10"/>
    <s v="Q4"/>
    <x v="69"/>
    <s v="Medium"/>
  </r>
  <r>
    <x v="5"/>
    <x v="9"/>
    <x v="1"/>
    <x v="1"/>
    <x v="1"/>
    <x v="156"/>
    <n v="4.43"/>
    <d v="2024-10-01T00:00:00"/>
    <n v="10"/>
    <s v="Q4"/>
    <x v="69"/>
    <s v="Medium"/>
  </r>
  <r>
    <x v="5"/>
    <x v="9"/>
    <x v="1"/>
    <x v="2"/>
    <x v="2"/>
    <x v="162"/>
    <n v="4.51"/>
    <d v="2024-10-01T00:00:00"/>
    <n v="10"/>
    <s v="Q4"/>
    <x v="69"/>
    <s v="Medium"/>
  </r>
  <r>
    <x v="5"/>
    <x v="9"/>
    <x v="1"/>
    <x v="3"/>
    <x v="3"/>
    <x v="174"/>
    <n v="4.59"/>
    <d v="2024-10-01T00:00:00"/>
    <n v="10"/>
    <s v="Q4"/>
    <x v="69"/>
    <s v="Medium"/>
  </r>
  <r>
    <x v="5"/>
    <x v="9"/>
    <x v="1"/>
    <x v="4"/>
    <x v="4"/>
    <x v="184"/>
    <n v="4.67"/>
    <d v="2024-10-01T00:00:00"/>
    <n v="10"/>
    <s v="Q4"/>
    <x v="69"/>
    <s v="Medium"/>
  </r>
  <r>
    <x v="5"/>
    <x v="9"/>
    <x v="1"/>
    <x v="5"/>
    <x v="5"/>
    <x v="196"/>
    <n v="4.75"/>
    <d v="2024-10-01T00:00:00"/>
    <n v="10"/>
    <s v="Q4"/>
    <x v="69"/>
    <s v="Medium"/>
  </r>
  <r>
    <x v="5"/>
    <x v="9"/>
    <x v="1"/>
    <x v="6"/>
    <x v="6"/>
    <x v="206"/>
    <n v="4.83"/>
    <d v="2024-10-01T00:00:00"/>
    <n v="10"/>
    <s v="Q4"/>
    <x v="69"/>
    <s v="Medium"/>
  </r>
  <r>
    <x v="5"/>
    <x v="9"/>
    <x v="2"/>
    <x v="0"/>
    <x v="0"/>
    <x v="147"/>
    <n v="4.3499999999999996"/>
    <d v="2024-10-01T00:00:00"/>
    <n v="10"/>
    <s v="Q4"/>
    <x v="69"/>
    <s v="Medium"/>
  </r>
  <r>
    <x v="5"/>
    <x v="9"/>
    <x v="2"/>
    <x v="1"/>
    <x v="1"/>
    <x v="157"/>
    <n v="4.43"/>
    <d v="2024-10-01T00:00:00"/>
    <n v="10"/>
    <s v="Q4"/>
    <x v="69"/>
    <s v="Medium"/>
  </r>
  <r>
    <x v="5"/>
    <x v="9"/>
    <x v="2"/>
    <x v="2"/>
    <x v="2"/>
    <x v="169"/>
    <n v="4.51"/>
    <d v="2024-10-01T00:00:00"/>
    <n v="10"/>
    <s v="Q4"/>
    <x v="69"/>
    <s v="Medium"/>
  </r>
  <r>
    <x v="5"/>
    <x v="9"/>
    <x v="2"/>
    <x v="3"/>
    <x v="3"/>
    <x v="179"/>
    <n v="4.59"/>
    <d v="2024-10-01T00:00:00"/>
    <n v="10"/>
    <s v="Q4"/>
    <x v="69"/>
    <s v="Medium"/>
  </r>
  <r>
    <x v="5"/>
    <x v="9"/>
    <x v="2"/>
    <x v="4"/>
    <x v="4"/>
    <x v="191"/>
    <n v="4.67"/>
    <d v="2024-10-01T00:00:00"/>
    <n v="10"/>
    <s v="Q4"/>
    <x v="69"/>
    <s v="Medium"/>
  </r>
  <r>
    <x v="5"/>
    <x v="9"/>
    <x v="2"/>
    <x v="5"/>
    <x v="5"/>
    <x v="197"/>
    <n v="4.75"/>
    <d v="2024-10-01T00:00:00"/>
    <n v="10"/>
    <s v="Q4"/>
    <x v="69"/>
    <s v="Medium"/>
  </r>
  <r>
    <x v="5"/>
    <x v="9"/>
    <x v="2"/>
    <x v="6"/>
    <x v="6"/>
    <x v="207"/>
    <n v="4.83"/>
    <d v="2024-10-01T00:00:00"/>
    <n v="10"/>
    <s v="Q4"/>
    <x v="69"/>
    <s v="Medium"/>
  </r>
  <r>
    <x v="5"/>
    <x v="10"/>
    <x v="0"/>
    <x v="0"/>
    <x v="0"/>
    <x v="143"/>
    <n v="4.5"/>
    <d v="2024-11-01T00:00:00"/>
    <n v="11"/>
    <s v="Q4"/>
    <x v="70"/>
    <s v="Medium"/>
  </r>
  <r>
    <x v="5"/>
    <x v="10"/>
    <x v="0"/>
    <x v="1"/>
    <x v="1"/>
    <x v="153"/>
    <n v="4.58"/>
    <d v="2024-11-01T00:00:00"/>
    <n v="11"/>
    <s v="Q4"/>
    <x v="70"/>
    <s v="Medium"/>
  </r>
  <r>
    <x v="5"/>
    <x v="10"/>
    <x v="0"/>
    <x v="2"/>
    <x v="2"/>
    <x v="164"/>
    <n v="4.66"/>
    <d v="2024-11-01T00:00:00"/>
    <n v="11"/>
    <s v="Q4"/>
    <x v="70"/>
    <s v="Medium"/>
  </r>
  <r>
    <x v="5"/>
    <x v="10"/>
    <x v="0"/>
    <x v="3"/>
    <x v="3"/>
    <x v="175"/>
    <n v="4.74"/>
    <d v="2024-11-01T00:00:00"/>
    <n v="11"/>
    <s v="Q4"/>
    <x v="70"/>
    <s v="Medium"/>
  </r>
  <r>
    <x v="5"/>
    <x v="10"/>
    <x v="0"/>
    <x v="4"/>
    <x v="4"/>
    <x v="185"/>
    <n v="4.82"/>
    <d v="2024-11-01T00:00:00"/>
    <n v="11"/>
    <s v="Q4"/>
    <x v="70"/>
    <s v="Medium"/>
  </r>
  <r>
    <x v="5"/>
    <x v="10"/>
    <x v="0"/>
    <x v="5"/>
    <x v="5"/>
    <x v="193"/>
    <n v="4.9000000000000004"/>
    <d v="2024-11-01T00:00:00"/>
    <n v="11"/>
    <s v="Q4"/>
    <x v="70"/>
    <s v="Medium"/>
  </r>
  <r>
    <x v="5"/>
    <x v="10"/>
    <x v="0"/>
    <x v="6"/>
    <x v="6"/>
    <x v="203"/>
    <n v="4.9800000000000004"/>
    <d v="2024-11-01T00:00:00"/>
    <n v="11"/>
    <s v="Q4"/>
    <x v="70"/>
    <s v="Medium"/>
  </r>
  <r>
    <x v="5"/>
    <x v="10"/>
    <x v="1"/>
    <x v="0"/>
    <x v="0"/>
    <x v="148"/>
    <n v="4.5"/>
    <d v="2024-11-01T00:00:00"/>
    <n v="11"/>
    <s v="Q4"/>
    <x v="70"/>
    <s v="Medium"/>
  </r>
  <r>
    <x v="5"/>
    <x v="10"/>
    <x v="1"/>
    <x v="1"/>
    <x v="1"/>
    <x v="158"/>
    <n v="4.58"/>
    <d v="2024-11-01T00:00:00"/>
    <n v="11"/>
    <s v="Q4"/>
    <x v="70"/>
    <s v="Medium"/>
  </r>
  <r>
    <x v="5"/>
    <x v="10"/>
    <x v="1"/>
    <x v="2"/>
    <x v="2"/>
    <x v="165"/>
    <n v="4.66"/>
    <d v="2024-11-01T00:00:00"/>
    <n v="11"/>
    <s v="Q4"/>
    <x v="70"/>
    <s v="Medium"/>
  </r>
  <r>
    <x v="5"/>
    <x v="10"/>
    <x v="1"/>
    <x v="3"/>
    <x v="3"/>
    <x v="176"/>
    <n v="4.74"/>
    <d v="2024-11-01T00:00:00"/>
    <n v="11"/>
    <s v="Q4"/>
    <x v="70"/>
    <s v="Medium"/>
  </r>
  <r>
    <x v="5"/>
    <x v="10"/>
    <x v="1"/>
    <x v="4"/>
    <x v="4"/>
    <x v="186"/>
    <n v="4.82"/>
    <d v="2024-11-01T00:00:00"/>
    <n v="11"/>
    <s v="Q4"/>
    <x v="70"/>
    <s v="Medium"/>
  </r>
  <r>
    <x v="5"/>
    <x v="10"/>
    <x v="1"/>
    <x v="5"/>
    <x v="5"/>
    <x v="198"/>
    <n v="4.9000000000000004"/>
    <d v="2024-11-01T00:00:00"/>
    <n v="11"/>
    <s v="Q4"/>
    <x v="70"/>
    <s v="Medium"/>
  </r>
  <r>
    <x v="5"/>
    <x v="10"/>
    <x v="1"/>
    <x v="6"/>
    <x v="6"/>
    <x v="208"/>
    <n v="4.9800000000000004"/>
    <d v="2024-11-01T00:00:00"/>
    <n v="11"/>
    <s v="Q4"/>
    <x v="70"/>
    <s v="Medium"/>
  </r>
  <r>
    <x v="5"/>
    <x v="10"/>
    <x v="2"/>
    <x v="0"/>
    <x v="0"/>
    <x v="149"/>
    <n v="4.5"/>
    <d v="2024-11-01T00:00:00"/>
    <n v="11"/>
    <s v="Q4"/>
    <x v="70"/>
    <s v="Medium"/>
  </r>
  <r>
    <x v="5"/>
    <x v="10"/>
    <x v="2"/>
    <x v="1"/>
    <x v="1"/>
    <x v="159"/>
    <n v="4.58"/>
    <d v="2024-11-01T00:00:00"/>
    <n v="11"/>
    <s v="Q4"/>
    <x v="70"/>
    <s v="Medium"/>
  </r>
  <r>
    <x v="5"/>
    <x v="10"/>
    <x v="2"/>
    <x v="2"/>
    <x v="2"/>
    <x v="171"/>
    <n v="4.66"/>
    <d v="2024-11-01T00:00:00"/>
    <n v="11"/>
    <s v="Q4"/>
    <x v="70"/>
    <s v="Medium"/>
  </r>
  <r>
    <x v="5"/>
    <x v="10"/>
    <x v="2"/>
    <x v="3"/>
    <x v="3"/>
    <x v="181"/>
    <n v="4.74"/>
    <d v="2024-11-01T00:00:00"/>
    <n v="11"/>
    <s v="Q4"/>
    <x v="70"/>
    <s v="Medium"/>
  </r>
  <r>
    <x v="5"/>
    <x v="10"/>
    <x v="2"/>
    <x v="4"/>
    <x v="4"/>
    <x v="187"/>
    <n v="4.82"/>
    <d v="2024-11-01T00:00:00"/>
    <n v="11"/>
    <s v="Q4"/>
    <x v="70"/>
    <s v="Medium"/>
  </r>
  <r>
    <x v="5"/>
    <x v="10"/>
    <x v="2"/>
    <x v="5"/>
    <x v="5"/>
    <x v="199"/>
    <n v="4.9000000000000004"/>
    <d v="2024-11-01T00:00:00"/>
    <n v="11"/>
    <s v="Q4"/>
    <x v="70"/>
    <s v="Medium"/>
  </r>
  <r>
    <x v="5"/>
    <x v="10"/>
    <x v="2"/>
    <x v="6"/>
    <x v="6"/>
    <x v="209"/>
    <n v="4.9800000000000004"/>
    <d v="2024-11-01T00:00:00"/>
    <n v="11"/>
    <s v="Q4"/>
    <x v="70"/>
    <s v="Medium"/>
  </r>
  <r>
    <x v="5"/>
    <x v="11"/>
    <x v="0"/>
    <x v="0"/>
    <x v="0"/>
    <x v="145"/>
    <n v="3.75"/>
    <d v="2024-12-01T00:00:00"/>
    <n v="12"/>
    <s v="Q4"/>
    <x v="71"/>
    <s v="Medium"/>
  </r>
  <r>
    <x v="5"/>
    <x v="11"/>
    <x v="0"/>
    <x v="1"/>
    <x v="1"/>
    <x v="155"/>
    <n v="3.83"/>
    <d v="2024-12-01T00:00:00"/>
    <n v="12"/>
    <s v="Q4"/>
    <x v="71"/>
    <s v="Medium"/>
  </r>
  <r>
    <x v="5"/>
    <x v="11"/>
    <x v="0"/>
    <x v="2"/>
    <x v="2"/>
    <x v="167"/>
    <n v="3.91"/>
    <d v="2024-12-01T00:00:00"/>
    <n v="12"/>
    <s v="Q4"/>
    <x v="71"/>
    <s v="Medium"/>
  </r>
  <r>
    <x v="5"/>
    <x v="11"/>
    <x v="0"/>
    <x v="3"/>
    <x v="3"/>
    <x v="177"/>
    <n v="3.99"/>
    <d v="2024-12-01T00:00:00"/>
    <n v="12"/>
    <s v="Q4"/>
    <x v="71"/>
    <s v="Medium"/>
  </r>
  <r>
    <x v="5"/>
    <x v="11"/>
    <x v="0"/>
    <x v="4"/>
    <x v="4"/>
    <x v="188"/>
    <n v="4.07"/>
    <d v="2024-12-01T00:00:00"/>
    <n v="12"/>
    <s v="Q4"/>
    <x v="71"/>
    <s v="Medium"/>
  </r>
  <r>
    <x v="5"/>
    <x v="11"/>
    <x v="0"/>
    <x v="5"/>
    <x v="5"/>
    <x v="195"/>
    <n v="4.1500000000000004"/>
    <d v="2024-12-01T00:00:00"/>
    <n v="12"/>
    <s v="Q4"/>
    <x v="71"/>
    <s v="Medium"/>
  </r>
  <r>
    <x v="5"/>
    <x v="11"/>
    <x v="0"/>
    <x v="6"/>
    <x v="6"/>
    <x v="205"/>
    <n v="4.2300000000000004"/>
    <d v="2024-12-01T00:00:00"/>
    <n v="12"/>
    <s v="Q4"/>
    <x v="71"/>
    <s v="Medium"/>
  </r>
  <r>
    <x v="5"/>
    <x v="11"/>
    <x v="1"/>
    <x v="0"/>
    <x v="0"/>
    <x v="150"/>
    <n v="3.75"/>
    <d v="2024-12-01T00:00:00"/>
    <n v="12"/>
    <s v="Q4"/>
    <x v="71"/>
    <s v="Medium"/>
  </r>
  <r>
    <x v="5"/>
    <x v="11"/>
    <x v="1"/>
    <x v="1"/>
    <x v="1"/>
    <x v="160"/>
    <n v="3.83"/>
    <d v="2024-12-01T00:00:00"/>
    <n v="12"/>
    <s v="Q4"/>
    <x v="71"/>
    <s v="Medium"/>
  </r>
  <r>
    <x v="5"/>
    <x v="11"/>
    <x v="1"/>
    <x v="2"/>
    <x v="2"/>
    <x v="168"/>
    <n v="3.91"/>
    <d v="2024-12-01T00:00:00"/>
    <n v="12"/>
    <s v="Q4"/>
    <x v="71"/>
    <s v="Medium"/>
  </r>
  <r>
    <x v="5"/>
    <x v="11"/>
    <x v="1"/>
    <x v="3"/>
    <x v="3"/>
    <x v="178"/>
    <n v="3.99"/>
    <d v="2024-12-01T00:00:00"/>
    <n v="12"/>
    <s v="Q4"/>
    <x v="71"/>
    <s v="Medium"/>
  </r>
  <r>
    <x v="5"/>
    <x v="11"/>
    <x v="1"/>
    <x v="4"/>
    <x v="4"/>
    <x v="189"/>
    <n v="4.07"/>
    <d v="2024-12-01T00:00:00"/>
    <n v="12"/>
    <s v="Q4"/>
    <x v="71"/>
    <s v="Medium"/>
  </r>
  <r>
    <x v="5"/>
    <x v="11"/>
    <x v="1"/>
    <x v="5"/>
    <x v="5"/>
    <x v="200"/>
    <n v="4.1500000000000004"/>
    <d v="2024-12-01T00:00:00"/>
    <n v="12"/>
    <s v="Q4"/>
    <x v="71"/>
    <s v="Medium"/>
  </r>
  <r>
    <x v="5"/>
    <x v="11"/>
    <x v="1"/>
    <x v="6"/>
    <x v="6"/>
    <x v="210"/>
    <n v="4.2300000000000004"/>
    <d v="2024-12-01T00:00:00"/>
    <n v="12"/>
    <s v="Q4"/>
    <x v="71"/>
    <s v="Medium"/>
  </r>
  <r>
    <x v="5"/>
    <x v="11"/>
    <x v="2"/>
    <x v="0"/>
    <x v="0"/>
    <x v="151"/>
    <n v="3.75"/>
    <d v="2024-12-01T00:00:00"/>
    <n v="12"/>
    <s v="Q4"/>
    <x v="71"/>
    <s v="Medium"/>
  </r>
  <r>
    <x v="5"/>
    <x v="11"/>
    <x v="2"/>
    <x v="1"/>
    <x v="1"/>
    <x v="161"/>
    <n v="3.83"/>
    <d v="2024-12-01T00:00:00"/>
    <n v="12"/>
    <s v="Q4"/>
    <x v="71"/>
    <s v="Medium"/>
  </r>
  <r>
    <x v="5"/>
    <x v="11"/>
    <x v="2"/>
    <x v="2"/>
    <x v="2"/>
    <x v="173"/>
    <n v="3.91"/>
    <d v="2024-12-01T00:00:00"/>
    <n v="12"/>
    <s v="Q4"/>
    <x v="71"/>
    <s v="Medium"/>
  </r>
  <r>
    <x v="5"/>
    <x v="11"/>
    <x v="2"/>
    <x v="3"/>
    <x v="3"/>
    <x v="183"/>
    <n v="3.99"/>
    <d v="2024-12-01T00:00:00"/>
    <n v="12"/>
    <s v="Q4"/>
    <x v="71"/>
    <s v="Medium"/>
  </r>
  <r>
    <x v="5"/>
    <x v="11"/>
    <x v="2"/>
    <x v="4"/>
    <x v="4"/>
    <x v="190"/>
    <n v="4.07"/>
    <d v="2024-12-01T00:00:00"/>
    <n v="12"/>
    <s v="Q4"/>
    <x v="71"/>
    <s v="Medium"/>
  </r>
  <r>
    <x v="5"/>
    <x v="11"/>
    <x v="2"/>
    <x v="5"/>
    <x v="5"/>
    <x v="201"/>
    <n v="4.1500000000000004"/>
    <d v="2024-12-01T00:00:00"/>
    <n v="12"/>
    <s v="Q4"/>
    <x v="71"/>
    <s v="Medium"/>
  </r>
  <r>
    <x v="5"/>
    <x v="11"/>
    <x v="2"/>
    <x v="6"/>
    <x v="6"/>
    <x v="211"/>
    <n v="4.2300000000000004"/>
    <d v="2024-12-01T00:00:00"/>
    <n v="12"/>
    <s v="Q4"/>
    <x v="71"/>
    <s v="Medium"/>
  </r>
  <r>
    <x v="6"/>
    <x v="0"/>
    <x v="0"/>
    <x v="0"/>
    <x v="0"/>
    <x v="150"/>
    <n v="4.25"/>
    <d v="2025-01-01T00:00:00"/>
    <n v="1"/>
    <s v="Q1"/>
    <x v="72"/>
    <s v="Medium"/>
  </r>
  <r>
    <x v="6"/>
    <x v="0"/>
    <x v="0"/>
    <x v="1"/>
    <x v="1"/>
    <x v="160"/>
    <n v="4.33"/>
    <d v="2025-01-01T00:00:00"/>
    <n v="1"/>
    <s v="Q1"/>
    <x v="72"/>
    <s v="Medium"/>
  </r>
  <r>
    <x v="6"/>
    <x v="0"/>
    <x v="0"/>
    <x v="2"/>
    <x v="2"/>
    <x v="168"/>
    <n v="4.41"/>
    <d v="2025-01-01T00:00:00"/>
    <n v="1"/>
    <s v="Q1"/>
    <x v="72"/>
    <s v="Medium"/>
  </r>
  <r>
    <x v="6"/>
    <x v="0"/>
    <x v="0"/>
    <x v="3"/>
    <x v="3"/>
    <x v="178"/>
    <n v="4.49"/>
    <d v="2025-01-01T00:00:00"/>
    <n v="1"/>
    <s v="Q1"/>
    <x v="72"/>
    <s v="Medium"/>
  </r>
  <r>
    <x v="6"/>
    <x v="0"/>
    <x v="0"/>
    <x v="4"/>
    <x v="4"/>
    <x v="189"/>
    <n v="4.57"/>
    <d v="2025-01-01T00:00:00"/>
    <n v="1"/>
    <s v="Q1"/>
    <x v="72"/>
    <s v="Medium"/>
  </r>
  <r>
    <x v="6"/>
    <x v="0"/>
    <x v="0"/>
    <x v="5"/>
    <x v="5"/>
    <x v="200"/>
    <n v="4.6500000000000004"/>
    <d v="2025-01-01T00:00:00"/>
    <n v="1"/>
    <s v="Q1"/>
    <x v="72"/>
    <s v="Medium"/>
  </r>
  <r>
    <x v="6"/>
    <x v="0"/>
    <x v="0"/>
    <x v="6"/>
    <x v="6"/>
    <x v="210"/>
    <n v="4.7300000000000004"/>
    <d v="2025-01-01T00:00:00"/>
    <n v="1"/>
    <s v="Q1"/>
    <x v="72"/>
    <s v="Medium"/>
  </r>
  <r>
    <x v="6"/>
    <x v="0"/>
    <x v="1"/>
    <x v="0"/>
    <x v="0"/>
    <x v="151"/>
    <n v="4.25"/>
    <d v="2025-01-01T00:00:00"/>
    <n v="1"/>
    <s v="Q1"/>
    <x v="72"/>
    <s v="Medium"/>
  </r>
  <r>
    <x v="6"/>
    <x v="0"/>
    <x v="1"/>
    <x v="1"/>
    <x v="1"/>
    <x v="161"/>
    <n v="4.33"/>
    <d v="2025-01-01T00:00:00"/>
    <n v="1"/>
    <s v="Q1"/>
    <x v="72"/>
    <s v="Medium"/>
  </r>
  <r>
    <x v="6"/>
    <x v="0"/>
    <x v="1"/>
    <x v="2"/>
    <x v="2"/>
    <x v="173"/>
    <n v="4.41"/>
    <d v="2025-01-01T00:00:00"/>
    <n v="1"/>
    <s v="Q1"/>
    <x v="72"/>
    <s v="Medium"/>
  </r>
  <r>
    <x v="6"/>
    <x v="0"/>
    <x v="1"/>
    <x v="3"/>
    <x v="3"/>
    <x v="183"/>
    <n v="4.49"/>
    <d v="2025-01-01T00:00:00"/>
    <n v="1"/>
    <s v="Q1"/>
    <x v="72"/>
    <s v="Medium"/>
  </r>
  <r>
    <x v="6"/>
    <x v="0"/>
    <x v="1"/>
    <x v="4"/>
    <x v="4"/>
    <x v="190"/>
    <n v="4.57"/>
    <d v="2025-01-01T00:00:00"/>
    <n v="1"/>
    <s v="Q1"/>
    <x v="72"/>
    <s v="Medium"/>
  </r>
  <r>
    <x v="6"/>
    <x v="0"/>
    <x v="1"/>
    <x v="5"/>
    <x v="5"/>
    <x v="201"/>
    <n v="4.6500000000000004"/>
    <d v="2025-01-01T00:00:00"/>
    <n v="1"/>
    <s v="Q1"/>
    <x v="72"/>
    <s v="Medium"/>
  </r>
  <r>
    <x v="6"/>
    <x v="0"/>
    <x v="1"/>
    <x v="6"/>
    <x v="6"/>
    <x v="211"/>
    <n v="4.7300000000000004"/>
    <d v="2025-01-01T00:00:00"/>
    <n v="1"/>
    <s v="Q1"/>
    <x v="72"/>
    <s v="Medium"/>
  </r>
  <r>
    <x v="6"/>
    <x v="0"/>
    <x v="2"/>
    <x v="0"/>
    <x v="0"/>
    <x v="156"/>
    <n v="4.25"/>
    <d v="2025-01-01T00:00:00"/>
    <n v="1"/>
    <s v="Q1"/>
    <x v="72"/>
    <s v="Medium"/>
  </r>
  <r>
    <x v="6"/>
    <x v="0"/>
    <x v="2"/>
    <x v="1"/>
    <x v="1"/>
    <x v="162"/>
    <n v="4.33"/>
    <d v="2025-01-01T00:00:00"/>
    <n v="1"/>
    <s v="Q1"/>
    <x v="72"/>
    <s v="Medium"/>
  </r>
  <r>
    <x v="6"/>
    <x v="0"/>
    <x v="2"/>
    <x v="2"/>
    <x v="2"/>
    <x v="174"/>
    <n v="4.41"/>
    <d v="2025-01-01T00:00:00"/>
    <n v="1"/>
    <s v="Q1"/>
    <x v="72"/>
    <s v="Medium"/>
  </r>
  <r>
    <x v="6"/>
    <x v="0"/>
    <x v="2"/>
    <x v="3"/>
    <x v="3"/>
    <x v="184"/>
    <n v="4.49"/>
    <d v="2025-01-01T00:00:00"/>
    <n v="1"/>
    <s v="Q1"/>
    <x v="72"/>
    <s v="Medium"/>
  </r>
  <r>
    <x v="6"/>
    <x v="0"/>
    <x v="2"/>
    <x v="4"/>
    <x v="4"/>
    <x v="196"/>
    <n v="4.57"/>
    <d v="2025-01-01T00:00:00"/>
    <n v="1"/>
    <s v="Q1"/>
    <x v="72"/>
    <s v="Medium"/>
  </r>
  <r>
    <x v="6"/>
    <x v="0"/>
    <x v="2"/>
    <x v="5"/>
    <x v="5"/>
    <x v="206"/>
    <n v="4.6500000000000004"/>
    <d v="2025-01-01T00:00:00"/>
    <n v="1"/>
    <s v="Q1"/>
    <x v="72"/>
    <s v="Medium"/>
  </r>
  <r>
    <x v="6"/>
    <x v="0"/>
    <x v="2"/>
    <x v="6"/>
    <x v="6"/>
    <x v="212"/>
    <n v="4.7300000000000004"/>
    <d v="2025-01-01T00:00:00"/>
    <n v="1"/>
    <s v="Q1"/>
    <x v="72"/>
    <s v="Medium"/>
  </r>
  <r>
    <x v="6"/>
    <x v="1"/>
    <x v="0"/>
    <x v="0"/>
    <x v="0"/>
    <x v="152"/>
    <n v="4.4000000000000004"/>
    <d v="2025-02-01T00:00:00"/>
    <n v="2"/>
    <s v="Q1"/>
    <x v="73"/>
    <s v="Medium"/>
  </r>
  <r>
    <x v="6"/>
    <x v="1"/>
    <x v="0"/>
    <x v="1"/>
    <x v="1"/>
    <x v="163"/>
    <n v="4.4800000000000004"/>
    <d v="2025-02-01T00:00:00"/>
    <n v="2"/>
    <s v="Q1"/>
    <x v="73"/>
    <s v="Medium"/>
  </r>
  <r>
    <x v="6"/>
    <x v="1"/>
    <x v="0"/>
    <x v="2"/>
    <x v="2"/>
    <x v="170"/>
    <n v="4.5599999999999996"/>
    <d v="2025-02-01T00:00:00"/>
    <n v="2"/>
    <s v="Q1"/>
    <x v="73"/>
    <s v="Medium"/>
  </r>
  <r>
    <x v="6"/>
    <x v="1"/>
    <x v="0"/>
    <x v="3"/>
    <x v="3"/>
    <x v="180"/>
    <n v="4.6399999999999997"/>
    <d v="2025-02-01T00:00:00"/>
    <n v="2"/>
    <s v="Q1"/>
    <x v="73"/>
    <s v="Medium"/>
  </r>
  <r>
    <x v="6"/>
    <x v="1"/>
    <x v="0"/>
    <x v="4"/>
    <x v="4"/>
    <x v="192"/>
    <n v="4.72"/>
    <d v="2025-02-01T00:00:00"/>
    <n v="2"/>
    <s v="Q1"/>
    <x v="73"/>
    <s v="Medium"/>
  </r>
  <r>
    <x v="6"/>
    <x v="1"/>
    <x v="0"/>
    <x v="5"/>
    <x v="5"/>
    <x v="202"/>
    <n v="4.8"/>
    <d v="2025-02-01T00:00:00"/>
    <n v="2"/>
    <s v="Q1"/>
    <x v="73"/>
    <s v="Medium"/>
  </r>
  <r>
    <x v="6"/>
    <x v="1"/>
    <x v="0"/>
    <x v="6"/>
    <x v="6"/>
    <x v="213"/>
    <n v="4.88"/>
    <d v="2025-02-01T00:00:00"/>
    <n v="2"/>
    <s v="Q1"/>
    <x v="73"/>
    <s v="Medium"/>
  </r>
  <r>
    <x v="6"/>
    <x v="1"/>
    <x v="1"/>
    <x v="0"/>
    <x v="0"/>
    <x v="153"/>
    <n v="4.4000000000000004"/>
    <d v="2025-02-01T00:00:00"/>
    <n v="2"/>
    <s v="Q1"/>
    <x v="73"/>
    <s v="Medium"/>
  </r>
  <r>
    <x v="6"/>
    <x v="1"/>
    <x v="1"/>
    <x v="1"/>
    <x v="1"/>
    <x v="164"/>
    <n v="4.4800000000000004"/>
    <d v="2025-02-01T00:00:00"/>
    <n v="2"/>
    <s v="Q1"/>
    <x v="73"/>
    <s v="Medium"/>
  </r>
  <r>
    <x v="6"/>
    <x v="1"/>
    <x v="1"/>
    <x v="2"/>
    <x v="2"/>
    <x v="175"/>
    <n v="4.5599999999999996"/>
    <d v="2025-02-01T00:00:00"/>
    <n v="2"/>
    <s v="Q1"/>
    <x v="73"/>
    <s v="Medium"/>
  </r>
  <r>
    <x v="6"/>
    <x v="1"/>
    <x v="1"/>
    <x v="3"/>
    <x v="3"/>
    <x v="185"/>
    <n v="4.6399999999999997"/>
    <d v="2025-02-01T00:00:00"/>
    <n v="2"/>
    <s v="Q1"/>
    <x v="73"/>
    <s v="Medium"/>
  </r>
  <r>
    <x v="6"/>
    <x v="1"/>
    <x v="1"/>
    <x v="4"/>
    <x v="4"/>
    <x v="193"/>
    <n v="4.72"/>
    <d v="2025-02-01T00:00:00"/>
    <n v="2"/>
    <s v="Q1"/>
    <x v="73"/>
    <s v="Medium"/>
  </r>
  <r>
    <x v="6"/>
    <x v="1"/>
    <x v="1"/>
    <x v="5"/>
    <x v="5"/>
    <x v="203"/>
    <n v="4.8"/>
    <d v="2025-02-01T00:00:00"/>
    <n v="2"/>
    <s v="Q1"/>
    <x v="73"/>
    <s v="Medium"/>
  </r>
  <r>
    <x v="6"/>
    <x v="1"/>
    <x v="1"/>
    <x v="6"/>
    <x v="6"/>
    <x v="214"/>
    <n v="4.88"/>
    <d v="2025-02-01T00:00:00"/>
    <n v="2"/>
    <s v="Q1"/>
    <x v="73"/>
    <s v="Medium"/>
  </r>
  <r>
    <x v="6"/>
    <x v="1"/>
    <x v="2"/>
    <x v="0"/>
    <x v="0"/>
    <x v="158"/>
    <n v="4.4000000000000004"/>
    <d v="2025-02-01T00:00:00"/>
    <n v="2"/>
    <s v="Q1"/>
    <x v="73"/>
    <s v="Medium"/>
  </r>
  <r>
    <x v="6"/>
    <x v="1"/>
    <x v="2"/>
    <x v="1"/>
    <x v="1"/>
    <x v="165"/>
    <n v="4.4800000000000004"/>
    <d v="2025-02-01T00:00:00"/>
    <n v="2"/>
    <s v="Q1"/>
    <x v="73"/>
    <s v="Medium"/>
  </r>
  <r>
    <x v="6"/>
    <x v="1"/>
    <x v="2"/>
    <x v="2"/>
    <x v="2"/>
    <x v="176"/>
    <n v="4.5599999999999996"/>
    <d v="2025-02-01T00:00:00"/>
    <n v="2"/>
    <s v="Q1"/>
    <x v="73"/>
    <s v="Medium"/>
  </r>
  <r>
    <x v="6"/>
    <x v="1"/>
    <x v="2"/>
    <x v="3"/>
    <x v="3"/>
    <x v="186"/>
    <n v="4.6399999999999997"/>
    <d v="2025-02-01T00:00:00"/>
    <n v="2"/>
    <s v="Q1"/>
    <x v="73"/>
    <s v="Medium"/>
  </r>
  <r>
    <x v="6"/>
    <x v="1"/>
    <x v="2"/>
    <x v="4"/>
    <x v="4"/>
    <x v="198"/>
    <n v="4.72"/>
    <d v="2025-02-01T00:00:00"/>
    <n v="2"/>
    <s v="Q1"/>
    <x v="73"/>
    <s v="Medium"/>
  </r>
  <r>
    <x v="6"/>
    <x v="1"/>
    <x v="2"/>
    <x v="5"/>
    <x v="5"/>
    <x v="208"/>
    <n v="4.8"/>
    <d v="2025-02-01T00:00:00"/>
    <n v="2"/>
    <s v="Q1"/>
    <x v="73"/>
    <s v="Medium"/>
  </r>
  <r>
    <x v="6"/>
    <x v="1"/>
    <x v="2"/>
    <x v="6"/>
    <x v="6"/>
    <x v="215"/>
    <n v="4.88"/>
    <d v="2025-02-01T00:00:00"/>
    <n v="2"/>
    <s v="Q1"/>
    <x v="73"/>
    <s v="Medium"/>
  </r>
  <r>
    <x v="6"/>
    <x v="2"/>
    <x v="0"/>
    <x v="0"/>
    <x v="0"/>
    <x v="154"/>
    <n v="4.55"/>
    <d v="2025-03-01T00:00:00"/>
    <n v="3"/>
    <s v="Q1"/>
    <x v="74"/>
    <s v="Medium"/>
  </r>
  <r>
    <x v="6"/>
    <x v="2"/>
    <x v="0"/>
    <x v="1"/>
    <x v="1"/>
    <x v="166"/>
    <n v="4.63"/>
    <d v="2025-03-01T00:00:00"/>
    <n v="3"/>
    <s v="Q1"/>
    <x v="74"/>
    <s v="Medium"/>
  </r>
  <r>
    <x v="6"/>
    <x v="2"/>
    <x v="0"/>
    <x v="2"/>
    <x v="2"/>
    <x v="172"/>
    <n v="4.71"/>
    <d v="2025-03-01T00:00:00"/>
    <n v="3"/>
    <s v="Q1"/>
    <x v="74"/>
    <s v="Medium"/>
  </r>
  <r>
    <x v="6"/>
    <x v="2"/>
    <x v="0"/>
    <x v="3"/>
    <x v="3"/>
    <x v="182"/>
    <n v="4.79"/>
    <d v="2025-03-01T00:00:00"/>
    <n v="3"/>
    <s v="Q1"/>
    <x v="74"/>
    <s v="Medium"/>
  </r>
  <r>
    <x v="6"/>
    <x v="2"/>
    <x v="0"/>
    <x v="4"/>
    <x v="4"/>
    <x v="194"/>
    <n v="4.87"/>
    <d v="2025-03-01T00:00:00"/>
    <n v="3"/>
    <s v="Q1"/>
    <x v="74"/>
    <s v="Medium"/>
  </r>
  <r>
    <x v="6"/>
    <x v="2"/>
    <x v="0"/>
    <x v="5"/>
    <x v="5"/>
    <x v="204"/>
    <n v="4.95"/>
    <d v="2025-03-01T00:00:00"/>
    <n v="3"/>
    <s v="Q1"/>
    <x v="74"/>
    <s v="Medium"/>
  </r>
  <r>
    <x v="6"/>
    <x v="2"/>
    <x v="0"/>
    <x v="6"/>
    <x v="6"/>
    <x v="216"/>
    <n v="5.03"/>
    <d v="2025-03-01T00:00:00"/>
    <n v="3"/>
    <s v="Q1"/>
    <x v="74"/>
    <s v="Medium"/>
  </r>
  <r>
    <x v="6"/>
    <x v="2"/>
    <x v="1"/>
    <x v="0"/>
    <x v="0"/>
    <x v="155"/>
    <n v="4.55"/>
    <d v="2025-03-01T00:00:00"/>
    <n v="3"/>
    <s v="Q1"/>
    <x v="74"/>
    <s v="Medium"/>
  </r>
  <r>
    <x v="6"/>
    <x v="2"/>
    <x v="1"/>
    <x v="1"/>
    <x v="1"/>
    <x v="167"/>
    <n v="4.63"/>
    <d v="2025-03-01T00:00:00"/>
    <n v="3"/>
    <s v="Q1"/>
    <x v="74"/>
    <s v="Medium"/>
  </r>
  <r>
    <x v="6"/>
    <x v="2"/>
    <x v="1"/>
    <x v="2"/>
    <x v="2"/>
    <x v="177"/>
    <n v="4.71"/>
    <d v="2025-03-01T00:00:00"/>
    <n v="3"/>
    <s v="Q1"/>
    <x v="74"/>
    <s v="Medium"/>
  </r>
  <r>
    <x v="6"/>
    <x v="2"/>
    <x v="1"/>
    <x v="3"/>
    <x v="3"/>
    <x v="188"/>
    <n v="4.79"/>
    <d v="2025-03-01T00:00:00"/>
    <n v="3"/>
    <s v="Q1"/>
    <x v="74"/>
    <s v="Medium"/>
  </r>
  <r>
    <x v="6"/>
    <x v="2"/>
    <x v="1"/>
    <x v="4"/>
    <x v="4"/>
    <x v="195"/>
    <n v="4.87"/>
    <d v="2025-03-01T00:00:00"/>
    <n v="3"/>
    <s v="Q1"/>
    <x v="74"/>
    <s v="Medium"/>
  </r>
  <r>
    <x v="6"/>
    <x v="2"/>
    <x v="1"/>
    <x v="5"/>
    <x v="5"/>
    <x v="205"/>
    <n v="4.95"/>
    <d v="2025-03-01T00:00:00"/>
    <n v="3"/>
    <s v="Q1"/>
    <x v="74"/>
    <s v="Medium"/>
  </r>
  <r>
    <x v="6"/>
    <x v="2"/>
    <x v="1"/>
    <x v="6"/>
    <x v="6"/>
    <x v="217"/>
    <n v="5.03"/>
    <d v="2025-03-01T00:00:00"/>
    <n v="3"/>
    <s v="Q1"/>
    <x v="74"/>
    <s v="Medium"/>
  </r>
  <r>
    <x v="6"/>
    <x v="2"/>
    <x v="2"/>
    <x v="0"/>
    <x v="0"/>
    <x v="160"/>
    <n v="4.55"/>
    <d v="2025-03-01T00:00:00"/>
    <n v="3"/>
    <s v="Q1"/>
    <x v="74"/>
    <s v="Medium"/>
  </r>
  <r>
    <x v="6"/>
    <x v="2"/>
    <x v="2"/>
    <x v="1"/>
    <x v="1"/>
    <x v="168"/>
    <n v="4.63"/>
    <d v="2025-03-01T00:00:00"/>
    <n v="3"/>
    <s v="Q1"/>
    <x v="74"/>
    <s v="Medium"/>
  </r>
  <r>
    <x v="6"/>
    <x v="2"/>
    <x v="2"/>
    <x v="2"/>
    <x v="2"/>
    <x v="178"/>
    <n v="4.71"/>
    <d v="2025-03-01T00:00:00"/>
    <n v="3"/>
    <s v="Q1"/>
    <x v="74"/>
    <s v="Medium"/>
  </r>
  <r>
    <x v="6"/>
    <x v="2"/>
    <x v="2"/>
    <x v="3"/>
    <x v="3"/>
    <x v="189"/>
    <n v="4.79"/>
    <d v="2025-03-01T00:00:00"/>
    <n v="3"/>
    <s v="Q1"/>
    <x v="74"/>
    <s v="Medium"/>
  </r>
  <r>
    <x v="6"/>
    <x v="2"/>
    <x v="2"/>
    <x v="4"/>
    <x v="4"/>
    <x v="200"/>
    <n v="4.87"/>
    <d v="2025-03-01T00:00:00"/>
    <n v="3"/>
    <s v="Q1"/>
    <x v="74"/>
    <s v="Medium"/>
  </r>
  <r>
    <x v="6"/>
    <x v="2"/>
    <x v="2"/>
    <x v="5"/>
    <x v="5"/>
    <x v="210"/>
    <n v="4.95"/>
    <d v="2025-03-01T00:00:00"/>
    <n v="3"/>
    <s v="Q1"/>
    <x v="74"/>
    <s v="Medium"/>
  </r>
  <r>
    <x v="6"/>
    <x v="2"/>
    <x v="2"/>
    <x v="6"/>
    <x v="6"/>
    <x v="218"/>
    <n v="5.03"/>
    <d v="2025-03-01T00:00:00"/>
    <n v="3"/>
    <s v="Q1"/>
    <x v="74"/>
    <s v="Medium"/>
  </r>
  <r>
    <x v="6"/>
    <x v="3"/>
    <x v="0"/>
    <x v="0"/>
    <x v="0"/>
    <x v="156"/>
    <n v="4.7"/>
    <d v="2025-04-01T00:00:00"/>
    <n v="4"/>
    <s v="Q2"/>
    <x v="75"/>
    <s v="Medium"/>
  </r>
  <r>
    <x v="6"/>
    <x v="3"/>
    <x v="0"/>
    <x v="1"/>
    <x v="1"/>
    <x v="162"/>
    <n v="4.78"/>
    <d v="2025-04-01T00:00:00"/>
    <n v="4"/>
    <s v="Q2"/>
    <x v="75"/>
    <s v="Medium"/>
  </r>
  <r>
    <x v="6"/>
    <x v="3"/>
    <x v="0"/>
    <x v="2"/>
    <x v="2"/>
    <x v="174"/>
    <n v="4.8600000000000003"/>
    <d v="2025-04-01T00:00:00"/>
    <n v="4"/>
    <s v="Q2"/>
    <x v="75"/>
    <s v="Medium"/>
  </r>
  <r>
    <x v="6"/>
    <x v="3"/>
    <x v="0"/>
    <x v="3"/>
    <x v="3"/>
    <x v="184"/>
    <n v="4.9400000000000004"/>
    <d v="2025-04-01T00:00:00"/>
    <n v="4"/>
    <s v="Q2"/>
    <x v="75"/>
    <s v="Medium"/>
  </r>
  <r>
    <x v="6"/>
    <x v="3"/>
    <x v="0"/>
    <x v="4"/>
    <x v="4"/>
    <x v="196"/>
    <n v="5.0199999999999996"/>
    <d v="2025-04-01T00:00:00"/>
    <n v="4"/>
    <s v="Q2"/>
    <x v="75"/>
    <s v="Medium"/>
  </r>
  <r>
    <x v="6"/>
    <x v="3"/>
    <x v="0"/>
    <x v="5"/>
    <x v="5"/>
    <x v="206"/>
    <n v="5.0999999999999996"/>
    <d v="2025-04-01T00:00:00"/>
    <n v="4"/>
    <s v="Q2"/>
    <x v="75"/>
    <s v="Medium"/>
  </r>
  <r>
    <x v="6"/>
    <x v="3"/>
    <x v="0"/>
    <x v="6"/>
    <x v="6"/>
    <x v="212"/>
    <n v="5.18"/>
    <d v="2025-04-01T00:00:00"/>
    <n v="4"/>
    <s v="Q2"/>
    <x v="75"/>
    <s v="Medium"/>
  </r>
  <r>
    <x v="6"/>
    <x v="3"/>
    <x v="1"/>
    <x v="0"/>
    <x v="0"/>
    <x v="157"/>
    <n v="4.7"/>
    <d v="2025-04-01T00:00:00"/>
    <n v="4"/>
    <s v="Q2"/>
    <x v="75"/>
    <s v="Medium"/>
  </r>
  <r>
    <x v="6"/>
    <x v="3"/>
    <x v="1"/>
    <x v="1"/>
    <x v="1"/>
    <x v="169"/>
    <n v="4.78"/>
    <d v="2025-04-01T00:00:00"/>
    <n v="4"/>
    <s v="Q2"/>
    <x v="75"/>
    <s v="Medium"/>
  </r>
  <r>
    <x v="6"/>
    <x v="3"/>
    <x v="1"/>
    <x v="2"/>
    <x v="2"/>
    <x v="179"/>
    <n v="4.8600000000000003"/>
    <d v="2025-04-01T00:00:00"/>
    <n v="4"/>
    <s v="Q2"/>
    <x v="75"/>
    <s v="Medium"/>
  </r>
  <r>
    <x v="6"/>
    <x v="3"/>
    <x v="1"/>
    <x v="3"/>
    <x v="3"/>
    <x v="191"/>
    <n v="4.9400000000000004"/>
    <d v="2025-04-01T00:00:00"/>
    <n v="4"/>
    <s v="Q2"/>
    <x v="75"/>
    <s v="Medium"/>
  </r>
  <r>
    <x v="6"/>
    <x v="3"/>
    <x v="1"/>
    <x v="4"/>
    <x v="4"/>
    <x v="197"/>
    <n v="5.0199999999999996"/>
    <d v="2025-04-01T00:00:00"/>
    <n v="4"/>
    <s v="Q2"/>
    <x v="75"/>
    <s v="Medium"/>
  </r>
  <r>
    <x v="6"/>
    <x v="3"/>
    <x v="1"/>
    <x v="5"/>
    <x v="5"/>
    <x v="207"/>
    <n v="5.0999999999999996"/>
    <d v="2025-04-01T00:00:00"/>
    <n v="4"/>
    <s v="Q2"/>
    <x v="75"/>
    <s v="Medium"/>
  </r>
  <r>
    <x v="6"/>
    <x v="3"/>
    <x v="1"/>
    <x v="6"/>
    <x v="6"/>
    <x v="219"/>
    <n v="5.18"/>
    <d v="2025-04-01T00:00:00"/>
    <n v="4"/>
    <s v="Q2"/>
    <x v="75"/>
    <s v="Medium"/>
  </r>
  <r>
    <x v="6"/>
    <x v="3"/>
    <x v="2"/>
    <x v="0"/>
    <x v="0"/>
    <x v="163"/>
    <n v="4.7"/>
    <d v="2025-04-01T00:00:00"/>
    <n v="4"/>
    <s v="Q2"/>
    <x v="75"/>
    <s v="Medium"/>
  </r>
  <r>
    <x v="6"/>
    <x v="3"/>
    <x v="2"/>
    <x v="1"/>
    <x v="1"/>
    <x v="170"/>
    <n v="4.78"/>
    <d v="2025-04-01T00:00:00"/>
    <n v="4"/>
    <s v="Q2"/>
    <x v="75"/>
    <s v="Medium"/>
  </r>
  <r>
    <x v="6"/>
    <x v="3"/>
    <x v="2"/>
    <x v="2"/>
    <x v="2"/>
    <x v="180"/>
    <n v="4.8600000000000003"/>
    <d v="2025-04-01T00:00:00"/>
    <n v="4"/>
    <s v="Q2"/>
    <x v="75"/>
    <s v="Medium"/>
  </r>
  <r>
    <x v="6"/>
    <x v="3"/>
    <x v="2"/>
    <x v="3"/>
    <x v="3"/>
    <x v="192"/>
    <n v="4.9400000000000004"/>
    <d v="2025-04-01T00:00:00"/>
    <n v="4"/>
    <s v="Q2"/>
    <x v="75"/>
    <s v="Medium"/>
  </r>
  <r>
    <x v="6"/>
    <x v="3"/>
    <x v="2"/>
    <x v="4"/>
    <x v="4"/>
    <x v="202"/>
    <n v="5.0199999999999996"/>
    <d v="2025-04-01T00:00:00"/>
    <n v="4"/>
    <s v="Q2"/>
    <x v="75"/>
    <s v="Medium"/>
  </r>
  <r>
    <x v="6"/>
    <x v="3"/>
    <x v="2"/>
    <x v="5"/>
    <x v="5"/>
    <x v="213"/>
    <n v="5.0999999999999996"/>
    <d v="2025-04-01T00:00:00"/>
    <n v="4"/>
    <s v="Q2"/>
    <x v="75"/>
    <s v="Medium"/>
  </r>
  <r>
    <x v="6"/>
    <x v="3"/>
    <x v="2"/>
    <x v="6"/>
    <x v="6"/>
    <x v="220"/>
    <n v="5.18"/>
    <d v="2025-04-01T00:00:00"/>
    <n v="4"/>
    <s v="Q2"/>
    <x v="75"/>
    <s v="Medium"/>
  </r>
  <r>
    <x v="6"/>
    <x v="4"/>
    <x v="0"/>
    <x v="0"/>
    <x v="0"/>
    <x v="158"/>
    <n v="4.8499999999999996"/>
    <d v="2025-05-01T00:00:00"/>
    <n v="5"/>
    <s v="Q2"/>
    <x v="76"/>
    <s v="Medium"/>
  </r>
  <r>
    <x v="6"/>
    <x v="4"/>
    <x v="0"/>
    <x v="1"/>
    <x v="1"/>
    <x v="165"/>
    <n v="4.93"/>
    <d v="2025-05-01T00:00:00"/>
    <n v="5"/>
    <s v="Q2"/>
    <x v="76"/>
    <s v="Medium"/>
  </r>
  <r>
    <x v="6"/>
    <x v="4"/>
    <x v="0"/>
    <x v="2"/>
    <x v="2"/>
    <x v="176"/>
    <n v="5.01"/>
    <d v="2025-05-01T00:00:00"/>
    <n v="5"/>
    <s v="Q2"/>
    <x v="76"/>
    <s v="Medium"/>
  </r>
  <r>
    <x v="6"/>
    <x v="4"/>
    <x v="0"/>
    <x v="3"/>
    <x v="3"/>
    <x v="186"/>
    <n v="5.09"/>
    <d v="2025-05-01T00:00:00"/>
    <n v="5"/>
    <s v="Q2"/>
    <x v="76"/>
    <s v="Medium"/>
  </r>
  <r>
    <x v="6"/>
    <x v="4"/>
    <x v="0"/>
    <x v="4"/>
    <x v="4"/>
    <x v="198"/>
    <n v="5.17"/>
    <d v="2025-05-01T00:00:00"/>
    <n v="5"/>
    <s v="Q2"/>
    <x v="76"/>
    <s v="Medium"/>
  </r>
  <r>
    <x v="6"/>
    <x v="4"/>
    <x v="0"/>
    <x v="5"/>
    <x v="5"/>
    <x v="208"/>
    <n v="5.25"/>
    <d v="2025-05-01T00:00:00"/>
    <n v="5"/>
    <s v="Q2"/>
    <x v="76"/>
    <s v="Medium"/>
  </r>
  <r>
    <x v="6"/>
    <x v="4"/>
    <x v="0"/>
    <x v="6"/>
    <x v="6"/>
    <x v="215"/>
    <n v="5.33"/>
    <d v="2025-05-01T00:00:00"/>
    <n v="5"/>
    <s v="Q2"/>
    <x v="76"/>
    <s v="Medium"/>
  </r>
  <r>
    <x v="6"/>
    <x v="4"/>
    <x v="1"/>
    <x v="0"/>
    <x v="0"/>
    <x v="159"/>
    <n v="4.8499999999999996"/>
    <d v="2025-05-01T00:00:00"/>
    <n v="5"/>
    <s v="Q2"/>
    <x v="76"/>
    <s v="Medium"/>
  </r>
  <r>
    <x v="6"/>
    <x v="4"/>
    <x v="1"/>
    <x v="1"/>
    <x v="1"/>
    <x v="171"/>
    <n v="4.93"/>
    <d v="2025-05-01T00:00:00"/>
    <n v="5"/>
    <s v="Q2"/>
    <x v="76"/>
    <s v="Medium"/>
  </r>
  <r>
    <x v="6"/>
    <x v="4"/>
    <x v="1"/>
    <x v="2"/>
    <x v="2"/>
    <x v="181"/>
    <n v="5.01"/>
    <d v="2025-05-01T00:00:00"/>
    <n v="5"/>
    <s v="Q2"/>
    <x v="76"/>
    <s v="Medium"/>
  </r>
  <r>
    <x v="6"/>
    <x v="4"/>
    <x v="1"/>
    <x v="3"/>
    <x v="3"/>
    <x v="187"/>
    <n v="5.09"/>
    <d v="2025-05-01T00:00:00"/>
    <n v="5"/>
    <s v="Q2"/>
    <x v="76"/>
    <s v="Medium"/>
  </r>
  <r>
    <x v="6"/>
    <x v="4"/>
    <x v="1"/>
    <x v="4"/>
    <x v="4"/>
    <x v="199"/>
    <n v="5.17"/>
    <d v="2025-05-01T00:00:00"/>
    <n v="5"/>
    <s v="Q2"/>
    <x v="76"/>
    <s v="Medium"/>
  </r>
  <r>
    <x v="6"/>
    <x v="4"/>
    <x v="1"/>
    <x v="5"/>
    <x v="5"/>
    <x v="209"/>
    <n v="5.25"/>
    <d v="2025-05-01T00:00:00"/>
    <n v="5"/>
    <s v="Q2"/>
    <x v="76"/>
    <s v="Medium"/>
  </r>
  <r>
    <x v="6"/>
    <x v="4"/>
    <x v="1"/>
    <x v="6"/>
    <x v="6"/>
    <x v="221"/>
    <n v="5.33"/>
    <d v="2025-05-01T00:00:00"/>
    <n v="5"/>
    <s v="Q2"/>
    <x v="76"/>
    <s v="Medium"/>
  </r>
  <r>
    <x v="6"/>
    <x v="4"/>
    <x v="2"/>
    <x v="0"/>
    <x v="0"/>
    <x v="166"/>
    <n v="4.8499999999999996"/>
    <d v="2025-05-01T00:00:00"/>
    <n v="5"/>
    <s v="Q2"/>
    <x v="76"/>
    <s v="Medium"/>
  </r>
  <r>
    <x v="6"/>
    <x v="4"/>
    <x v="2"/>
    <x v="1"/>
    <x v="1"/>
    <x v="172"/>
    <n v="4.93"/>
    <d v="2025-05-01T00:00:00"/>
    <n v="5"/>
    <s v="Q2"/>
    <x v="76"/>
    <s v="Medium"/>
  </r>
  <r>
    <x v="6"/>
    <x v="4"/>
    <x v="2"/>
    <x v="2"/>
    <x v="2"/>
    <x v="182"/>
    <n v="5.01"/>
    <d v="2025-05-01T00:00:00"/>
    <n v="5"/>
    <s v="Q2"/>
    <x v="76"/>
    <s v="Medium"/>
  </r>
  <r>
    <x v="6"/>
    <x v="4"/>
    <x v="2"/>
    <x v="3"/>
    <x v="3"/>
    <x v="194"/>
    <n v="5.09"/>
    <d v="2025-05-01T00:00:00"/>
    <n v="5"/>
    <s v="Q2"/>
    <x v="76"/>
    <s v="Medium"/>
  </r>
  <r>
    <x v="6"/>
    <x v="4"/>
    <x v="2"/>
    <x v="4"/>
    <x v="4"/>
    <x v="204"/>
    <n v="5.17"/>
    <d v="2025-05-01T00:00:00"/>
    <n v="5"/>
    <s v="Q2"/>
    <x v="76"/>
    <s v="Medium"/>
  </r>
  <r>
    <x v="6"/>
    <x v="4"/>
    <x v="2"/>
    <x v="5"/>
    <x v="5"/>
    <x v="216"/>
    <n v="5.25"/>
    <d v="2025-05-01T00:00:00"/>
    <n v="5"/>
    <s v="Q2"/>
    <x v="76"/>
    <s v="Medium"/>
  </r>
  <r>
    <x v="6"/>
    <x v="4"/>
    <x v="2"/>
    <x v="6"/>
    <x v="6"/>
    <x v="222"/>
    <n v="5.33"/>
    <d v="2025-05-01T00:00:00"/>
    <n v="5"/>
    <s v="Q2"/>
    <x v="76"/>
    <s v="Medium"/>
  </r>
  <r>
    <x v="6"/>
    <x v="5"/>
    <x v="0"/>
    <x v="0"/>
    <x v="0"/>
    <x v="160"/>
    <n v="4.0999999999999996"/>
    <d v="2025-06-01T00:00:00"/>
    <n v="6"/>
    <s v="Q2"/>
    <x v="77"/>
    <s v="Medium"/>
  </r>
  <r>
    <x v="6"/>
    <x v="5"/>
    <x v="0"/>
    <x v="1"/>
    <x v="1"/>
    <x v="168"/>
    <n v="4.18"/>
    <d v="2025-06-01T00:00:00"/>
    <n v="6"/>
    <s v="Q2"/>
    <x v="77"/>
    <s v="Medium"/>
  </r>
  <r>
    <x v="6"/>
    <x v="5"/>
    <x v="0"/>
    <x v="2"/>
    <x v="2"/>
    <x v="178"/>
    <n v="4.26"/>
    <d v="2025-06-01T00:00:00"/>
    <n v="6"/>
    <s v="Q2"/>
    <x v="77"/>
    <s v="Medium"/>
  </r>
  <r>
    <x v="6"/>
    <x v="5"/>
    <x v="0"/>
    <x v="3"/>
    <x v="3"/>
    <x v="189"/>
    <n v="4.34"/>
    <d v="2025-06-01T00:00:00"/>
    <n v="6"/>
    <s v="Q2"/>
    <x v="77"/>
    <s v="Medium"/>
  </r>
  <r>
    <x v="6"/>
    <x v="5"/>
    <x v="0"/>
    <x v="4"/>
    <x v="4"/>
    <x v="200"/>
    <n v="4.42"/>
    <d v="2025-06-01T00:00:00"/>
    <n v="6"/>
    <s v="Q2"/>
    <x v="77"/>
    <s v="Medium"/>
  </r>
  <r>
    <x v="6"/>
    <x v="5"/>
    <x v="0"/>
    <x v="5"/>
    <x v="5"/>
    <x v="210"/>
    <n v="4.5"/>
    <d v="2025-06-01T00:00:00"/>
    <n v="6"/>
    <s v="Q2"/>
    <x v="77"/>
    <s v="Medium"/>
  </r>
  <r>
    <x v="6"/>
    <x v="5"/>
    <x v="0"/>
    <x v="6"/>
    <x v="6"/>
    <x v="218"/>
    <n v="4.58"/>
    <d v="2025-06-01T00:00:00"/>
    <n v="6"/>
    <s v="Q2"/>
    <x v="77"/>
    <s v="Medium"/>
  </r>
  <r>
    <x v="6"/>
    <x v="5"/>
    <x v="1"/>
    <x v="0"/>
    <x v="0"/>
    <x v="161"/>
    <n v="4.0999999999999996"/>
    <d v="2025-06-01T00:00:00"/>
    <n v="6"/>
    <s v="Q2"/>
    <x v="77"/>
    <s v="Medium"/>
  </r>
  <r>
    <x v="6"/>
    <x v="5"/>
    <x v="1"/>
    <x v="1"/>
    <x v="1"/>
    <x v="173"/>
    <n v="4.18"/>
    <d v="2025-06-01T00:00:00"/>
    <n v="6"/>
    <s v="Q2"/>
    <x v="77"/>
    <s v="Medium"/>
  </r>
  <r>
    <x v="6"/>
    <x v="5"/>
    <x v="1"/>
    <x v="2"/>
    <x v="2"/>
    <x v="183"/>
    <n v="4.26"/>
    <d v="2025-06-01T00:00:00"/>
    <n v="6"/>
    <s v="Q2"/>
    <x v="77"/>
    <s v="Medium"/>
  </r>
  <r>
    <x v="6"/>
    <x v="5"/>
    <x v="1"/>
    <x v="3"/>
    <x v="3"/>
    <x v="190"/>
    <n v="4.34"/>
    <d v="2025-06-01T00:00:00"/>
    <n v="6"/>
    <s v="Q2"/>
    <x v="77"/>
    <s v="Medium"/>
  </r>
  <r>
    <x v="6"/>
    <x v="5"/>
    <x v="1"/>
    <x v="4"/>
    <x v="4"/>
    <x v="201"/>
    <n v="4.42"/>
    <d v="2025-06-01T00:00:00"/>
    <n v="6"/>
    <s v="Q2"/>
    <x v="77"/>
    <s v="Medium"/>
  </r>
  <r>
    <x v="6"/>
    <x v="5"/>
    <x v="1"/>
    <x v="5"/>
    <x v="5"/>
    <x v="211"/>
    <n v="4.5"/>
    <d v="2025-06-01T00:00:00"/>
    <n v="6"/>
    <s v="Q2"/>
    <x v="77"/>
    <s v="Medium"/>
  </r>
  <r>
    <x v="6"/>
    <x v="5"/>
    <x v="1"/>
    <x v="6"/>
    <x v="6"/>
    <x v="223"/>
    <n v="4.58"/>
    <d v="2025-06-01T00:00:00"/>
    <n v="6"/>
    <s v="Q2"/>
    <x v="77"/>
    <s v="Medium"/>
  </r>
  <r>
    <x v="6"/>
    <x v="5"/>
    <x v="2"/>
    <x v="0"/>
    <x v="0"/>
    <x v="162"/>
    <n v="4.0999999999999996"/>
    <d v="2025-06-01T00:00:00"/>
    <n v="6"/>
    <s v="Q2"/>
    <x v="77"/>
    <s v="Medium"/>
  </r>
  <r>
    <x v="6"/>
    <x v="5"/>
    <x v="2"/>
    <x v="1"/>
    <x v="1"/>
    <x v="174"/>
    <n v="4.18"/>
    <d v="2025-06-01T00:00:00"/>
    <n v="6"/>
    <s v="Q2"/>
    <x v="77"/>
    <s v="Medium"/>
  </r>
  <r>
    <x v="6"/>
    <x v="5"/>
    <x v="2"/>
    <x v="2"/>
    <x v="2"/>
    <x v="184"/>
    <n v="4.26"/>
    <d v="2025-06-01T00:00:00"/>
    <n v="6"/>
    <s v="Q2"/>
    <x v="77"/>
    <s v="Medium"/>
  </r>
  <r>
    <x v="6"/>
    <x v="5"/>
    <x v="2"/>
    <x v="3"/>
    <x v="3"/>
    <x v="196"/>
    <n v="4.34"/>
    <d v="2025-06-01T00:00:00"/>
    <n v="6"/>
    <s v="Q2"/>
    <x v="77"/>
    <s v="Medium"/>
  </r>
  <r>
    <x v="6"/>
    <x v="5"/>
    <x v="2"/>
    <x v="4"/>
    <x v="4"/>
    <x v="206"/>
    <n v="4.42"/>
    <d v="2025-06-01T00:00:00"/>
    <n v="6"/>
    <s v="Q2"/>
    <x v="77"/>
    <s v="Medium"/>
  </r>
  <r>
    <x v="6"/>
    <x v="5"/>
    <x v="2"/>
    <x v="5"/>
    <x v="5"/>
    <x v="212"/>
    <n v="4.5"/>
    <d v="2025-06-01T00:00:00"/>
    <n v="6"/>
    <s v="Q2"/>
    <x v="77"/>
    <s v="Medium"/>
  </r>
  <r>
    <x v="6"/>
    <x v="5"/>
    <x v="2"/>
    <x v="6"/>
    <x v="6"/>
    <x v="224"/>
    <n v="4.58"/>
    <d v="2025-06-01T00:00:00"/>
    <n v="6"/>
    <s v="Q2"/>
    <x v="77"/>
    <s v="Medium"/>
  </r>
  <r>
    <x v="6"/>
    <x v="6"/>
    <x v="0"/>
    <x v="0"/>
    <x v="0"/>
    <x v="163"/>
    <n v="4.25"/>
    <d v="2025-07-01T00:00:00"/>
    <n v="7"/>
    <s v="Q3"/>
    <x v="78"/>
    <s v="Medium"/>
  </r>
  <r>
    <x v="6"/>
    <x v="6"/>
    <x v="0"/>
    <x v="1"/>
    <x v="1"/>
    <x v="170"/>
    <n v="4.33"/>
    <d v="2025-07-01T00:00:00"/>
    <n v="7"/>
    <s v="Q3"/>
    <x v="78"/>
    <s v="Medium"/>
  </r>
  <r>
    <x v="6"/>
    <x v="6"/>
    <x v="0"/>
    <x v="2"/>
    <x v="2"/>
    <x v="180"/>
    <n v="4.41"/>
    <d v="2025-07-01T00:00:00"/>
    <n v="7"/>
    <s v="Q3"/>
    <x v="78"/>
    <s v="Medium"/>
  </r>
  <r>
    <x v="6"/>
    <x v="6"/>
    <x v="0"/>
    <x v="3"/>
    <x v="3"/>
    <x v="192"/>
    <n v="4.49"/>
    <d v="2025-07-01T00:00:00"/>
    <n v="7"/>
    <s v="Q3"/>
    <x v="78"/>
    <s v="Medium"/>
  </r>
  <r>
    <x v="6"/>
    <x v="6"/>
    <x v="0"/>
    <x v="4"/>
    <x v="4"/>
    <x v="202"/>
    <n v="4.57"/>
    <d v="2025-07-01T00:00:00"/>
    <n v="7"/>
    <s v="Q3"/>
    <x v="78"/>
    <s v="Medium"/>
  </r>
  <r>
    <x v="6"/>
    <x v="6"/>
    <x v="0"/>
    <x v="5"/>
    <x v="5"/>
    <x v="213"/>
    <n v="4.6500000000000004"/>
    <d v="2025-07-01T00:00:00"/>
    <n v="7"/>
    <s v="Q3"/>
    <x v="78"/>
    <s v="Medium"/>
  </r>
  <r>
    <x v="6"/>
    <x v="6"/>
    <x v="0"/>
    <x v="6"/>
    <x v="6"/>
    <x v="220"/>
    <n v="4.7300000000000004"/>
    <d v="2025-07-01T00:00:00"/>
    <n v="7"/>
    <s v="Q3"/>
    <x v="78"/>
    <s v="Medium"/>
  </r>
  <r>
    <x v="6"/>
    <x v="6"/>
    <x v="1"/>
    <x v="0"/>
    <x v="0"/>
    <x v="164"/>
    <n v="4.25"/>
    <d v="2025-07-01T00:00:00"/>
    <n v="7"/>
    <s v="Q3"/>
    <x v="78"/>
    <s v="Medium"/>
  </r>
  <r>
    <x v="6"/>
    <x v="6"/>
    <x v="1"/>
    <x v="1"/>
    <x v="1"/>
    <x v="175"/>
    <n v="4.33"/>
    <d v="2025-07-01T00:00:00"/>
    <n v="7"/>
    <s v="Q3"/>
    <x v="78"/>
    <s v="Medium"/>
  </r>
  <r>
    <x v="6"/>
    <x v="6"/>
    <x v="1"/>
    <x v="2"/>
    <x v="2"/>
    <x v="185"/>
    <n v="4.41"/>
    <d v="2025-07-01T00:00:00"/>
    <n v="7"/>
    <s v="Q3"/>
    <x v="78"/>
    <s v="Medium"/>
  </r>
  <r>
    <x v="6"/>
    <x v="6"/>
    <x v="1"/>
    <x v="3"/>
    <x v="3"/>
    <x v="193"/>
    <n v="4.49"/>
    <d v="2025-07-01T00:00:00"/>
    <n v="7"/>
    <s v="Q3"/>
    <x v="78"/>
    <s v="Medium"/>
  </r>
  <r>
    <x v="6"/>
    <x v="6"/>
    <x v="1"/>
    <x v="4"/>
    <x v="4"/>
    <x v="203"/>
    <n v="4.57"/>
    <d v="2025-07-01T00:00:00"/>
    <n v="7"/>
    <s v="Q3"/>
    <x v="78"/>
    <s v="Medium"/>
  </r>
  <r>
    <x v="6"/>
    <x v="6"/>
    <x v="1"/>
    <x v="5"/>
    <x v="5"/>
    <x v="214"/>
    <n v="4.6500000000000004"/>
    <d v="2025-07-01T00:00:00"/>
    <n v="7"/>
    <s v="Q3"/>
    <x v="78"/>
    <s v="Medium"/>
  </r>
  <r>
    <x v="6"/>
    <x v="6"/>
    <x v="1"/>
    <x v="6"/>
    <x v="6"/>
    <x v="225"/>
    <n v="4.7300000000000004"/>
    <d v="2025-07-01T00:00:00"/>
    <n v="7"/>
    <s v="Q3"/>
    <x v="78"/>
    <s v="Medium"/>
  </r>
  <r>
    <x v="6"/>
    <x v="6"/>
    <x v="2"/>
    <x v="0"/>
    <x v="0"/>
    <x v="165"/>
    <n v="4.25"/>
    <d v="2025-07-01T00:00:00"/>
    <n v="7"/>
    <s v="Q3"/>
    <x v="78"/>
    <s v="Medium"/>
  </r>
  <r>
    <x v="6"/>
    <x v="6"/>
    <x v="2"/>
    <x v="1"/>
    <x v="1"/>
    <x v="176"/>
    <n v="4.33"/>
    <d v="2025-07-01T00:00:00"/>
    <n v="7"/>
    <s v="Q3"/>
    <x v="78"/>
    <s v="Medium"/>
  </r>
  <r>
    <x v="6"/>
    <x v="6"/>
    <x v="2"/>
    <x v="2"/>
    <x v="2"/>
    <x v="186"/>
    <n v="4.41"/>
    <d v="2025-07-01T00:00:00"/>
    <n v="7"/>
    <s v="Q3"/>
    <x v="78"/>
    <s v="Medium"/>
  </r>
  <r>
    <x v="6"/>
    <x v="6"/>
    <x v="2"/>
    <x v="3"/>
    <x v="3"/>
    <x v="198"/>
    <n v="4.49"/>
    <d v="2025-07-01T00:00:00"/>
    <n v="7"/>
    <s v="Q3"/>
    <x v="78"/>
    <s v="Medium"/>
  </r>
  <r>
    <x v="6"/>
    <x v="6"/>
    <x v="2"/>
    <x v="4"/>
    <x v="4"/>
    <x v="208"/>
    <n v="4.57"/>
    <d v="2025-07-01T00:00:00"/>
    <n v="7"/>
    <s v="Q3"/>
    <x v="78"/>
    <s v="Medium"/>
  </r>
  <r>
    <x v="6"/>
    <x v="6"/>
    <x v="2"/>
    <x v="5"/>
    <x v="5"/>
    <x v="215"/>
    <n v="4.6500000000000004"/>
    <d v="2025-07-01T00:00:00"/>
    <n v="7"/>
    <s v="Q3"/>
    <x v="78"/>
    <s v="Medium"/>
  </r>
  <r>
    <x v="6"/>
    <x v="6"/>
    <x v="2"/>
    <x v="6"/>
    <x v="6"/>
    <x v="226"/>
    <n v="4.7300000000000004"/>
    <d v="2025-07-01T00:00:00"/>
    <n v="7"/>
    <s v="Q3"/>
    <x v="78"/>
    <s v="Medium"/>
  </r>
  <r>
    <x v="6"/>
    <x v="7"/>
    <x v="0"/>
    <x v="0"/>
    <x v="0"/>
    <x v="166"/>
    <n v="4.4000000000000004"/>
    <d v="2025-08-01T00:00:00"/>
    <n v="8"/>
    <s v="Q3"/>
    <x v="79"/>
    <s v="Medium"/>
  </r>
  <r>
    <x v="6"/>
    <x v="7"/>
    <x v="0"/>
    <x v="1"/>
    <x v="1"/>
    <x v="172"/>
    <n v="4.4800000000000004"/>
    <d v="2025-08-01T00:00:00"/>
    <n v="8"/>
    <s v="Q3"/>
    <x v="79"/>
    <s v="Medium"/>
  </r>
  <r>
    <x v="6"/>
    <x v="7"/>
    <x v="0"/>
    <x v="2"/>
    <x v="2"/>
    <x v="182"/>
    <n v="4.5599999999999996"/>
    <d v="2025-08-01T00:00:00"/>
    <n v="8"/>
    <s v="Q3"/>
    <x v="79"/>
    <s v="Medium"/>
  </r>
  <r>
    <x v="6"/>
    <x v="7"/>
    <x v="0"/>
    <x v="3"/>
    <x v="3"/>
    <x v="194"/>
    <n v="4.6399999999999997"/>
    <d v="2025-08-01T00:00:00"/>
    <n v="8"/>
    <s v="Q3"/>
    <x v="79"/>
    <s v="Medium"/>
  </r>
  <r>
    <x v="6"/>
    <x v="7"/>
    <x v="0"/>
    <x v="4"/>
    <x v="4"/>
    <x v="204"/>
    <n v="4.72"/>
    <d v="2025-08-01T00:00:00"/>
    <n v="8"/>
    <s v="Q3"/>
    <x v="79"/>
    <s v="Medium"/>
  </r>
  <r>
    <x v="6"/>
    <x v="7"/>
    <x v="0"/>
    <x v="5"/>
    <x v="5"/>
    <x v="216"/>
    <n v="4.8"/>
    <d v="2025-08-01T00:00:00"/>
    <n v="8"/>
    <s v="Q3"/>
    <x v="79"/>
    <s v="Medium"/>
  </r>
  <r>
    <x v="6"/>
    <x v="7"/>
    <x v="0"/>
    <x v="6"/>
    <x v="6"/>
    <x v="222"/>
    <n v="4.88"/>
    <d v="2025-08-01T00:00:00"/>
    <n v="8"/>
    <s v="Q3"/>
    <x v="79"/>
    <s v="Medium"/>
  </r>
  <r>
    <x v="6"/>
    <x v="7"/>
    <x v="1"/>
    <x v="0"/>
    <x v="0"/>
    <x v="167"/>
    <n v="4.4000000000000004"/>
    <d v="2025-08-01T00:00:00"/>
    <n v="8"/>
    <s v="Q3"/>
    <x v="79"/>
    <s v="Medium"/>
  </r>
  <r>
    <x v="6"/>
    <x v="7"/>
    <x v="1"/>
    <x v="1"/>
    <x v="1"/>
    <x v="177"/>
    <n v="4.4800000000000004"/>
    <d v="2025-08-01T00:00:00"/>
    <n v="8"/>
    <s v="Q3"/>
    <x v="79"/>
    <s v="Medium"/>
  </r>
  <r>
    <x v="6"/>
    <x v="7"/>
    <x v="1"/>
    <x v="2"/>
    <x v="2"/>
    <x v="188"/>
    <n v="4.5599999999999996"/>
    <d v="2025-08-01T00:00:00"/>
    <n v="8"/>
    <s v="Q3"/>
    <x v="79"/>
    <s v="Medium"/>
  </r>
  <r>
    <x v="6"/>
    <x v="7"/>
    <x v="1"/>
    <x v="3"/>
    <x v="3"/>
    <x v="195"/>
    <n v="4.6399999999999997"/>
    <d v="2025-08-01T00:00:00"/>
    <n v="8"/>
    <s v="Q3"/>
    <x v="79"/>
    <s v="Medium"/>
  </r>
  <r>
    <x v="6"/>
    <x v="7"/>
    <x v="1"/>
    <x v="4"/>
    <x v="4"/>
    <x v="205"/>
    <n v="4.72"/>
    <d v="2025-08-01T00:00:00"/>
    <n v="8"/>
    <s v="Q3"/>
    <x v="79"/>
    <s v="Medium"/>
  </r>
  <r>
    <x v="6"/>
    <x v="7"/>
    <x v="1"/>
    <x v="5"/>
    <x v="5"/>
    <x v="217"/>
    <n v="4.8"/>
    <d v="2025-08-01T00:00:00"/>
    <n v="8"/>
    <s v="Q3"/>
    <x v="79"/>
    <s v="Medium"/>
  </r>
  <r>
    <x v="6"/>
    <x v="7"/>
    <x v="1"/>
    <x v="6"/>
    <x v="6"/>
    <x v="227"/>
    <n v="4.88"/>
    <d v="2025-08-01T00:00:00"/>
    <n v="8"/>
    <s v="Q3"/>
    <x v="79"/>
    <s v="Medium"/>
  </r>
  <r>
    <x v="6"/>
    <x v="7"/>
    <x v="2"/>
    <x v="0"/>
    <x v="0"/>
    <x v="168"/>
    <n v="4.4000000000000004"/>
    <d v="2025-08-01T00:00:00"/>
    <n v="8"/>
    <s v="Q3"/>
    <x v="79"/>
    <s v="Medium"/>
  </r>
  <r>
    <x v="6"/>
    <x v="7"/>
    <x v="2"/>
    <x v="1"/>
    <x v="1"/>
    <x v="178"/>
    <n v="4.4800000000000004"/>
    <d v="2025-08-01T00:00:00"/>
    <n v="8"/>
    <s v="Q3"/>
    <x v="79"/>
    <s v="Medium"/>
  </r>
  <r>
    <x v="6"/>
    <x v="7"/>
    <x v="2"/>
    <x v="2"/>
    <x v="2"/>
    <x v="189"/>
    <n v="4.5599999999999996"/>
    <d v="2025-08-01T00:00:00"/>
    <n v="8"/>
    <s v="Q3"/>
    <x v="79"/>
    <s v="Medium"/>
  </r>
  <r>
    <x v="6"/>
    <x v="7"/>
    <x v="2"/>
    <x v="3"/>
    <x v="3"/>
    <x v="200"/>
    <n v="4.6399999999999997"/>
    <d v="2025-08-01T00:00:00"/>
    <n v="8"/>
    <s v="Q3"/>
    <x v="79"/>
    <s v="Medium"/>
  </r>
  <r>
    <x v="6"/>
    <x v="7"/>
    <x v="2"/>
    <x v="4"/>
    <x v="4"/>
    <x v="210"/>
    <n v="4.72"/>
    <d v="2025-08-01T00:00:00"/>
    <n v="8"/>
    <s v="Q3"/>
    <x v="79"/>
    <s v="Medium"/>
  </r>
  <r>
    <x v="6"/>
    <x v="7"/>
    <x v="2"/>
    <x v="5"/>
    <x v="5"/>
    <x v="218"/>
    <n v="4.8"/>
    <d v="2025-08-01T00:00:00"/>
    <n v="8"/>
    <s v="Q3"/>
    <x v="79"/>
    <s v="Medium"/>
  </r>
  <r>
    <x v="6"/>
    <x v="7"/>
    <x v="2"/>
    <x v="6"/>
    <x v="6"/>
    <x v="228"/>
    <n v="4.88"/>
    <d v="2025-08-01T00:00:00"/>
    <n v="8"/>
    <s v="Q3"/>
    <x v="79"/>
    <s v="Medium"/>
  </r>
  <r>
    <x v="6"/>
    <x v="8"/>
    <x v="0"/>
    <x v="0"/>
    <x v="0"/>
    <x v="162"/>
    <n v="4.55"/>
    <d v="2025-09-01T00:00:00"/>
    <n v="9"/>
    <s v="Q3"/>
    <x v="80"/>
    <s v="Medium"/>
  </r>
  <r>
    <x v="6"/>
    <x v="8"/>
    <x v="0"/>
    <x v="1"/>
    <x v="1"/>
    <x v="174"/>
    <n v="4.63"/>
    <d v="2025-09-01T00:00:00"/>
    <n v="9"/>
    <s v="Q3"/>
    <x v="80"/>
    <s v="Medium"/>
  </r>
  <r>
    <x v="6"/>
    <x v="8"/>
    <x v="0"/>
    <x v="2"/>
    <x v="2"/>
    <x v="184"/>
    <n v="4.71"/>
    <d v="2025-09-01T00:00:00"/>
    <n v="9"/>
    <s v="Q3"/>
    <x v="80"/>
    <s v="Medium"/>
  </r>
  <r>
    <x v="6"/>
    <x v="8"/>
    <x v="0"/>
    <x v="3"/>
    <x v="3"/>
    <x v="196"/>
    <n v="4.79"/>
    <d v="2025-09-01T00:00:00"/>
    <n v="9"/>
    <s v="Q3"/>
    <x v="80"/>
    <s v="Medium"/>
  </r>
  <r>
    <x v="6"/>
    <x v="8"/>
    <x v="0"/>
    <x v="4"/>
    <x v="4"/>
    <x v="206"/>
    <n v="4.87"/>
    <d v="2025-09-01T00:00:00"/>
    <n v="9"/>
    <s v="Q3"/>
    <x v="80"/>
    <s v="Medium"/>
  </r>
  <r>
    <x v="6"/>
    <x v="8"/>
    <x v="0"/>
    <x v="5"/>
    <x v="5"/>
    <x v="212"/>
    <n v="4.95"/>
    <d v="2025-09-01T00:00:00"/>
    <n v="9"/>
    <s v="Q3"/>
    <x v="80"/>
    <s v="Medium"/>
  </r>
  <r>
    <x v="6"/>
    <x v="8"/>
    <x v="0"/>
    <x v="6"/>
    <x v="6"/>
    <x v="224"/>
    <n v="5.03"/>
    <d v="2025-09-01T00:00:00"/>
    <n v="9"/>
    <s v="Q3"/>
    <x v="80"/>
    <s v="Medium"/>
  </r>
  <r>
    <x v="6"/>
    <x v="8"/>
    <x v="1"/>
    <x v="0"/>
    <x v="0"/>
    <x v="169"/>
    <n v="4.55"/>
    <d v="2025-09-01T00:00:00"/>
    <n v="9"/>
    <s v="Q3"/>
    <x v="80"/>
    <s v="Medium"/>
  </r>
  <r>
    <x v="6"/>
    <x v="8"/>
    <x v="1"/>
    <x v="1"/>
    <x v="1"/>
    <x v="179"/>
    <n v="4.63"/>
    <d v="2025-09-01T00:00:00"/>
    <n v="9"/>
    <s v="Q3"/>
    <x v="80"/>
    <s v="Medium"/>
  </r>
  <r>
    <x v="6"/>
    <x v="8"/>
    <x v="1"/>
    <x v="2"/>
    <x v="2"/>
    <x v="191"/>
    <n v="4.71"/>
    <d v="2025-09-01T00:00:00"/>
    <n v="9"/>
    <s v="Q3"/>
    <x v="80"/>
    <s v="Medium"/>
  </r>
  <r>
    <x v="6"/>
    <x v="8"/>
    <x v="1"/>
    <x v="3"/>
    <x v="3"/>
    <x v="197"/>
    <n v="4.79"/>
    <d v="2025-09-01T00:00:00"/>
    <n v="9"/>
    <s v="Q3"/>
    <x v="80"/>
    <s v="Medium"/>
  </r>
  <r>
    <x v="6"/>
    <x v="8"/>
    <x v="1"/>
    <x v="4"/>
    <x v="4"/>
    <x v="207"/>
    <n v="4.87"/>
    <d v="2025-09-01T00:00:00"/>
    <n v="9"/>
    <s v="Q3"/>
    <x v="80"/>
    <s v="Medium"/>
  </r>
  <r>
    <x v="6"/>
    <x v="8"/>
    <x v="1"/>
    <x v="5"/>
    <x v="5"/>
    <x v="219"/>
    <n v="4.95"/>
    <d v="2025-09-01T00:00:00"/>
    <n v="9"/>
    <s v="Q3"/>
    <x v="80"/>
    <s v="Medium"/>
  </r>
  <r>
    <x v="6"/>
    <x v="8"/>
    <x v="1"/>
    <x v="6"/>
    <x v="6"/>
    <x v="229"/>
    <n v="5.03"/>
    <d v="2025-09-01T00:00:00"/>
    <n v="9"/>
    <s v="Q3"/>
    <x v="80"/>
    <s v="Medium"/>
  </r>
  <r>
    <x v="6"/>
    <x v="8"/>
    <x v="2"/>
    <x v="0"/>
    <x v="0"/>
    <x v="170"/>
    <n v="4.55"/>
    <d v="2025-09-01T00:00:00"/>
    <n v="9"/>
    <s v="Q3"/>
    <x v="80"/>
    <s v="Medium"/>
  </r>
  <r>
    <x v="6"/>
    <x v="8"/>
    <x v="2"/>
    <x v="1"/>
    <x v="1"/>
    <x v="180"/>
    <n v="4.63"/>
    <d v="2025-09-01T00:00:00"/>
    <n v="9"/>
    <s v="Q3"/>
    <x v="80"/>
    <s v="Medium"/>
  </r>
  <r>
    <x v="6"/>
    <x v="8"/>
    <x v="2"/>
    <x v="2"/>
    <x v="2"/>
    <x v="192"/>
    <n v="4.71"/>
    <d v="2025-09-01T00:00:00"/>
    <n v="9"/>
    <s v="Q3"/>
    <x v="80"/>
    <s v="Medium"/>
  </r>
  <r>
    <x v="6"/>
    <x v="8"/>
    <x v="2"/>
    <x v="3"/>
    <x v="3"/>
    <x v="202"/>
    <n v="4.79"/>
    <d v="2025-09-01T00:00:00"/>
    <n v="9"/>
    <s v="Q3"/>
    <x v="80"/>
    <s v="Medium"/>
  </r>
  <r>
    <x v="6"/>
    <x v="8"/>
    <x v="2"/>
    <x v="4"/>
    <x v="4"/>
    <x v="213"/>
    <n v="4.87"/>
    <d v="2025-09-01T00:00:00"/>
    <n v="9"/>
    <s v="Q3"/>
    <x v="80"/>
    <s v="Medium"/>
  </r>
  <r>
    <x v="6"/>
    <x v="8"/>
    <x v="2"/>
    <x v="5"/>
    <x v="5"/>
    <x v="220"/>
    <n v="4.95"/>
    <d v="2025-09-01T00:00:00"/>
    <n v="9"/>
    <s v="Q3"/>
    <x v="80"/>
    <s v="Medium"/>
  </r>
  <r>
    <x v="6"/>
    <x v="8"/>
    <x v="2"/>
    <x v="6"/>
    <x v="6"/>
    <x v="230"/>
    <n v="5.03"/>
    <d v="2025-09-01T00:00:00"/>
    <n v="9"/>
    <s v="Q3"/>
    <x v="80"/>
    <s v="Medium"/>
  </r>
  <r>
    <x v="6"/>
    <x v="9"/>
    <x v="0"/>
    <x v="0"/>
    <x v="0"/>
    <x v="165"/>
    <n v="4.7"/>
    <d v="2025-10-01T00:00:00"/>
    <n v="10"/>
    <s v="Q4"/>
    <x v="81"/>
    <s v="Medium"/>
  </r>
  <r>
    <x v="6"/>
    <x v="9"/>
    <x v="0"/>
    <x v="1"/>
    <x v="1"/>
    <x v="176"/>
    <n v="4.78"/>
    <d v="2025-10-01T00:00:00"/>
    <n v="10"/>
    <s v="Q4"/>
    <x v="81"/>
    <s v="Medium"/>
  </r>
  <r>
    <x v="6"/>
    <x v="9"/>
    <x v="0"/>
    <x v="2"/>
    <x v="2"/>
    <x v="186"/>
    <n v="4.8600000000000003"/>
    <d v="2025-10-01T00:00:00"/>
    <n v="10"/>
    <s v="Q4"/>
    <x v="81"/>
    <s v="Medium"/>
  </r>
  <r>
    <x v="6"/>
    <x v="9"/>
    <x v="0"/>
    <x v="3"/>
    <x v="3"/>
    <x v="198"/>
    <n v="4.9400000000000004"/>
    <d v="2025-10-01T00:00:00"/>
    <n v="10"/>
    <s v="Q4"/>
    <x v="81"/>
    <s v="Medium"/>
  </r>
  <r>
    <x v="6"/>
    <x v="9"/>
    <x v="0"/>
    <x v="4"/>
    <x v="4"/>
    <x v="208"/>
    <n v="5.0199999999999996"/>
    <d v="2025-10-01T00:00:00"/>
    <n v="10"/>
    <s v="Q4"/>
    <x v="81"/>
    <s v="Medium"/>
  </r>
  <r>
    <x v="6"/>
    <x v="9"/>
    <x v="0"/>
    <x v="5"/>
    <x v="5"/>
    <x v="215"/>
    <n v="5.0999999999999996"/>
    <d v="2025-10-01T00:00:00"/>
    <n v="10"/>
    <s v="Q4"/>
    <x v="81"/>
    <s v="Medium"/>
  </r>
  <r>
    <x v="6"/>
    <x v="9"/>
    <x v="0"/>
    <x v="6"/>
    <x v="6"/>
    <x v="226"/>
    <n v="5.18"/>
    <d v="2025-10-01T00:00:00"/>
    <n v="10"/>
    <s v="Q4"/>
    <x v="81"/>
    <s v="Medium"/>
  </r>
  <r>
    <x v="6"/>
    <x v="9"/>
    <x v="1"/>
    <x v="0"/>
    <x v="0"/>
    <x v="171"/>
    <n v="4.7"/>
    <d v="2025-10-01T00:00:00"/>
    <n v="10"/>
    <s v="Q4"/>
    <x v="81"/>
    <s v="Medium"/>
  </r>
  <r>
    <x v="6"/>
    <x v="9"/>
    <x v="1"/>
    <x v="1"/>
    <x v="1"/>
    <x v="181"/>
    <n v="4.78"/>
    <d v="2025-10-01T00:00:00"/>
    <n v="10"/>
    <s v="Q4"/>
    <x v="81"/>
    <s v="Medium"/>
  </r>
  <r>
    <x v="6"/>
    <x v="9"/>
    <x v="1"/>
    <x v="2"/>
    <x v="2"/>
    <x v="187"/>
    <n v="4.8600000000000003"/>
    <d v="2025-10-01T00:00:00"/>
    <n v="10"/>
    <s v="Q4"/>
    <x v="81"/>
    <s v="Medium"/>
  </r>
  <r>
    <x v="6"/>
    <x v="9"/>
    <x v="1"/>
    <x v="3"/>
    <x v="3"/>
    <x v="199"/>
    <n v="4.9400000000000004"/>
    <d v="2025-10-01T00:00:00"/>
    <n v="10"/>
    <s v="Q4"/>
    <x v="81"/>
    <s v="Medium"/>
  </r>
  <r>
    <x v="6"/>
    <x v="9"/>
    <x v="1"/>
    <x v="4"/>
    <x v="4"/>
    <x v="209"/>
    <n v="5.0199999999999996"/>
    <d v="2025-10-01T00:00:00"/>
    <n v="10"/>
    <s v="Q4"/>
    <x v="81"/>
    <s v="Medium"/>
  </r>
  <r>
    <x v="6"/>
    <x v="9"/>
    <x v="1"/>
    <x v="5"/>
    <x v="5"/>
    <x v="221"/>
    <n v="5.0999999999999996"/>
    <d v="2025-10-01T00:00:00"/>
    <n v="10"/>
    <s v="Q4"/>
    <x v="81"/>
    <s v="Medium"/>
  </r>
  <r>
    <x v="6"/>
    <x v="9"/>
    <x v="1"/>
    <x v="6"/>
    <x v="6"/>
    <x v="231"/>
    <n v="5.18"/>
    <d v="2025-10-01T00:00:00"/>
    <n v="10"/>
    <s v="Q4"/>
    <x v="81"/>
    <s v="Medium"/>
  </r>
  <r>
    <x v="6"/>
    <x v="9"/>
    <x v="2"/>
    <x v="0"/>
    <x v="0"/>
    <x v="172"/>
    <n v="4.7"/>
    <d v="2025-10-01T00:00:00"/>
    <n v="10"/>
    <s v="Q4"/>
    <x v="81"/>
    <s v="Medium"/>
  </r>
  <r>
    <x v="6"/>
    <x v="9"/>
    <x v="2"/>
    <x v="1"/>
    <x v="1"/>
    <x v="182"/>
    <n v="4.78"/>
    <d v="2025-10-01T00:00:00"/>
    <n v="10"/>
    <s v="Q4"/>
    <x v="81"/>
    <s v="Medium"/>
  </r>
  <r>
    <x v="6"/>
    <x v="9"/>
    <x v="2"/>
    <x v="2"/>
    <x v="2"/>
    <x v="194"/>
    <n v="4.8600000000000003"/>
    <d v="2025-10-01T00:00:00"/>
    <n v="10"/>
    <s v="Q4"/>
    <x v="81"/>
    <s v="Medium"/>
  </r>
  <r>
    <x v="6"/>
    <x v="9"/>
    <x v="2"/>
    <x v="3"/>
    <x v="3"/>
    <x v="204"/>
    <n v="4.9400000000000004"/>
    <d v="2025-10-01T00:00:00"/>
    <n v="10"/>
    <s v="Q4"/>
    <x v="81"/>
    <s v="Medium"/>
  </r>
  <r>
    <x v="6"/>
    <x v="9"/>
    <x v="2"/>
    <x v="4"/>
    <x v="4"/>
    <x v="216"/>
    <n v="5.0199999999999996"/>
    <d v="2025-10-01T00:00:00"/>
    <n v="10"/>
    <s v="Q4"/>
    <x v="81"/>
    <s v="Medium"/>
  </r>
  <r>
    <x v="6"/>
    <x v="9"/>
    <x v="2"/>
    <x v="5"/>
    <x v="5"/>
    <x v="222"/>
    <n v="5.0999999999999996"/>
    <d v="2025-10-01T00:00:00"/>
    <n v="10"/>
    <s v="Q4"/>
    <x v="81"/>
    <s v="Medium"/>
  </r>
  <r>
    <x v="6"/>
    <x v="9"/>
    <x v="2"/>
    <x v="6"/>
    <x v="6"/>
    <x v="232"/>
    <n v="5.18"/>
    <d v="2025-10-01T00:00:00"/>
    <n v="10"/>
    <s v="Q4"/>
    <x v="81"/>
    <s v="Medium"/>
  </r>
  <r>
    <x v="6"/>
    <x v="10"/>
    <x v="0"/>
    <x v="0"/>
    <x v="0"/>
    <x v="168"/>
    <n v="4.8499999999999996"/>
    <d v="2025-11-01T00:00:00"/>
    <n v="11"/>
    <s v="Q4"/>
    <x v="82"/>
    <s v="Medium"/>
  </r>
  <r>
    <x v="6"/>
    <x v="10"/>
    <x v="0"/>
    <x v="1"/>
    <x v="1"/>
    <x v="178"/>
    <n v="4.93"/>
    <d v="2025-11-01T00:00:00"/>
    <n v="11"/>
    <s v="Q4"/>
    <x v="82"/>
    <s v="Medium"/>
  </r>
  <r>
    <x v="6"/>
    <x v="10"/>
    <x v="0"/>
    <x v="2"/>
    <x v="2"/>
    <x v="189"/>
    <n v="5.01"/>
    <d v="2025-11-01T00:00:00"/>
    <n v="11"/>
    <s v="Q4"/>
    <x v="82"/>
    <s v="Medium"/>
  </r>
  <r>
    <x v="6"/>
    <x v="10"/>
    <x v="0"/>
    <x v="3"/>
    <x v="3"/>
    <x v="200"/>
    <n v="5.09"/>
    <d v="2025-11-01T00:00:00"/>
    <n v="11"/>
    <s v="Q4"/>
    <x v="82"/>
    <s v="Medium"/>
  </r>
  <r>
    <x v="6"/>
    <x v="10"/>
    <x v="0"/>
    <x v="4"/>
    <x v="4"/>
    <x v="210"/>
    <n v="5.17"/>
    <d v="2025-11-01T00:00:00"/>
    <n v="11"/>
    <s v="Q4"/>
    <x v="82"/>
    <s v="Medium"/>
  </r>
  <r>
    <x v="6"/>
    <x v="10"/>
    <x v="0"/>
    <x v="5"/>
    <x v="5"/>
    <x v="218"/>
    <n v="5.25"/>
    <d v="2025-11-01T00:00:00"/>
    <n v="11"/>
    <s v="Q4"/>
    <x v="82"/>
    <s v="Medium"/>
  </r>
  <r>
    <x v="6"/>
    <x v="10"/>
    <x v="0"/>
    <x v="6"/>
    <x v="6"/>
    <x v="228"/>
    <n v="5.33"/>
    <d v="2025-11-01T00:00:00"/>
    <n v="11"/>
    <s v="Q4"/>
    <x v="82"/>
    <s v="Medium"/>
  </r>
  <r>
    <x v="6"/>
    <x v="10"/>
    <x v="1"/>
    <x v="0"/>
    <x v="0"/>
    <x v="173"/>
    <n v="4.8499999999999996"/>
    <d v="2025-11-01T00:00:00"/>
    <n v="11"/>
    <s v="Q4"/>
    <x v="82"/>
    <s v="Medium"/>
  </r>
  <r>
    <x v="6"/>
    <x v="10"/>
    <x v="1"/>
    <x v="1"/>
    <x v="1"/>
    <x v="183"/>
    <n v="4.93"/>
    <d v="2025-11-01T00:00:00"/>
    <n v="11"/>
    <s v="Q4"/>
    <x v="82"/>
    <s v="Medium"/>
  </r>
  <r>
    <x v="6"/>
    <x v="10"/>
    <x v="1"/>
    <x v="2"/>
    <x v="2"/>
    <x v="190"/>
    <n v="5.01"/>
    <d v="2025-11-01T00:00:00"/>
    <n v="11"/>
    <s v="Q4"/>
    <x v="82"/>
    <s v="Medium"/>
  </r>
  <r>
    <x v="6"/>
    <x v="10"/>
    <x v="1"/>
    <x v="3"/>
    <x v="3"/>
    <x v="201"/>
    <n v="5.09"/>
    <d v="2025-11-01T00:00:00"/>
    <n v="11"/>
    <s v="Q4"/>
    <x v="82"/>
    <s v="Medium"/>
  </r>
  <r>
    <x v="6"/>
    <x v="10"/>
    <x v="1"/>
    <x v="4"/>
    <x v="4"/>
    <x v="211"/>
    <n v="5.17"/>
    <d v="2025-11-01T00:00:00"/>
    <n v="11"/>
    <s v="Q4"/>
    <x v="82"/>
    <s v="Medium"/>
  </r>
  <r>
    <x v="6"/>
    <x v="10"/>
    <x v="1"/>
    <x v="5"/>
    <x v="5"/>
    <x v="223"/>
    <n v="5.25"/>
    <d v="2025-11-01T00:00:00"/>
    <n v="11"/>
    <s v="Q4"/>
    <x v="82"/>
    <s v="Medium"/>
  </r>
  <r>
    <x v="6"/>
    <x v="10"/>
    <x v="1"/>
    <x v="6"/>
    <x v="6"/>
    <x v="233"/>
    <n v="5.33"/>
    <d v="2025-11-01T00:00:00"/>
    <n v="11"/>
    <s v="Q4"/>
    <x v="82"/>
    <s v="Medium"/>
  </r>
  <r>
    <x v="6"/>
    <x v="10"/>
    <x v="2"/>
    <x v="0"/>
    <x v="0"/>
    <x v="174"/>
    <n v="4.8499999999999996"/>
    <d v="2025-11-01T00:00:00"/>
    <n v="11"/>
    <s v="Q4"/>
    <x v="82"/>
    <s v="Medium"/>
  </r>
  <r>
    <x v="6"/>
    <x v="10"/>
    <x v="2"/>
    <x v="1"/>
    <x v="1"/>
    <x v="184"/>
    <n v="4.93"/>
    <d v="2025-11-01T00:00:00"/>
    <n v="11"/>
    <s v="Q4"/>
    <x v="82"/>
    <s v="Medium"/>
  </r>
  <r>
    <x v="6"/>
    <x v="10"/>
    <x v="2"/>
    <x v="2"/>
    <x v="2"/>
    <x v="196"/>
    <n v="5.01"/>
    <d v="2025-11-01T00:00:00"/>
    <n v="11"/>
    <s v="Q4"/>
    <x v="82"/>
    <s v="Medium"/>
  </r>
  <r>
    <x v="6"/>
    <x v="10"/>
    <x v="2"/>
    <x v="3"/>
    <x v="3"/>
    <x v="206"/>
    <n v="5.09"/>
    <d v="2025-11-01T00:00:00"/>
    <n v="11"/>
    <s v="Q4"/>
    <x v="82"/>
    <s v="Medium"/>
  </r>
  <r>
    <x v="6"/>
    <x v="10"/>
    <x v="2"/>
    <x v="4"/>
    <x v="4"/>
    <x v="212"/>
    <n v="5.17"/>
    <d v="2025-11-01T00:00:00"/>
    <n v="11"/>
    <s v="Q4"/>
    <x v="82"/>
    <s v="Medium"/>
  </r>
  <r>
    <x v="6"/>
    <x v="10"/>
    <x v="2"/>
    <x v="5"/>
    <x v="5"/>
    <x v="224"/>
    <n v="5.25"/>
    <d v="2025-11-01T00:00:00"/>
    <n v="11"/>
    <s v="Q4"/>
    <x v="82"/>
    <s v="Medium"/>
  </r>
  <r>
    <x v="6"/>
    <x v="10"/>
    <x v="2"/>
    <x v="6"/>
    <x v="6"/>
    <x v="234"/>
    <n v="5.33"/>
    <d v="2025-11-01T00:00:00"/>
    <n v="11"/>
    <s v="Q4"/>
    <x v="82"/>
    <s v="Medium"/>
  </r>
  <r>
    <x v="6"/>
    <x v="11"/>
    <x v="0"/>
    <x v="0"/>
    <x v="0"/>
    <x v="170"/>
    <n v="4.0999999999999996"/>
    <d v="2025-12-01T00:00:00"/>
    <n v="12"/>
    <s v="Q4"/>
    <x v="83"/>
    <s v="Medium"/>
  </r>
  <r>
    <x v="6"/>
    <x v="11"/>
    <x v="0"/>
    <x v="1"/>
    <x v="1"/>
    <x v="180"/>
    <n v="4.18"/>
    <d v="2025-12-01T00:00:00"/>
    <n v="12"/>
    <s v="Q4"/>
    <x v="83"/>
    <s v="Medium"/>
  </r>
  <r>
    <x v="6"/>
    <x v="11"/>
    <x v="0"/>
    <x v="2"/>
    <x v="2"/>
    <x v="192"/>
    <n v="4.26"/>
    <d v="2025-12-01T00:00:00"/>
    <n v="12"/>
    <s v="Q4"/>
    <x v="83"/>
    <s v="Medium"/>
  </r>
  <r>
    <x v="6"/>
    <x v="11"/>
    <x v="0"/>
    <x v="3"/>
    <x v="3"/>
    <x v="202"/>
    <n v="4.34"/>
    <d v="2025-12-01T00:00:00"/>
    <n v="12"/>
    <s v="Q4"/>
    <x v="83"/>
    <s v="Medium"/>
  </r>
  <r>
    <x v="6"/>
    <x v="11"/>
    <x v="0"/>
    <x v="4"/>
    <x v="4"/>
    <x v="213"/>
    <n v="4.42"/>
    <d v="2025-12-01T00:00:00"/>
    <n v="12"/>
    <s v="Q4"/>
    <x v="83"/>
    <s v="Medium"/>
  </r>
  <r>
    <x v="6"/>
    <x v="11"/>
    <x v="0"/>
    <x v="5"/>
    <x v="5"/>
    <x v="220"/>
    <n v="4.5"/>
    <d v="2025-12-01T00:00:00"/>
    <n v="12"/>
    <s v="Q4"/>
    <x v="83"/>
    <s v="Medium"/>
  </r>
  <r>
    <x v="6"/>
    <x v="11"/>
    <x v="0"/>
    <x v="6"/>
    <x v="6"/>
    <x v="230"/>
    <n v="4.58"/>
    <d v="2025-12-01T00:00:00"/>
    <n v="12"/>
    <s v="Q4"/>
    <x v="83"/>
    <s v="Medium"/>
  </r>
  <r>
    <x v="6"/>
    <x v="11"/>
    <x v="1"/>
    <x v="0"/>
    <x v="0"/>
    <x v="175"/>
    <n v="4.0999999999999996"/>
    <d v="2025-12-01T00:00:00"/>
    <n v="12"/>
    <s v="Q4"/>
    <x v="83"/>
    <s v="Medium"/>
  </r>
  <r>
    <x v="6"/>
    <x v="11"/>
    <x v="1"/>
    <x v="1"/>
    <x v="1"/>
    <x v="185"/>
    <n v="4.18"/>
    <d v="2025-12-01T00:00:00"/>
    <n v="12"/>
    <s v="Q4"/>
    <x v="83"/>
    <s v="Medium"/>
  </r>
  <r>
    <x v="6"/>
    <x v="11"/>
    <x v="1"/>
    <x v="2"/>
    <x v="2"/>
    <x v="193"/>
    <n v="4.26"/>
    <d v="2025-12-01T00:00:00"/>
    <n v="12"/>
    <s v="Q4"/>
    <x v="83"/>
    <s v="Medium"/>
  </r>
  <r>
    <x v="6"/>
    <x v="11"/>
    <x v="1"/>
    <x v="3"/>
    <x v="3"/>
    <x v="203"/>
    <n v="4.34"/>
    <d v="2025-12-01T00:00:00"/>
    <n v="12"/>
    <s v="Q4"/>
    <x v="83"/>
    <s v="Medium"/>
  </r>
  <r>
    <x v="6"/>
    <x v="11"/>
    <x v="1"/>
    <x v="4"/>
    <x v="4"/>
    <x v="214"/>
    <n v="4.42"/>
    <d v="2025-12-01T00:00:00"/>
    <n v="12"/>
    <s v="Q4"/>
    <x v="83"/>
    <s v="Medium"/>
  </r>
  <r>
    <x v="6"/>
    <x v="11"/>
    <x v="1"/>
    <x v="5"/>
    <x v="5"/>
    <x v="225"/>
    <n v="4.5"/>
    <d v="2025-12-01T00:00:00"/>
    <n v="12"/>
    <s v="Q4"/>
    <x v="83"/>
    <s v="Medium"/>
  </r>
  <r>
    <x v="6"/>
    <x v="11"/>
    <x v="1"/>
    <x v="6"/>
    <x v="6"/>
    <x v="235"/>
    <n v="4.58"/>
    <d v="2025-12-01T00:00:00"/>
    <n v="12"/>
    <s v="Q4"/>
    <x v="83"/>
    <s v="Medium"/>
  </r>
  <r>
    <x v="6"/>
    <x v="11"/>
    <x v="2"/>
    <x v="0"/>
    <x v="0"/>
    <x v="176"/>
    <n v="4.0999999999999996"/>
    <d v="2025-12-01T00:00:00"/>
    <n v="12"/>
    <s v="Q4"/>
    <x v="83"/>
    <s v="Medium"/>
  </r>
  <r>
    <x v="6"/>
    <x v="11"/>
    <x v="2"/>
    <x v="1"/>
    <x v="1"/>
    <x v="186"/>
    <n v="4.18"/>
    <d v="2025-12-01T00:00:00"/>
    <n v="12"/>
    <s v="Q4"/>
    <x v="83"/>
    <s v="Medium"/>
  </r>
  <r>
    <x v="6"/>
    <x v="11"/>
    <x v="2"/>
    <x v="2"/>
    <x v="2"/>
    <x v="198"/>
    <n v="4.26"/>
    <d v="2025-12-01T00:00:00"/>
    <n v="12"/>
    <s v="Q4"/>
    <x v="83"/>
    <s v="Medium"/>
  </r>
  <r>
    <x v="6"/>
    <x v="11"/>
    <x v="2"/>
    <x v="3"/>
    <x v="3"/>
    <x v="208"/>
    <n v="4.34"/>
    <d v="2025-12-01T00:00:00"/>
    <n v="12"/>
    <s v="Q4"/>
    <x v="83"/>
    <s v="Medium"/>
  </r>
  <r>
    <x v="6"/>
    <x v="11"/>
    <x v="2"/>
    <x v="4"/>
    <x v="4"/>
    <x v="215"/>
    <n v="4.42"/>
    <d v="2025-12-01T00:00:00"/>
    <n v="12"/>
    <s v="Q4"/>
    <x v="83"/>
    <s v="Medium"/>
  </r>
  <r>
    <x v="6"/>
    <x v="11"/>
    <x v="2"/>
    <x v="5"/>
    <x v="5"/>
    <x v="226"/>
    <n v="4.5"/>
    <d v="2025-12-01T00:00:00"/>
    <n v="12"/>
    <s v="Q4"/>
    <x v="83"/>
    <s v="Medium"/>
  </r>
  <r>
    <x v="6"/>
    <x v="11"/>
    <x v="2"/>
    <x v="6"/>
    <x v="6"/>
    <x v="236"/>
    <n v="4.58"/>
    <d v="2025-12-01T00:00:00"/>
    <n v="12"/>
    <s v="Q4"/>
    <x v="83"/>
    <s v="Medium"/>
  </r>
  <r>
    <x v="7"/>
    <x v="12"/>
    <x v="3"/>
    <x v="7"/>
    <x v="7"/>
    <x v="237"/>
    <m/>
    <m/>
    <m/>
    <m/>
    <x v="8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6CFA16-0328-4D9A-BF3D-15794E0269B2}" name="PivotTable1" cacheId="2"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D27:E31" firstHeaderRow="1" firstDataRow="1" firstDataCol="1"/>
  <pivotFields count="12">
    <pivotField showAll="0"/>
    <pivotField showAll="0"/>
    <pivotField axis="axisRow" showAll="0">
      <items count="5">
        <item x="2"/>
        <item x="0"/>
        <item x="1"/>
        <item h="1" x="3"/>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CPI_Index" fld="5" subtotal="average" baseField="2" baseItem="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4" cacheId="2"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G3:H11" firstHeaderRow="1" firstDataRow="1" firstDataCol="1"/>
  <pivotFields count="12">
    <pivotField showAll="0"/>
    <pivotField showAll="0"/>
    <pivotField showAll="0"/>
    <pivotField axis="axisRow" showAll="0">
      <items count="9">
        <item x="3"/>
        <item x="1"/>
        <item x="5"/>
        <item x="0"/>
        <item x="4"/>
        <item x="6"/>
        <item x="2"/>
        <item h="1" x="7"/>
        <item t="default"/>
      </items>
    </pivotField>
    <pivotField showAll="0"/>
    <pivotField dataField="1"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Average of CPI_Index" fld="5" subtotal="average"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3" cacheId="2"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D3:E11" firstHeaderRow="1" firstDataRow="1" firstDataCol="1"/>
  <pivotFields count="12">
    <pivotField axis="axisRow" showAll="0">
      <items count="9">
        <item x="0"/>
        <item x="1"/>
        <item x="2"/>
        <item x="3"/>
        <item x="4"/>
        <item x="5"/>
        <item x="6"/>
        <item h="1" x="7"/>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Average of CPI_Index" fld="5" subtotal="average"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2" cacheId="2"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7">
  <location ref="A3:B88" firstHeaderRow="1" firstDataRow="1" firstDataCol="1"/>
  <pivotFields count="12">
    <pivotField showAll="0"/>
    <pivotField showAll="0"/>
    <pivotField showAll="0"/>
    <pivotField showAll="0"/>
    <pivotField showAll="0"/>
    <pivotField showAll="0"/>
    <pivotField dataField="1" showAll="0"/>
    <pivotField showAll="0"/>
    <pivotField showAll="0"/>
    <pivotField showAll="0"/>
    <pivotField axis="axisRow" showAll="0">
      <items count="86">
        <item x="3"/>
        <item x="15"/>
        <item x="27"/>
        <item x="39"/>
        <item x="51"/>
        <item x="63"/>
        <item x="75"/>
        <item x="7"/>
        <item x="19"/>
        <item x="31"/>
        <item x="43"/>
        <item x="55"/>
        <item x="67"/>
        <item x="79"/>
        <item x="11"/>
        <item x="23"/>
        <item x="35"/>
        <item x="47"/>
        <item x="59"/>
        <item x="71"/>
        <item x="83"/>
        <item x="1"/>
        <item x="13"/>
        <item x="25"/>
        <item x="37"/>
        <item x="49"/>
        <item x="61"/>
        <item x="73"/>
        <item x="0"/>
        <item x="12"/>
        <item x="24"/>
        <item x="36"/>
        <item x="48"/>
        <item x="60"/>
        <item x="72"/>
        <item x="6"/>
        <item x="18"/>
        <item x="30"/>
        <item x="42"/>
        <item x="54"/>
        <item x="66"/>
        <item x="78"/>
        <item x="5"/>
        <item x="17"/>
        <item x="29"/>
        <item x="41"/>
        <item x="53"/>
        <item x="65"/>
        <item x="77"/>
        <item x="2"/>
        <item x="14"/>
        <item x="26"/>
        <item x="38"/>
        <item x="50"/>
        <item x="62"/>
        <item x="74"/>
        <item x="4"/>
        <item x="16"/>
        <item x="28"/>
        <item x="40"/>
        <item x="52"/>
        <item x="64"/>
        <item x="76"/>
        <item x="10"/>
        <item x="22"/>
        <item x="34"/>
        <item x="46"/>
        <item x="58"/>
        <item x="70"/>
        <item x="82"/>
        <item x="9"/>
        <item x="21"/>
        <item x="33"/>
        <item x="45"/>
        <item x="57"/>
        <item x="69"/>
        <item x="81"/>
        <item x="8"/>
        <item x="20"/>
        <item x="32"/>
        <item x="44"/>
        <item x="56"/>
        <item x="68"/>
        <item x="80"/>
        <item h="1" x="84"/>
        <item t="default"/>
      </items>
    </pivotField>
    <pivotField showAll="0"/>
  </pivotFields>
  <rowFields count="1">
    <field x="10"/>
  </rowFields>
  <rowItems count="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t="grand">
      <x/>
    </i>
  </rowItems>
  <colItems count="1">
    <i/>
  </colItems>
  <dataFields count="1">
    <dataField name="Average of Inflation_Percent" fld="6" subtotal="average" baseField="0" baseItem="0"/>
  </dataFields>
  <chartFormats count="2">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10" count="1" selected="0">
            <x v="7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7" cacheId="2"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location ref="G16:H24" firstHeaderRow="1" firstDataRow="1" firstDataCol="1"/>
  <pivotFields count="12">
    <pivotField axis="axisRow" showAll="0">
      <items count="9">
        <item x="0"/>
        <item x="1"/>
        <item x="2"/>
        <item x="3"/>
        <item x="4"/>
        <item x="5"/>
        <item x="6"/>
        <item h="1" x="7"/>
        <item t="default"/>
      </items>
    </pivotField>
    <pivotField showAll="0"/>
    <pivotField showAll="0">
      <items count="5">
        <item x="2"/>
        <item x="0"/>
        <item x="1"/>
        <item x="3"/>
        <item t="default"/>
      </items>
    </pivotField>
    <pivotField showAll="0">
      <items count="9">
        <item x="3"/>
        <item x="1"/>
        <item x="5"/>
        <item x="0"/>
        <item x="4"/>
        <item x="6"/>
        <item x="2"/>
        <item x="7"/>
        <item t="default"/>
      </items>
    </pivotField>
    <pivotField showAll="0"/>
    <pivotField showAll="0"/>
    <pivotField dataField="1" showAll="0"/>
    <pivotField showAll="0"/>
    <pivotField showAll="0"/>
    <pivotField showAll="0"/>
    <pivotField showAll="0">
      <items count="86">
        <item x="3"/>
        <item x="15"/>
        <item x="27"/>
        <item x="39"/>
        <item x="51"/>
        <item x="63"/>
        <item x="75"/>
        <item x="7"/>
        <item x="19"/>
        <item x="31"/>
        <item x="43"/>
        <item x="55"/>
        <item x="67"/>
        <item x="79"/>
        <item x="11"/>
        <item x="23"/>
        <item x="35"/>
        <item x="47"/>
        <item x="59"/>
        <item x="71"/>
        <item x="83"/>
        <item x="1"/>
        <item x="13"/>
        <item x="25"/>
        <item x="37"/>
        <item x="49"/>
        <item x="61"/>
        <item x="73"/>
        <item x="0"/>
        <item x="12"/>
        <item x="24"/>
        <item x="36"/>
        <item x="48"/>
        <item x="60"/>
        <item x="72"/>
        <item x="6"/>
        <item x="18"/>
        <item x="30"/>
        <item x="42"/>
        <item x="54"/>
        <item x="66"/>
        <item x="78"/>
        <item x="5"/>
        <item x="17"/>
        <item x="29"/>
        <item x="41"/>
        <item x="53"/>
        <item x="65"/>
        <item x="77"/>
        <item x="2"/>
        <item x="14"/>
        <item x="26"/>
        <item x="38"/>
        <item x="50"/>
        <item x="62"/>
        <item x="74"/>
        <item x="4"/>
        <item x="16"/>
        <item x="28"/>
        <item x="40"/>
        <item x="52"/>
        <item x="64"/>
        <item x="76"/>
        <item x="10"/>
        <item x="22"/>
        <item x="34"/>
        <item x="46"/>
        <item x="58"/>
        <item x="70"/>
        <item x="82"/>
        <item x="9"/>
        <item x="21"/>
        <item x="33"/>
        <item x="45"/>
        <item x="57"/>
        <item x="69"/>
        <item x="81"/>
        <item x="8"/>
        <item x="20"/>
        <item x="32"/>
        <item x="44"/>
        <item x="56"/>
        <item x="68"/>
        <item x="80"/>
        <item x="84"/>
        <item t="default"/>
      </items>
    </pivotField>
    <pivotField showAll="0"/>
  </pivotFields>
  <rowFields count="1">
    <field x="0"/>
  </rowFields>
  <rowItems count="8">
    <i>
      <x/>
    </i>
    <i>
      <x v="1"/>
    </i>
    <i>
      <x v="2"/>
    </i>
    <i>
      <x v="3"/>
    </i>
    <i>
      <x v="4"/>
    </i>
    <i>
      <x v="5"/>
    </i>
    <i>
      <x v="6"/>
    </i>
    <i t="grand">
      <x/>
    </i>
  </rowItems>
  <colItems count="1">
    <i/>
  </colItems>
  <dataFields count="1">
    <dataField name="Max of Inflation_Percent" fld="6" subtotal="max"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6" cacheId="2"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D16:E24" firstHeaderRow="1" firstDataRow="1" firstDataCol="1"/>
  <pivotFields count="12">
    <pivotField showAll="0">
      <items count="9">
        <item x="0"/>
        <item x="1"/>
        <item x="2"/>
        <item x="3"/>
        <item x="4"/>
        <item x="5"/>
        <item x="6"/>
        <item x="7"/>
        <item t="default"/>
      </items>
    </pivotField>
    <pivotField showAll="0">
      <items count="14">
        <item x="0"/>
        <item x="1"/>
        <item x="2"/>
        <item x="3"/>
        <item x="4"/>
        <item x="5"/>
        <item x="6"/>
        <item x="7"/>
        <item x="8"/>
        <item x="9"/>
        <item x="10"/>
        <item x="11"/>
        <item x="12"/>
        <item t="default"/>
      </items>
    </pivotField>
    <pivotField showAll="0">
      <items count="5">
        <item x="2"/>
        <item x="0"/>
        <item x="1"/>
        <item x="3"/>
        <item t="default"/>
      </items>
    </pivotField>
    <pivotField axis="axisRow" showAll="0">
      <items count="9">
        <item x="3"/>
        <item x="1"/>
        <item x="5"/>
        <item x="0"/>
        <item x="4"/>
        <item x="6"/>
        <item x="2"/>
        <item h="1" x="7"/>
        <item t="default"/>
      </items>
    </pivotField>
    <pivotField dataField="1" showAll="0">
      <items count="9">
        <item x="2"/>
        <item x="3"/>
        <item x="5"/>
        <item x="4"/>
        <item x="6"/>
        <item x="1"/>
        <item x="0"/>
        <item x="7"/>
        <item t="default"/>
      </items>
    </pivotField>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Average of Weight" fld="4" subtotal="average"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F51022B-61FA-4F98-914C-A76A36FF6785}" sourceName="Year">
  <pivotTables>
    <pivotTable tabId="5" name="PivotTable6"/>
  </pivotTables>
  <data>
    <tabular pivotCacheId="1735071517">
      <items count="8">
        <i x="0" s="1"/>
        <i x="1" s="1"/>
        <i x="2" s="1"/>
        <i x="3" s="1"/>
        <i x="4" s="1"/>
        <i x="5" s="1"/>
        <i x="6" s="1"/>
        <i x="7"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A9EA9B0-0B9A-46EC-BCE4-62401C5E7FC4}" sourceName="Month">
  <pivotTables>
    <pivotTable tabId="5" name="PivotTable6"/>
  </pivotTables>
  <data>
    <tabular pivotCacheId="1735071517">
      <items count="13">
        <i x="0" s="1"/>
        <i x="1" s="1"/>
        <i x="2" s="1"/>
        <i x="3" s="1"/>
        <i x="4" s="1"/>
        <i x="5" s="1"/>
        <i x="6" s="1"/>
        <i x="7" s="1"/>
        <i x="8" s="1"/>
        <i x="9" s="1"/>
        <i x="10" s="1"/>
        <i x="11" s="1"/>
        <i x="1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593D4491-2232-4E58-8F57-B1F27CC2B131}" sourceName="Area">
  <pivotTables>
    <pivotTable tabId="5" name="PivotTable6"/>
  </pivotTables>
  <data>
    <tabular pivotCacheId="1735071517">
      <items count="4">
        <i x="2" s="1"/>
        <i x="0" s="1"/>
        <i x="1" s="1"/>
        <i x="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B35894A-CD8E-4D3A-97BE-CB5369954675}" sourceName="Category">
  <pivotTables>
    <pivotTable tabId="5" name="PivotTable6"/>
  </pivotTables>
  <data>
    <tabular pivotCacheId="1735071517">
      <items count="8">
        <i x="3" s="1"/>
        <i x="1" s="1"/>
        <i x="5" s="1"/>
        <i x="0" s="1"/>
        <i x="4" s="1"/>
        <i x="6" s="1"/>
        <i x="2" s="1"/>
        <i x="7"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73EAF5A-6C7F-4DB2-9EC8-81BA8A5A26F6}" sourceName="Year">
  <pivotTables>
    <pivotTable tabId="5" name="PivotTable7"/>
  </pivotTables>
  <data>
    <tabular pivotCacheId="1735071517">
      <items count="8">
        <i x="0" s="1"/>
        <i x="1" s="1"/>
        <i x="2" s="1"/>
        <i x="3" s="1"/>
        <i x="4" s="1"/>
        <i x="5" s="1"/>
        <i x="6" s="1"/>
        <i x="7"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1" xr10:uid="{1B6DAF05-2743-4153-91D5-9F47106B6103}" sourceName="Area">
  <pivotTables>
    <pivotTable tabId="5" name="PivotTable7"/>
  </pivotTables>
  <data>
    <tabular pivotCacheId="1735071517">
      <items count="4">
        <i x="2" s="1"/>
        <i x="0" s="1"/>
        <i x="1" s="1"/>
        <i x="3"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D706AED-EE76-45C8-B8D3-6C5AF1665378}" sourceName="Category">
  <pivotTables>
    <pivotTable tabId="5" name="PivotTable7"/>
  </pivotTables>
  <data>
    <tabular pivotCacheId="1735071517">
      <items count="8">
        <i x="3" s="1"/>
        <i x="1" s="1"/>
        <i x="5" s="1"/>
        <i x="0" s="1"/>
        <i x="4" s="1"/>
        <i x="6" s="1"/>
        <i x="2" s="1"/>
        <i x="7"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90CE5D4D-0BF4-48F4-94E1-680639ECE9FA}" sourceName="Year_Month">
  <pivotTables>
    <pivotTable tabId="5" name="PivotTable7"/>
  </pivotTables>
  <data>
    <tabular pivotCacheId="1735071517">
      <items count="85">
        <i x="3" s="1"/>
        <i x="15" s="1"/>
        <i x="27" s="1"/>
        <i x="39" s="1"/>
        <i x="51" s="1"/>
        <i x="63" s="1"/>
        <i x="75" s="1"/>
        <i x="7" s="1"/>
        <i x="19" s="1"/>
        <i x="31" s="1"/>
        <i x="43" s="1"/>
        <i x="55" s="1"/>
        <i x="67" s="1"/>
        <i x="79" s="1"/>
        <i x="11" s="1"/>
        <i x="23" s="1"/>
        <i x="35" s="1"/>
        <i x="47" s="1"/>
        <i x="59" s="1"/>
        <i x="71" s="1"/>
        <i x="83" s="1"/>
        <i x="1" s="1"/>
        <i x="13" s="1"/>
        <i x="25" s="1"/>
        <i x="37" s="1"/>
        <i x="49" s="1"/>
        <i x="61" s="1"/>
        <i x="73" s="1"/>
        <i x="0" s="1"/>
        <i x="12" s="1"/>
        <i x="24" s="1"/>
        <i x="36" s="1"/>
        <i x="48" s="1"/>
        <i x="60" s="1"/>
        <i x="72" s="1"/>
        <i x="6" s="1"/>
        <i x="18" s="1"/>
        <i x="30" s="1"/>
        <i x="42" s="1"/>
        <i x="54" s="1"/>
        <i x="66" s="1"/>
        <i x="78" s="1"/>
        <i x="5" s="1"/>
        <i x="17" s="1"/>
        <i x="29" s="1"/>
        <i x="41" s="1"/>
        <i x="53" s="1"/>
        <i x="65" s="1"/>
        <i x="77" s="1"/>
        <i x="2" s="1"/>
        <i x="14" s="1"/>
        <i x="26" s="1"/>
        <i x="38" s="1"/>
        <i x="50" s="1"/>
        <i x="62" s="1"/>
        <i x="74" s="1"/>
        <i x="4" s="1"/>
        <i x="16" s="1"/>
        <i x="28" s="1"/>
        <i x="40" s="1"/>
        <i x="52" s="1"/>
        <i x="64" s="1"/>
        <i x="76" s="1"/>
        <i x="10" s="1"/>
        <i x="22" s="1"/>
        <i x="34" s="1"/>
        <i x="46" s="1"/>
        <i x="58" s="1"/>
        <i x="70" s="1"/>
        <i x="82" s="1"/>
        <i x="9" s="1"/>
        <i x="21" s="1"/>
        <i x="33" s="1"/>
        <i x="45" s="1"/>
        <i x="57" s="1"/>
        <i x="69" s="1"/>
        <i x="81" s="1"/>
        <i x="8" s="1"/>
        <i x="20" s="1"/>
        <i x="32" s="1"/>
        <i x="44" s="1"/>
        <i x="56" s="1"/>
        <i x="68" s="1"/>
        <i x="80" s="1"/>
        <i x="8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DB6BC00-84FE-4F3C-9133-526E95DB8DF0}" cache="Slicer_Year" caption="Year" rowHeight="234950"/>
  <slicer name="Month" xr10:uid="{1C3748ED-023C-422A-8460-36450C9187E8}" cache="Slicer_Month" caption="Month" columnCount="3" rowHeight="234950"/>
  <slicer name="Area" xr10:uid="{9FCBF5F4-59D2-47D6-9F5F-30DAC43EC1CC}" cache="Slicer_Area" caption="Area" rowHeight="234950"/>
  <slicer name="Category" xr10:uid="{9417CA46-F2D9-4D1C-A9B4-9FDB187342AD}" cache="Slicer_Category" caption="Category"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EA92023-E33D-4A27-AE70-31E59139DF43}" cache="Slicer_Year1" caption="Year" columnCount="2" rowHeight="234950"/>
  <slicer name="Area 1" xr10:uid="{3ADE10C3-10CF-405C-8F60-C6A927035120}" cache="Slicer_Area1" caption="Area" rowHeight="234950"/>
  <slicer name="Category 1" xr10:uid="{8EADB736-2E72-42E0-8873-C678D54B7DAC}" cache="Slicer_Category1" caption="Category" rowHeight="234950"/>
  <slicer name="Year_Month" xr10:uid="{918BAB71-254E-4151-8C2F-8CFF5BD58237}" cache="Slicer_Year_Month" caption="Year_Month"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1765" totalsRowShown="0">
  <autoFilter ref="A1:L1765" xr:uid="{00000000-0009-0000-0100-000001000000}"/>
  <tableColumns count="12">
    <tableColumn id="1" xr3:uid="{00000000-0010-0000-0000-000001000000}" name="Year"/>
    <tableColumn id="2" xr3:uid="{00000000-0010-0000-0000-000002000000}" name="Month" dataDxfId="5"/>
    <tableColumn id="3" xr3:uid="{00000000-0010-0000-0000-000003000000}" name="Area"/>
    <tableColumn id="4" xr3:uid="{00000000-0010-0000-0000-000004000000}" name="Category"/>
    <tableColumn id="5" xr3:uid="{00000000-0010-0000-0000-000005000000}" name="Weight"/>
    <tableColumn id="6" xr3:uid="{00000000-0010-0000-0000-000006000000}" name="CPI_Index"/>
    <tableColumn id="7" xr3:uid="{00000000-0010-0000-0000-000007000000}" name="Inflation_Percent"/>
    <tableColumn id="9" xr3:uid="{00000000-0010-0000-0000-000009000000}" name="Date" dataDxfId="4">
      <calculatedColumnFormula>DATE(A2,MONTH(DATEVALUE(B2&amp;" 1")),1)</calculatedColumnFormula>
    </tableColumn>
    <tableColumn id="10" xr3:uid="{00000000-0010-0000-0000-00000A000000}" name="Month_No" dataDxfId="3">
      <calculatedColumnFormula>MONTH(Table1[[#This Row],[Date]])</calculatedColumnFormula>
    </tableColumn>
    <tableColumn id="11" xr3:uid="{00000000-0010-0000-0000-00000B000000}" name="Quarter" dataDxfId="2">
      <calculatedColumnFormula>"Q"&amp;ROUNDUP(MONTH(H2)/3,0)</calculatedColumnFormula>
    </tableColumn>
    <tableColumn id="12" xr3:uid="{00000000-0010-0000-0000-00000C000000}" name="Year_Month" dataDxfId="1">
      <calculatedColumnFormula>TEXT(H2,"mmm-yyyy")</calculatedColumnFormula>
    </tableColumn>
    <tableColumn id="13" xr3:uid="{00000000-0010-0000-0000-00000D000000}" name="Inflation_Level" dataDxfId="0">
      <calculatedColumnFormula>IF(G2&lt;3,"Low",IF(G2&lt;4,"Medium","High"))</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65"/>
  <sheetViews>
    <sheetView workbookViewId="0">
      <selection activeCell="P1741" sqref="P1741"/>
    </sheetView>
  </sheetViews>
  <sheetFormatPr defaultRowHeight="14.4" x14ac:dyDescent="0.3"/>
  <sheetData>
    <row r="1" spans="1:7" x14ac:dyDescent="0.3">
      <c r="A1" t="s">
        <v>0</v>
      </c>
      <c r="B1" t="s">
        <v>1</v>
      </c>
      <c r="C1" t="s">
        <v>2</v>
      </c>
      <c r="D1" t="s">
        <v>3</v>
      </c>
      <c r="E1" t="s">
        <v>4</v>
      </c>
      <c r="F1" t="s">
        <v>5</v>
      </c>
      <c r="G1" t="s">
        <v>6</v>
      </c>
    </row>
    <row r="2" spans="1:7" x14ac:dyDescent="0.3">
      <c r="A2">
        <v>2019</v>
      </c>
      <c r="B2" t="s">
        <v>7</v>
      </c>
      <c r="C2" t="s">
        <v>8</v>
      </c>
      <c r="D2" t="s">
        <v>9</v>
      </c>
      <c r="E2">
        <v>100</v>
      </c>
      <c r="F2">
        <v>135.4</v>
      </c>
      <c r="G2">
        <v>2.15</v>
      </c>
    </row>
    <row r="3" spans="1:7" x14ac:dyDescent="0.3">
      <c r="A3">
        <v>2019</v>
      </c>
      <c r="B3" t="s">
        <v>7</v>
      </c>
      <c r="C3" t="s">
        <v>8</v>
      </c>
      <c r="D3" t="s">
        <v>10</v>
      </c>
      <c r="E3">
        <v>45.86</v>
      </c>
      <c r="F3">
        <v>137.4</v>
      </c>
      <c r="G3">
        <v>2.23</v>
      </c>
    </row>
    <row r="4" spans="1:7" x14ac:dyDescent="0.3">
      <c r="A4">
        <v>2019</v>
      </c>
      <c r="B4" t="s">
        <v>7</v>
      </c>
      <c r="C4" t="s">
        <v>8</v>
      </c>
      <c r="D4" t="s">
        <v>11</v>
      </c>
      <c r="E4">
        <v>2.38</v>
      </c>
      <c r="F4">
        <v>139.4</v>
      </c>
      <c r="G4">
        <v>2.31</v>
      </c>
    </row>
    <row r="5" spans="1:7" x14ac:dyDescent="0.3">
      <c r="A5">
        <v>2019</v>
      </c>
      <c r="B5" t="s">
        <v>7</v>
      </c>
      <c r="C5" t="s">
        <v>8</v>
      </c>
      <c r="D5" t="s">
        <v>12</v>
      </c>
      <c r="E5">
        <v>6.53</v>
      </c>
      <c r="F5">
        <v>141.4</v>
      </c>
      <c r="G5">
        <v>2.39</v>
      </c>
    </row>
    <row r="6" spans="1:7" x14ac:dyDescent="0.3">
      <c r="A6">
        <v>2019</v>
      </c>
      <c r="B6" t="s">
        <v>7</v>
      </c>
      <c r="C6" t="s">
        <v>8</v>
      </c>
      <c r="D6" t="s">
        <v>13</v>
      </c>
      <c r="E6">
        <v>10.07</v>
      </c>
      <c r="F6">
        <v>143.4</v>
      </c>
      <c r="G6">
        <v>2.4700000000000002</v>
      </c>
    </row>
    <row r="7" spans="1:7" x14ac:dyDescent="0.3">
      <c r="A7">
        <v>2019</v>
      </c>
      <c r="B7" t="s">
        <v>7</v>
      </c>
      <c r="C7" t="s">
        <v>8</v>
      </c>
      <c r="D7" t="s">
        <v>14</v>
      </c>
      <c r="E7">
        <v>6.84</v>
      </c>
      <c r="F7">
        <v>145.4</v>
      </c>
      <c r="G7">
        <v>2.5499999999999998</v>
      </c>
    </row>
    <row r="8" spans="1:7" x14ac:dyDescent="0.3">
      <c r="A8">
        <v>2019</v>
      </c>
      <c r="B8" t="s">
        <v>7</v>
      </c>
      <c r="C8" t="s">
        <v>8</v>
      </c>
      <c r="D8" t="s">
        <v>15</v>
      </c>
      <c r="E8">
        <v>28.32</v>
      </c>
      <c r="F8">
        <v>147.4</v>
      </c>
      <c r="G8">
        <v>2.63</v>
      </c>
    </row>
    <row r="9" spans="1:7" x14ac:dyDescent="0.3">
      <c r="A9">
        <v>2019</v>
      </c>
      <c r="B9" t="s">
        <v>7</v>
      </c>
      <c r="C9" t="s">
        <v>16</v>
      </c>
      <c r="D9" t="s">
        <v>9</v>
      </c>
      <c r="E9">
        <v>100</v>
      </c>
      <c r="F9">
        <v>136</v>
      </c>
      <c r="G9">
        <v>2.15</v>
      </c>
    </row>
    <row r="10" spans="1:7" x14ac:dyDescent="0.3">
      <c r="A10">
        <v>2019</v>
      </c>
      <c r="B10" t="s">
        <v>7</v>
      </c>
      <c r="C10" t="s">
        <v>16</v>
      </c>
      <c r="D10" t="s">
        <v>10</v>
      </c>
      <c r="E10">
        <v>45.86</v>
      </c>
      <c r="F10">
        <v>138</v>
      </c>
      <c r="G10">
        <v>2.23</v>
      </c>
    </row>
    <row r="11" spans="1:7" x14ac:dyDescent="0.3">
      <c r="A11">
        <v>2019</v>
      </c>
      <c r="B11" t="s">
        <v>7</v>
      </c>
      <c r="C11" t="s">
        <v>16</v>
      </c>
      <c r="D11" t="s">
        <v>11</v>
      </c>
      <c r="E11">
        <v>2.38</v>
      </c>
      <c r="F11">
        <v>140</v>
      </c>
      <c r="G11">
        <v>2.31</v>
      </c>
    </row>
    <row r="12" spans="1:7" x14ac:dyDescent="0.3">
      <c r="A12">
        <v>2019</v>
      </c>
      <c r="B12" t="s">
        <v>7</v>
      </c>
      <c r="C12" t="s">
        <v>16</v>
      </c>
      <c r="D12" t="s">
        <v>12</v>
      </c>
      <c r="E12">
        <v>6.53</v>
      </c>
      <c r="F12">
        <v>142</v>
      </c>
      <c r="G12">
        <v>2.39</v>
      </c>
    </row>
    <row r="13" spans="1:7" x14ac:dyDescent="0.3">
      <c r="A13">
        <v>2019</v>
      </c>
      <c r="B13" t="s">
        <v>7</v>
      </c>
      <c r="C13" t="s">
        <v>16</v>
      </c>
      <c r="D13" t="s">
        <v>13</v>
      </c>
      <c r="E13">
        <v>10.07</v>
      </c>
      <c r="F13">
        <v>144</v>
      </c>
      <c r="G13">
        <v>2.4700000000000002</v>
      </c>
    </row>
    <row r="14" spans="1:7" x14ac:dyDescent="0.3">
      <c r="A14">
        <v>2019</v>
      </c>
      <c r="B14" t="s">
        <v>7</v>
      </c>
      <c r="C14" t="s">
        <v>16</v>
      </c>
      <c r="D14" t="s">
        <v>14</v>
      </c>
      <c r="E14">
        <v>6.84</v>
      </c>
      <c r="F14">
        <v>146</v>
      </c>
      <c r="G14">
        <v>2.5499999999999998</v>
      </c>
    </row>
    <row r="15" spans="1:7" x14ac:dyDescent="0.3">
      <c r="A15">
        <v>2019</v>
      </c>
      <c r="B15" t="s">
        <v>7</v>
      </c>
      <c r="C15" t="s">
        <v>16</v>
      </c>
      <c r="D15" t="s">
        <v>15</v>
      </c>
      <c r="E15">
        <v>28.32</v>
      </c>
      <c r="F15">
        <v>148</v>
      </c>
      <c r="G15">
        <v>2.63</v>
      </c>
    </row>
    <row r="16" spans="1:7" x14ac:dyDescent="0.3">
      <c r="A16">
        <v>2019</v>
      </c>
      <c r="B16" t="s">
        <v>7</v>
      </c>
      <c r="C16" t="s">
        <v>17</v>
      </c>
      <c r="D16" t="s">
        <v>9</v>
      </c>
      <c r="E16">
        <v>100</v>
      </c>
      <c r="F16">
        <v>136.6</v>
      </c>
      <c r="G16">
        <v>2.15</v>
      </c>
    </row>
    <row r="17" spans="1:7" x14ac:dyDescent="0.3">
      <c r="A17">
        <v>2019</v>
      </c>
      <c r="B17" t="s">
        <v>7</v>
      </c>
      <c r="C17" t="s">
        <v>17</v>
      </c>
      <c r="D17" t="s">
        <v>10</v>
      </c>
      <c r="E17">
        <v>45.86</v>
      </c>
      <c r="F17">
        <v>138.6</v>
      </c>
      <c r="G17">
        <v>2.23</v>
      </c>
    </row>
    <row r="18" spans="1:7" x14ac:dyDescent="0.3">
      <c r="A18">
        <v>2019</v>
      </c>
      <c r="B18" t="s">
        <v>7</v>
      </c>
      <c r="C18" t="s">
        <v>17</v>
      </c>
      <c r="D18" t="s">
        <v>11</v>
      </c>
      <c r="E18">
        <v>2.38</v>
      </c>
      <c r="F18">
        <v>140.6</v>
      </c>
      <c r="G18">
        <v>2.31</v>
      </c>
    </row>
    <row r="19" spans="1:7" x14ac:dyDescent="0.3">
      <c r="A19">
        <v>2019</v>
      </c>
      <c r="B19" t="s">
        <v>7</v>
      </c>
      <c r="C19" t="s">
        <v>17</v>
      </c>
      <c r="D19" t="s">
        <v>12</v>
      </c>
      <c r="E19">
        <v>6.53</v>
      </c>
      <c r="F19">
        <v>142.6</v>
      </c>
      <c r="G19">
        <v>2.39</v>
      </c>
    </row>
    <row r="20" spans="1:7" x14ac:dyDescent="0.3">
      <c r="A20">
        <v>2019</v>
      </c>
      <c r="B20" t="s">
        <v>7</v>
      </c>
      <c r="C20" t="s">
        <v>17</v>
      </c>
      <c r="D20" t="s">
        <v>13</v>
      </c>
      <c r="E20">
        <v>10.07</v>
      </c>
      <c r="F20">
        <v>144.6</v>
      </c>
      <c r="G20">
        <v>2.4700000000000002</v>
      </c>
    </row>
    <row r="21" spans="1:7" x14ac:dyDescent="0.3">
      <c r="A21">
        <v>2019</v>
      </c>
      <c r="B21" t="s">
        <v>7</v>
      </c>
      <c r="C21" t="s">
        <v>17</v>
      </c>
      <c r="D21" t="s">
        <v>14</v>
      </c>
      <c r="E21">
        <v>6.84</v>
      </c>
      <c r="F21">
        <v>146.6</v>
      </c>
      <c r="G21">
        <v>2.5499999999999998</v>
      </c>
    </row>
    <row r="22" spans="1:7" x14ac:dyDescent="0.3">
      <c r="A22">
        <v>2019</v>
      </c>
      <c r="B22" t="s">
        <v>7</v>
      </c>
      <c r="C22" t="s">
        <v>17</v>
      </c>
      <c r="D22" t="s">
        <v>15</v>
      </c>
      <c r="E22">
        <v>28.32</v>
      </c>
      <c r="F22">
        <v>148.6</v>
      </c>
      <c r="G22">
        <v>2.63</v>
      </c>
    </row>
    <row r="23" spans="1:7" x14ac:dyDescent="0.3">
      <c r="A23">
        <v>2019</v>
      </c>
      <c r="B23" t="s">
        <v>18</v>
      </c>
      <c r="C23" t="s">
        <v>8</v>
      </c>
      <c r="D23" t="s">
        <v>9</v>
      </c>
      <c r="E23">
        <v>100</v>
      </c>
      <c r="F23">
        <v>135.80000000000001</v>
      </c>
      <c r="G23">
        <v>2.2999999999999998</v>
      </c>
    </row>
    <row r="24" spans="1:7" x14ac:dyDescent="0.3">
      <c r="A24">
        <v>2019</v>
      </c>
      <c r="B24" t="s">
        <v>18</v>
      </c>
      <c r="C24" t="s">
        <v>8</v>
      </c>
      <c r="D24" t="s">
        <v>10</v>
      </c>
      <c r="E24">
        <v>45.86</v>
      </c>
      <c r="F24">
        <v>137.80000000000001</v>
      </c>
      <c r="G24">
        <v>2.38</v>
      </c>
    </row>
    <row r="25" spans="1:7" x14ac:dyDescent="0.3">
      <c r="A25">
        <v>2019</v>
      </c>
      <c r="B25" t="s">
        <v>18</v>
      </c>
      <c r="C25" t="s">
        <v>8</v>
      </c>
      <c r="D25" t="s">
        <v>11</v>
      </c>
      <c r="E25">
        <v>2.38</v>
      </c>
      <c r="F25">
        <v>139.80000000000001</v>
      </c>
      <c r="G25">
        <v>2.46</v>
      </c>
    </row>
    <row r="26" spans="1:7" x14ac:dyDescent="0.3">
      <c r="A26">
        <v>2019</v>
      </c>
      <c r="B26" t="s">
        <v>18</v>
      </c>
      <c r="C26" t="s">
        <v>8</v>
      </c>
      <c r="D26" t="s">
        <v>12</v>
      </c>
      <c r="E26">
        <v>6.53</v>
      </c>
      <c r="F26">
        <v>141.80000000000001</v>
      </c>
      <c r="G26">
        <v>2.54</v>
      </c>
    </row>
    <row r="27" spans="1:7" x14ac:dyDescent="0.3">
      <c r="A27">
        <v>2019</v>
      </c>
      <c r="B27" t="s">
        <v>18</v>
      </c>
      <c r="C27" t="s">
        <v>8</v>
      </c>
      <c r="D27" t="s">
        <v>13</v>
      </c>
      <c r="E27">
        <v>10.07</v>
      </c>
      <c r="F27">
        <v>143.80000000000001</v>
      </c>
      <c r="G27">
        <v>2.62</v>
      </c>
    </row>
    <row r="28" spans="1:7" x14ac:dyDescent="0.3">
      <c r="A28">
        <v>2019</v>
      </c>
      <c r="B28" t="s">
        <v>18</v>
      </c>
      <c r="C28" t="s">
        <v>8</v>
      </c>
      <c r="D28" t="s">
        <v>14</v>
      </c>
      <c r="E28">
        <v>6.84</v>
      </c>
      <c r="F28">
        <v>145.80000000000001</v>
      </c>
      <c r="G28">
        <v>2.7</v>
      </c>
    </row>
    <row r="29" spans="1:7" x14ac:dyDescent="0.3">
      <c r="A29">
        <v>2019</v>
      </c>
      <c r="B29" t="s">
        <v>18</v>
      </c>
      <c r="C29" t="s">
        <v>8</v>
      </c>
      <c r="D29" t="s">
        <v>15</v>
      </c>
      <c r="E29">
        <v>28.32</v>
      </c>
      <c r="F29">
        <v>147.80000000000001</v>
      </c>
      <c r="G29">
        <v>2.78</v>
      </c>
    </row>
    <row r="30" spans="1:7" x14ac:dyDescent="0.3">
      <c r="A30">
        <v>2019</v>
      </c>
      <c r="B30" t="s">
        <v>18</v>
      </c>
      <c r="C30" t="s">
        <v>16</v>
      </c>
      <c r="D30" t="s">
        <v>9</v>
      </c>
      <c r="E30">
        <v>100</v>
      </c>
      <c r="F30">
        <v>136.4</v>
      </c>
      <c r="G30">
        <v>2.2999999999999998</v>
      </c>
    </row>
    <row r="31" spans="1:7" x14ac:dyDescent="0.3">
      <c r="A31">
        <v>2019</v>
      </c>
      <c r="B31" t="s">
        <v>18</v>
      </c>
      <c r="C31" t="s">
        <v>16</v>
      </c>
      <c r="D31" t="s">
        <v>10</v>
      </c>
      <c r="E31">
        <v>45.86</v>
      </c>
      <c r="F31">
        <v>138.4</v>
      </c>
      <c r="G31">
        <v>2.38</v>
      </c>
    </row>
    <row r="32" spans="1:7" x14ac:dyDescent="0.3">
      <c r="A32">
        <v>2019</v>
      </c>
      <c r="B32" t="s">
        <v>18</v>
      </c>
      <c r="C32" t="s">
        <v>16</v>
      </c>
      <c r="D32" t="s">
        <v>11</v>
      </c>
      <c r="E32">
        <v>2.38</v>
      </c>
      <c r="F32">
        <v>140.4</v>
      </c>
      <c r="G32">
        <v>2.46</v>
      </c>
    </row>
    <row r="33" spans="1:7" x14ac:dyDescent="0.3">
      <c r="A33">
        <v>2019</v>
      </c>
      <c r="B33" t="s">
        <v>18</v>
      </c>
      <c r="C33" t="s">
        <v>16</v>
      </c>
      <c r="D33" t="s">
        <v>12</v>
      </c>
      <c r="E33">
        <v>6.53</v>
      </c>
      <c r="F33">
        <v>142.4</v>
      </c>
      <c r="G33">
        <v>2.54</v>
      </c>
    </row>
    <row r="34" spans="1:7" x14ac:dyDescent="0.3">
      <c r="A34">
        <v>2019</v>
      </c>
      <c r="B34" t="s">
        <v>18</v>
      </c>
      <c r="C34" t="s">
        <v>16</v>
      </c>
      <c r="D34" t="s">
        <v>13</v>
      </c>
      <c r="E34">
        <v>10.07</v>
      </c>
      <c r="F34">
        <v>144.4</v>
      </c>
      <c r="G34">
        <v>2.62</v>
      </c>
    </row>
    <row r="35" spans="1:7" x14ac:dyDescent="0.3">
      <c r="A35">
        <v>2019</v>
      </c>
      <c r="B35" t="s">
        <v>18</v>
      </c>
      <c r="C35" t="s">
        <v>16</v>
      </c>
      <c r="D35" t="s">
        <v>14</v>
      </c>
      <c r="E35">
        <v>6.84</v>
      </c>
      <c r="F35">
        <v>146.4</v>
      </c>
      <c r="G35">
        <v>2.7</v>
      </c>
    </row>
    <row r="36" spans="1:7" x14ac:dyDescent="0.3">
      <c r="A36">
        <v>2019</v>
      </c>
      <c r="B36" t="s">
        <v>18</v>
      </c>
      <c r="C36" t="s">
        <v>16</v>
      </c>
      <c r="D36" t="s">
        <v>15</v>
      </c>
      <c r="E36">
        <v>28.32</v>
      </c>
      <c r="F36">
        <v>148.4</v>
      </c>
      <c r="G36">
        <v>2.78</v>
      </c>
    </row>
    <row r="37" spans="1:7" x14ac:dyDescent="0.3">
      <c r="A37">
        <v>2019</v>
      </c>
      <c r="B37" t="s">
        <v>18</v>
      </c>
      <c r="C37" t="s">
        <v>17</v>
      </c>
      <c r="D37" t="s">
        <v>9</v>
      </c>
      <c r="E37">
        <v>100</v>
      </c>
      <c r="F37">
        <v>137</v>
      </c>
      <c r="G37">
        <v>2.2999999999999998</v>
      </c>
    </row>
    <row r="38" spans="1:7" x14ac:dyDescent="0.3">
      <c r="A38">
        <v>2019</v>
      </c>
      <c r="B38" t="s">
        <v>18</v>
      </c>
      <c r="C38" t="s">
        <v>17</v>
      </c>
      <c r="D38" t="s">
        <v>10</v>
      </c>
      <c r="E38">
        <v>45.86</v>
      </c>
      <c r="F38">
        <v>139</v>
      </c>
      <c r="G38">
        <v>2.38</v>
      </c>
    </row>
    <row r="39" spans="1:7" x14ac:dyDescent="0.3">
      <c r="A39">
        <v>2019</v>
      </c>
      <c r="B39" t="s">
        <v>18</v>
      </c>
      <c r="C39" t="s">
        <v>17</v>
      </c>
      <c r="D39" t="s">
        <v>11</v>
      </c>
      <c r="E39">
        <v>2.38</v>
      </c>
      <c r="F39">
        <v>141</v>
      </c>
      <c r="G39">
        <v>2.46</v>
      </c>
    </row>
    <row r="40" spans="1:7" x14ac:dyDescent="0.3">
      <c r="A40">
        <v>2019</v>
      </c>
      <c r="B40" t="s">
        <v>18</v>
      </c>
      <c r="C40" t="s">
        <v>17</v>
      </c>
      <c r="D40" t="s">
        <v>12</v>
      </c>
      <c r="E40">
        <v>6.53</v>
      </c>
      <c r="F40">
        <v>143</v>
      </c>
      <c r="G40">
        <v>2.54</v>
      </c>
    </row>
    <row r="41" spans="1:7" x14ac:dyDescent="0.3">
      <c r="A41">
        <v>2019</v>
      </c>
      <c r="B41" t="s">
        <v>18</v>
      </c>
      <c r="C41" t="s">
        <v>17</v>
      </c>
      <c r="D41" t="s">
        <v>13</v>
      </c>
      <c r="E41">
        <v>10.07</v>
      </c>
      <c r="F41">
        <v>145</v>
      </c>
      <c r="G41">
        <v>2.62</v>
      </c>
    </row>
    <row r="42" spans="1:7" x14ac:dyDescent="0.3">
      <c r="A42">
        <v>2019</v>
      </c>
      <c r="B42" t="s">
        <v>18</v>
      </c>
      <c r="C42" t="s">
        <v>17</v>
      </c>
      <c r="D42" t="s">
        <v>14</v>
      </c>
      <c r="E42">
        <v>6.84</v>
      </c>
      <c r="F42">
        <v>147</v>
      </c>
      <c r="G42">
        <v>2.7</v>
      </c>
    </row>
    <row r="43" spans="1:7" x14ac:dyDescent="0.3">
      <c r="A43">
        <v>2019</v>
      </c>
      <c r="B43" t="s">
        <v>18</v>
      </c>
      <c r="C43" t="s">
        <v>17</v>
      </c>
      <c r="D43" t="s">
        <v>15</v>
      </c>
      <c r="E43">
        <v>28.32</v>
      </c>
      <c r="F43">
        <v>149</v>
      </c>
      <c r="G43">
        <v>2.78</v>
      </c>
    </row>
    <row r="44" spans="1:7" x14ac:dyDescent="0.3">
      <c r="A44">
        <v>2019</v>
      </c>
      <c r="B44" t="s">
        <v>19</v>
      </c>
      <c r="C44" t="s">
        <v>8</v>
      </c>
      <c r="D44" t="s">
        <v>9</v>
      </c>
      <c r="E44">
        <v>100</v>
      </c>
      <c r="F44">
        <v>136.19999999999999</v>
      </c>
      <c r="G44">
        <v>2.4500000000000002</v>
      </c>
    </row>
    <row r="45" spans="1:7" x14ac:dyDescent="0.3">
      <c r="A45">
        <v>2019</v>
      </c>
      <c r="B45" t="s">
        <v>19</v>
      </c>
      <c r="C45" t="s">
        <v>8</v>
      </c>
      <c r="D45" t="s">
        <v>10</v>
      </c>
      <c r="E45">
        <v>45.86</v>
      </c>
      <c r="F45">
        <v>138.19999999999999</v>
      </c>
      <c r="G45">
        <v>2.5299999999999998</v>
      </c>
    </row>
    <row r="46" spans="1:7" x14ac:dyDescent="0.3">
      <c r="A46">
        <v>2019</v>
      </c>
      <c r="B46" t="s">
        <v>19</v>
      </c>
      <c r="C46" t="s">
        <v>8</v>
      </c>
      <c r="D46" t="s">
        <v>11</v>
      </c>
      <c r="E46">
        <v>2.38</v>
      </c>
      <c r="F46">
        <v>140.19999999999999</v>
      </c>
      <c r="G46">
        <v>2.61</v>
      </c>
    </row>
    <row r="47" spans="1:7" x14ac:dyDescent="0.3">
      <c r="A47">
        <v>2019</v>
      </c>
      <c r="B47" t="s">
        <v>19</v>
      </c>
      <c r="C47" t="s">
        <v>8</v>
      </c>
      <c r="D47" t="s">
        <v>12</v>
      </c>
      <c r="E47">
        <v>6.53</v>
      </c>
      <c r="F47">
        <v>142.19999999999999</v>
      </c>
      <c r="G47">
        <v>2.69</v>
      </c>
    </row>
    <row r="48" spans="1:7" x14ac:dyDescent="0.3">
      <c r="A48">
        <v>2019</v>
      </c>
      <c r="B48" t="s">
        <v>19</v>
      </c>
      <c r="C48" t="s">
        <v>8</v>
      </c>
      <c r="D48" t="s">
        <v>13</v>
      </c>
      <c r="E48">
        <v>10.07</v>
      </c>
      <c r="F48">
        <v>144.19999999999999</v>
      </c>
      <c r="G48">
        <v>2.77</v>
      </c>
    </row>
    <row r="49" spans="1:7" x14ac:dyDescent="0.3">
      <c r="A49">
        <v>2019</v>
      </c>
      <c r="B49" t="s">
        <v>19</v>
      </c>
      <c r="C49" t="s">
        <v>8</v>
      </c>
      <c r="D49" t="s">
        <v>14</v>
      </c>
      <c r="E49">
        <v>6.84</v>
      </c>
      <c r="F49">
        <v>146.19999999999999</v>
      </c>
      <c r="G49">
        <v>2.85</v>
      </c>
    </row>
    <row r="50" spans="1:7" x14ac:dyDescent="0.3">
      <c r="A50">
        <v>2019</v>
      </c>
      <c r="B50" t="s">
        <v>19</v>
      </c>
      <c r="C50" t="s">
        <v>8</v>
      </c>
      <c r="D50" t="s">
        <v>15</v>
      </c>
      <c r="E50">
        <v>28.32</v>
      </c>
      <c r="F50">
        <v>148.19999999999999</v>
      </c>
      <c r="G50">
        <v>2.93</v>
      </c>
    </row>
    <row r="51" spans="1:7" x14ac:dyDescent="0.3">
      <c r="A51">
        <v>2019</v>
      </c>
      <c r="B51" t="s">
        <v>19</v>
      </c>
      <c r="C51" t="s">
        <v>16</v>
      </c>
      <c r="D51" t="s">
        <v>9</v>
      </c>
      <c r="E51">
        <v>100</v>
      </c>
      <c r="F51">
        <v>136.80000000000001</v>
      </c>
      <c r="G51">
        <v>2.4500000000000002</v>
      </c>
    </row>
    <row r="52" spans="1:7" x14ac:dyDescent="0.3">
      <c r="A52">
        <v>2019</v>
      </c>
      <c r="B52" t="s">
        <v>19</v>
      </c>
      <c r="C52" t="s">
        <v>16</v>
      </c>
      <c r="D52" t="s">
        <v>10</v>
      </c>
      <c r="E52">
        <v>45.86</v>
      </c>
      <c r="F52">
        <v>138.80000000000001</v>
      </c>
      <c r="G52">
        <v>2.5299999999999998</v>
      </c>
    </row>
    <row r="53" spans="1:7" x14ac:dyDescent="0.3">
      <c r="A53">
        <v>2019</v>
      </c>
      <c r="B53" t="s">
        <v>19</v>
      </c>
      <c r="C53" t="s">
        <v>16</v>
      </c>
      <c r="D53" t="s">
        <v>11</v>
      </c>
      <c r="E53">
        <v>2.38</v>
      </c>
      <c r="F53">
        <v>140.80000000000001</v>
      </c>
      <c r="G53">
        <v>2.61</v>
      </c>
    </row>
    <row r="54" spans="1:7" x14ac:dyDescent="0.3">
      <c r="A54">
        <v>2019</v>
      </c>
      <c r="B54" t="s">
        <v>19</v>
      </c>
      <c r="C54" t="s">
        <v>16</v>
      </c>
      <c r="D54" t="s">
        <v>12</v>
      </c>
      <c r="E54">
        <v>6.53</v>
      </c>
      <c r="F54">
        <v>142.80000000000001</v>
      </c>
      <c r="G54">
        <v>2.69</v>
      </c>
    </row>
    <row r="55" spans="1:7" x14ac:dyDescent="0.3">
      <c r="A55">
        <v>2019</v>
      </c>
      <c r="B55" t="s">
        <v>19</v>
      </c>
      <c r="C55" t="s">
        <v>16</v>
      </c>
      <c r="D55" t="s">
        <v>13</v>
      </c>
      <c r="E55">
        <v>10.07</v>
      </c>
      <c r="F55">
        <v>144.80000000000001</v>
      </c>
      <c r="G55">
        <v>2.77</v>
      </c>
    </row>
    <row r="56" spans="1:7" x14ac:dyDescent="0.3">
      <c r="A56">
        <v>2019</v>
      </c>
      <c r="B56" t="s">
        <v>19</v>
      </c>
      <c r="C56" t="s">
        <v>16</v>
      </c>
      <c r="D56" t="s">
        <v>14</v>
      </c>
      <c r="E56">
        <v>6.84</v>
      </c>
      <c r="F56">
        <v>146.80000000000001</v>
      </c>
      <c r="G56">
        <v>2.85</v>
      </c>
    </row>
    <row r="57" spans="1:7" x14ac:dyDescent="0.3">
      <c r="A57">
        <v>2019</v>
      </c>
      <c r="B57" t="s">
        <v>19</v>
      </c>
      <c r="C57" t="s">
        <v>16</v>
      </c>
      <c r="D57" t="s">
        <v>15</v>
      </c>
      <c r="E57">
        <v>28.32</v>
      </c>
      <c r="F57">
        <v>148.80000000000001</v>
      </c>
      <c r="G57">
        <v>2.93</v>
      </c>
    </row>
    <row r="58" spans="1:7" x14ac:dyDescent="0.3">
      <c r="A58">
        <v>2019</v>
      </c>
      <c r="B58" t="s">
        <v>19</v>
      </c>
      <c r="C58" t="s">
        <v>17</v>
      </c>
      <c r="D58" t="s">
        <v>9</v>
      </c>
      <c r="E58">
        <v>100</v>
      </c>
      <c r="F58">
        <v>137.4</v>
      </c>
      <c r="G58">
        <v>2.4500000000000002</v>
      </c>
    </row>
    <row r="59" spans="1:7" x14ac:dyDescent="0.3">
      <c r="A59">
        <v>2019</v>
      </c>
      <c r="B59" t="s">
        <v>19</v>
      </c>
      <c r="C59" t="s">
        <v>17</v>
      </c>
      <c r="D59" t="s">
        <v>10</v>
      </c>
      <c r="E59">
        <v>45.86</v>
      </c>
      <c r="F59">
        <v>139.4</v>
      </c>
      <c r="G59">
        <v>2.5299999999999998</v>
      </c>
    </row>
    <row r="60" spans="1:7" x14ac:dyDescent="0.3">
      <c r="A60">
        <v>2019</v>
      </c>
      <c r="B60" t="s">
        <v>19</v>
      </c>
      <c r="C60" t="s">
        <v>17</v>
      </c>
      <c r="D60" t="s">
        <v>11</v>
      </c>
      <c r="E60">
        <v>2.38</v>
      </c>
      <c r="F60">
        <v>141.4</v>
      </c>
      <c r="G60">
        <v>2.61</v>
      </c>
    </row>
    <row r="61" spans="1:7" x14ac:dyDescent="0.3">
      <c r="A61">
        <v>2019</v>
      </c>
      <c r="B61" t="s">
        <v>19</v>
      </c>
      <c r="C61" t="s">
        <v>17</v>
      </c>
      <c r="D61" t="s">
        <v>12</v>
      </c>
      <c r="E61">
        <v>6.53</v>
      </c>
      <c r="F61">
        <v>143.4</v>
      </c>
      <c r="G61">
        <v>2.69</v>
      </c>
    </row>
    <row r="62" spans="1:7" x14ac:dyDescent="0.3">
      <c r="A62">
        <v>2019</v>
      </c>
      <c r="B62" t="s">
        <v>19</v>
      </c>
      <c r="C62" t="s">
        <v>17</v>
      </c>
      <c r="D62" t="s">
        <v>13</v>
      </c>
      <c r="E62">
        <v>10.07</v>
      </c>
      <c r="F62">
        <v>145.4</v>
      </c>
      <c r="G62">
        <v>2.77</v>
      </c>
    </row>
    <row r="63" spans="1:7" x14ac:dyDescent="0.3">
      <c r="A63">
        <v>2019</v>
      </c>
      <c r="B63" t="s">
        <v>19</v>
      </c>
      <c r="C63" t="s">
        <v>17</v>
      </c>
      <c r="D63" t="s">
        <v>14</v>
      </c>
      <c r="E63">
        <v>6.84</v>
      </c>
      <c r="F63">
        <v>147.4</v>
      </c>
      <c r="G63">
        <v>2.85</v>
      </c>
    </row>
    <row r="64" spans="1:7" x14ac:dyDescent="0.3">
      <c r="A64">
        <v>2019</v>
      </c>
      <c r="B64" t="s">
        <v>19</v>
      </c>
      <c r="C64" t="s">
        <v>17</v>
      </c>
      <c r="D64" t="s">
        <v>15</v>
      </c>
      <c r="E64">
        <v>28.32</v>
      </c>
      <c r="F64">
        <v>149.4</v>
      </c>
      <c r="G64">
        <v>2.93</v>
      </c>
    </row>
    <row r="65" spans="1:7" x14ac:dyDescent="0.3">
      <c r="A65">
        <v>2019</v>
      </c>
      <c r="B65" t="s">
        <v>20</v>
      </c>
      <c r="C65" t="s">
        <v>8</v>
      </c>
      <c r="D65" t="s">
        <v>9</v>
      </c>
      <c r="E65">
        <v>100</v>
      </c>
      <c r="F65">
        <v>136.6</v>
      </c>
      <c r="G65">
        <v>2.6</v>
      </c>
    </row>
    <row r="66" spans="1:7" x14ac:dyDescent="0.3">
      <c r="A66">
        <v>2019</v>
      </c>
      <c r="B66" t="s">
        <v>20</v>
      </c>
      <c r="C66" t="s">
        <v>8</v>
      </c>
      <c r="D66" t="s">
        <v>10</v>
      </c>
      <c r="E66">
        <v>45.86</v>
      </c>
      <c r="F66">
        <v>138.6</v>
      </c>
      <c r="G66">
        <v>2.68</v>
      </c>
    </row>
    <row r="67" spans="1:7" x14ac:dyDescent="0.3">
      <c r="A67">
        <v>2019</v>
      </c>
      <c r="B67" t="s">
        <v>20</v>
      </c>
      <c r="C67" t="s">
        <v>8</v>
      </c>
      <c r="D67" t="s">
        <v>11</v>
      </c>
      <c r="E67">
        <v>2.38</v>
      </c>
      <c r="F67">
        <v>140.6</v>
      </c>
      <c r="G67">
        <v>2.76</v>
      </c>
    </row>
    <row r="68" spans="1:7" x14ac:dyDescent="0.3">
      <c r="A68">
        <v>2019</v>
      </c>
      <c r="B68" t="s">
        <v>20</v>
      </c>
      <c r="C68" t="s">
        <v>8</v>
      </c>
      <c r="D68" t="s">
        <v>12</v>
      </c>
      <c r="E68">
        <v>6.53</v>
      </c>
      <c r="F68">
        <v>142.6</v>
      </c>
      <c r="G68">
        <v>2.84</v>
      </c>
    </row>
    <row r="69" spans="1:7" x14ac:dyDescent="0.3">
      <c r="A69">
        <v>2019</v>
      </c>
      <c r="B69" t="s">
        <v>20</v>
      </c>
      <c r="C69" t="s">
        <v>8</v>
      </c>
      <c r="D69" t="s">
        <v>13</v>
      </c>
      <c r="E69">
        <v>10.07</v>
      </c>
      <c r="F69">
        <v>144.6</v>
      </c>
      <c r="G69">
        <v>2.92</v>
      </c>
    </row>
    <row r="70" spans="1:7" x14ac:dyDescent="0.3">
      <c r="A70">
        <v>2019</v>
      </c>
      <c r="B70" t="s">
        <v>20</v>
      </c>
      <c r="C70" t="s">
        <v>8</v>
      </c>
      <c r="D70" t="s">
        <v>14</v>
      </c>
      <c r="E70">
        <v>6.84</v>
      </c>
      <c r="F70">
        <v>146.6</v>
      </c>
      <c r="G70">
        <v>3</v>
      </c>
    </row>
    <row r="71" spans="1:7" x14ac:dyDescent="0.3">
      <c r="A71">
        <v>2019</v>
      </c>
      <c r="B71" t="s">
        <v>20</v>
      </c>
      <c r="C71" t="s">
        <v>8</v>
      </c>
      <c r="D71" t="s">
        <v>15</v>
      </c>
      <c r="E71">
        <v>28.32</v>
      </c>
      <c r="F71">
        <v>148.6</v>
      </c>
      <c r="G71">
        <v>3.08</v>
      </c>
    </row>
    <row r="72" spans="1:7" x14ac:dyDescent="0.3">
      <c r="A72">
        <v>2019</v>
      </c>
      <c r="B72" t="s">
        <v>20</v>
      </c>
      <c r="C72" t="s">
        <v>16</v>
      </c>
      <c r="D72" t="s">
        <v>9</v>
      </c>
      <c r="E72">
        <v>100</v>
      </c>
      <c r="F72">
        <v>137.19999999999999</v>
      </c>
      <c r="G72">
        <v>2.6</v>
      </c>
    </row>
    <row r="73" spans="1:7" x14ac:dyDescent="0.3">
      <c r="A73">
        <v>2019</v>
      </c>
      <c r="B73" t="s">
        <v>20</v>
      </c>
      <c r="C73" t="s">
        <v>16</v>
      </c>
      <c r="D73" t="s">
        <v>10</v>
      </c>
      <c r="E73">
        <v>45.86</v>
      </c>
      <c r="F73">
        <v>139.19999999999999</v>
      </c>
      <c r="G73">
        <v>2.68</v>
      </c>
    </row>
    <row r="74" spans="1:7" x14ac:dyDescent="0.3">
      <c r="A74">
        <v>2019</v>
      </c>
      <c r="B74" t="s">
        <v>20</v>
      </c>
      <c r="C74" t="s">
        <v>16</v>
      </c>
      <c r="D74" t="s">
        <v>11</v>
      </c>
      <c r="E74">
        <v>2.38</v>
      </c>
      <c r="F74">
        <v>141.19999999999999</v>
      </c>
      <c r="G74">
        <v>2.76</v>
      </c>
    </row>
    <row r="75" spans="1:7" x14ac:dyDescent="0.3">
      <c r="A75">
        <v>2019</v>
      </c>
      <c r="B75" t="s">
        <v>20</v>
      </c>
      <c r="C75" t="s">
        <v>16</v>
      </c>
      <c r="D75" t="s">
        <v>12</v>
      </c>
      <c r="E75">
        <v>6.53</v>
      </c>
      <c r="F75">
        <v>143.19999999999999</v>
      </c>
      <c r="G75">
        <v>2.84</v>
      </c>
    </row>
    <row r="76" spans="1:7" x14ac:dyDescent="0.3">
      <c r="A76">
        <v>2019</v>
      </c>
      <c r="B76" t="s">
        <v>20</v>
      </c>
      <c r="C76" t="s">
        <v>16</v>
      </c>
      <c r="D76" t="s">
        <v>13</v>
      </c>
      <c r="E76">
        <v>10.07</v>
      </c>
      <c r="F76">
        <v>145.19999999999999</v>
      </c>
      <c r="G76">
        <v>2.92</v>
      </c>
    </row>
    <row r="77" spans="1:7" x14ac:dyDescent="0.3">
      <c r="A77">
        <v>2019</v>
      </c>
      <c r="B77" t="s">
        <v>20</v>
      </c>
      <c r="C77" t="s">
        <v>16</v>
      </c>
      <c r="D77" t="s">
        <v>14</v>
      </c>
      <c r="E77">
        <v>6.84</v>
      </c>
      <c r="F77">
        <v>147.19999999999999</v>
      </c>
      <c r="G77">
        <v>3</v>
      </c>
    </row>
    <row r="78" spans="1:7" x14ac:dyDescent="0.3">
      <c r="A78">
        <v>2019</v>
      </c>
      <c r="B78" t="s">
        <v>20</v>
      </c>
      <c r="C78" t="s">
        <v>16</v>
      </c>
      <c r="D78" t="s">
        <v>15</v>
      </c>
      <c r="E78">
        <v>28.32</v>
      </c>
      <c r="F78">
        <v>149.19999999999999</v>
      </c>
      <c r="G78">
        <v>3.08</v>
      </c>
    </row>
    <row r="79" spans="1:7" x14ac:dyDescent="0.3">
      <c r="A79">
        <v>2019</v>
      </c>
      <c r="B79" t="s">
        <v>20</v>
      </c>
      <c r="C79" t="s">
        <v>17</v>
      </c>
      <c r="D79" t="s">
        <v>9</v>
      </c>
      <c r="E79">
        <v>100</v>
      </c>
      <c r="F79">
        <v>137.80000000000001</v>
      </c>
      <c r="G79">
        <v>2.6</v>
      </c>
    </row>
    <row r="80" spans="1:7" x14ac:dyDescent="0.3">
      <c r="A80">
        <v>2019</v>
      </c>
      <c r="B80" t="s">
        <v>20</v>
      </c>
      <c r="C80" t="s">
        <v>17</v>
      </c>
      <c r="D80" t="s">
        <v>10</v>
      </c>
      <c r="E80">
        <v>45.86</v>
      </c>
      <c r="F80">
        <v>139.80000000000001</v>
      </c>
      <c r="G80">
        <v>2.68</v>
      </c>
    </row>
    <row r="81" spans="1:7" x14ac:dyDescent="0.3">
      <c r="A81">
        <v>2019</v>
      </c>
      <c r="B81" t="s">
        <v>20</v>
      </c>
      <c r="C81" t="s">
        <v>17</v>
      </c>
      <c r="D81" t="s">
        <v>11</v>
      </c>
      <c r="E81">
        <v>2.38</v>
      </c>
      <c r="F81">
        <v>141.80000000000001</v>
      </c>
      <c r="G81">
        <v>2.76</v>
      </c>
    </row>
    <row r="82" spans="1:7" x14ac:dyDescent="0.3">
      <c r="A82">
        <v>2019</v>
      </c>
      <c r="B82" t="s">
        <v>20</v>
      </c>
      <c r="C82" t="s">
        <v>17</v>
      </c>
      <c r="D82" t="s">
        <v>12</v>
      </c>
      <c r="E82">
        <v>6.53</v>
      </c>
      <c r="F82">
        <v>143.80000000000001</v>
      </c>
      <c r="G82">
        <v>2.84</v>
      </c>
    </row>
    <row r="83" spans="1:7" x14ac:dyDescent="0.3">
      <c r="A83">
        <v>2019</v>
      </c>
      <c r="B83" t="s">
        <v>20</v>
      </c>
      <c r="C83" t="s">
        <v>17</v>
      </c>
      <c r="D83" t="s">
        <v>13</v>
      </c>
      <c r="E83">
        <v>10.07</v>
      </c>
      <c r="F83">
        <v>145.80000000000001</v>
      </c>
      <c r="G83">
        <v>2.92</v>
      </c>
    </row>
    <row r="84" spans="1:7" x14ac:dyDescent="0.3">
      <c r="A84">
        <v>2019</v>
      </c>
      <c r="B84" t="s">
        <v>20</v>
      </c>
      <c r="C84" t="s">
        <v>17</v>
      </c>
      <c r="D84" t="s">
        <v>14</v>
      </c>
      <c r="E84">
        <v>6.84</v>
      </c>
      <c r="F84">
        <v>147.80000000000001</v>
      </c>
      <c r="G84">
        <v>3</v>
      </c>
    </row>
    <row r="85" spans="1:7" x14ac:dyDescent="0.3">
      <c r="A85">
        <v>2019</v>
      </c>
      <c r="B85" t="s">
        <v>20</v>
      </c>
      <c r="C85" t="s">
        <v>17</v>
      </c>
      <c r="D85" t="s">
        <v>15</v>
      </c>
      <c r="E85">
        <v>28.32</v>
      </c>
      <c r="F85">
        <v>149.80000000000001</v>
      </c>
      <c r="G85">
        <v>3.08</v>
      </c>
    </row>
    <row r="86" spans="1:7" x14ac:dyDescent="0.3">
      <c r="A86">
        <v>2019</v>
      </c>
      <c r="B86" t="s">
        <v>21</v>
      </c>
      <c r="C86" t="s">
        <v>8</v>
      </c>
      <c r="D86" t="s">
        <v>9</v>
      </c>
      <c r="E86">
        <v>100</v>
      </c>
      <c r="F86">
        <v>137</v>
      </c>
      <c r="G86">
        <v>2.75</v>
      </c>
    </row>
    <row r="87" spans="1:7" x14ac:dyDescent="0.3">
      <c r="A87">
        <v>2019</v>
      </c>
      <c r="B87" t="s">
        <v>21</v>
      </c>
      <c r="C87" t="s">
        <v>8</v>
      </c>
      <c r="D87" t="s">
        <v>10</v>
      </c>
      <c r="E87">
        <v>45.86</v>
      </c>
      <c r="F87">
        <v>139</v>
      </c>
      <c r="G87">
        <v>2.83</v>
      </c>
    </row>
    <row r="88" spans="1:7" x14ac:dyDescent="0.3">
      <c r="A88">
        <v>2019</v>
      </c>
      <c r="B88" t="s">
        <v>21</v>
      </c>
      <c r="C88" t="s">
        <v>8</v>
      </c>
      <c r="D88" t="s">
        <v>11</v>
      </c>
      <c r="E88">
        <v>2.38</v>
      </c>
      <c r="F88">
        <v>141</v>
      </c>
      <c r="G88">
        <v>2.91</v>
      </c>
    </row>
    <row r="89" spans="1:7" x14ac:dyDescent="0.3">
      <c r="A89">
        <v>2019</v>
      </c>
      <c r="B89" t="s">
        <v>21</v>
      </c>
      <c r="C89" t="s">
        <v>8</v>
      </c>
      <c r="D89" t="s">
        <v>12</v>
      </c>
      <c r="E89">
        <v>6.53</v>
      </c>
      <c r="F89">
        <v>143</v>
      </c>
      <c r="G89">
        <v>2.99</v>
      </c>
    </row>
    <row r="90" spans="1:7" x14ac:dyDescent="0.3">
      <c r="A90">
        <v>2019</v>
      </c>
      <c r="B90" t="s">
        <v>21</v>
      </c>
      <c r="C90" t="s">
        <v>8</v>
      </c>
      <c r="D90" t="s">
        <v>13</v>
      </c>
      <c r="E90">
        <v>10.07</v>
      </c>
      <c r="F90">
        <v>145</v>
      </c>
      <c r="G90">
        <v>3.07</v>
      </c>
    </row>
    <row r="91" spans="1:7" x14ac:dyDescent="0.3">
      <c r="A91">
        <v>2019</v>
      </c>
      <c r="B91" t="s">
        <v>21</v>
      </c>
      <c r="C91" t="s">
        <v>8</v>
      </c>
      <c r="D91" t="s">
        <v>14</v>
      </c>
      <c r="E91">
        <v>6.84</v>
      </c>
      <c r="F91">
        <v>147</v>
      </c>
      <c r="G91">
        <v>3.15</v>
      </c>
    </row>
    <row r="92" spans="1:7" x14ac:dyDescent="0.3">
      <c r="A92">
        <v>2019</v>
      </c>
      <c r="B92" t="s">
        <v>21</v>
      </c>
      <c r="C92" t="s">
        <v>8</v>
      </c>
      <c r="D92" t="s">
        <v>15</v>
      </c>
      <c r="E92">
        <v>28.32</v>
      </c>
      <c r="F92">
        <v>149</v>
      </c>
      <c r="G92">
        <v>3.23</v>
      </c>
    </row>
    <row r="93" spans="1:7" x14ac:dyDescent="0.3">
      <c r="A93">
        <v>2019</v>
      </c>
      <c r="B93" t="s">
        <v>21</v>
      </c>
      <c r="C93" t="s">
        <v>16</v>
      </c>
      <c r="D93" t="s">
        <v>9</v>
      </c>
      <c r="E93">
        <v>100</v>
      </c>
      <c r="F93">
        <v>137.6</v>
      </c>
      <c r="G93">
        <v>2.75</v>
      </c>
    </row>
    <row r="94" spans="1:7" x14ac:dyDescent="0.3">
      <c r="A94">
        <v>2019</v>
      </c>
      <c r="B94" t="s">
        <v>21</v>
      </c>
      <c r="C94" t="s">
        <v>16</v>
      </c>
      <c r="D94" t="s">
        <v>10</v>
      </c>
      <c r="E94">
        <v>45.86</v>
      </c>
      <c r="F94">
        <v>139.6</v>
      </c>
      <c r="G94">
        <v>2.83</v>
      </c>
    </row>
    <row r="95" spans="1:7" x14ac:dyDescent="0.3">
      <c r="A95">
        <v>2019</v>
      </c>
      <c r="B95" t="s">
        <v>21</v>
      </c>
      <c r="C95" t="s">
        <v>16</v>
      </c>
      <c r="D95" t="s">
        <v>11</v>
      </c>
      <c r="E95">
        <v>2.38</v>
      </c>
      <c r="F95">
        <v>141.6</v>
      </c>
      <c r="G95">
        <v>2.91</v>
      </c>
    </row>
    <row r="96" spans="1:7" x14ac:dyDescent="0.3">
      <c r="A96">
        <v>2019</v>
      </c>
      <c r="B96" t="s">
        <v>21</v>
      </c>
      <c r="C96" t="s">
        <v>16</v>
      </c>
      <c r="D96" t="s">
        <v>12</v>
      </c>
      <c r="E96">
        <v>6.53</v>
      </c>
      <c r="F96">
        <v>143.6</v>
      </c>
      <c r="G96">
        <v>2.99</v>
      </c>
    </row>
    <row r="97" spans="1:7" x14ac:dyDescent="0.3">
      <c r="A97">
        <v>2019</v>
      </c>
      <c r="B97" t="s">
        <v>21</v>
      </c>
      <c r="C97" t="s">
        <v>16</v>
      </c>
      <c r="D97" t="s">
        <v>13</v>
      </c>
      <c r="E97">
        <v>10.07</v>
      </c>
      <c r="F97">
        <v>145.6</v>
      </c>
      <c r="G97">
        <v>3.07</v>
      </c>
    </row>
    <row r="98" spans="1:7" x14ac:dyDescent="0.3">
      <c r="A98">
        <v>2019</v>
      </c>
      <c r="B98" t="s">
        <v>21</v>
      </c>
      <c r="C98" t="s">
        <v>16</v>
      </c>
      <c r="D98" t="s">
        <v>14</v>
      </c>
      <c r="E98">
        <v>6.84</v>
      </c>
      <c r="F98">
        <v>147.6</v>
      </c>
      <c r="G98">
        <v>3.15</v>
      </c>
    </row>
    <row r="99" spans="1:7" x14ac:dyDescent="0.3">
      <c r="A99">
        <v>2019</v>
      </c>
      <c r="B99" t="s">
        <v>21</v>
      </c>
      <c r="C99" t="s">
        <v>16</v>
      </c>
      <c r="D99" t="s">
        <v>15</v>
      </c>
      <c r="E99">
        <v>28.32</v>
      </c>
      <c r="F99">
        <v>149.6</v>
      </c>
      <c r="G99">
        <v>3.23</v>
      </c>
    </row>
    <row r="100" spans="1:7" x14ac:dyDescent="0.3">
      <c r="A100">
        <v>2019</v>
      </c>
      <c r="B100" t="s">
        <v>21</v>
      </c>
      <c r="C100" t="s">
        <v>17</v>
      </c>
      <c r="D100" t="s">
        <v>9</v>
      </c>
      <c r="E100">
        <v>100</v>
      </c>
      <c r="F100">
        <v>138.19999999999999</v>
      </c>
      <c r="G100">
        <v>2.75</v>
      </c>
    </row>
    <row r="101" spans="1:7" x14ac:dyDescent="0.3">
      <c r="A101">
        <v>2019</v>
      </c>
      <c r="B101" t="s">
        <v>21</v>
      </c>
      <c r="C101" t="s">
        <v>17</v>
      </c>
      <c r="D101" t="s">
        <v>10</v>
      </c>
      <c r="E101">
        <v>45.86</v>
      </c>
      <c r="F101">
        <v>140.19999999999999</v>
      </c>
      <c r="G101">
        <v>2.83</v>
      </c>
    </row>
    <row r="102" spans="1:7" x14ac:dyDescent="0.3">
      <c r="A102">
        <v>2019</v>
      </c>
      <c r="B102" t="s">
        <v>21</v>
      </c>
      <c r="C102" t="s">
        <v>17</v>
      </c>
      <c r="D102" t="s">
        <v>11</v>
      </c>
      <c r="E102">
        <v>2.38</v>
      </c>
      <c r="F102">
        <v>142.19999999999999</v>
      </c>
      <c r="G102">
        <v>2.91</v>
      </c>
    </row>
    <row r="103" spans="1:7" x14ac:dyDescent="0.3">
      <c r="A103">
        <v>2019</v>
      </c>
      <c r="B103" t="s">
        <v>21</v>
      </c>
      <c r="C103" t="s">
        <v>17</v>
      </c>
      <c r="D103" t="s">
        <v>12</v>
      </c>
      <c r="E103">
        <v>6.53</v>
      </c>
      <c r="F103">
        <v>144.19999999999999</v>
      </c>
      <c r="G103">
        <v>2.99</v>
      </c>
    </row>
    <row r="104" spans="1:7" x14ac:dyDescent="0.3">
      <c r="A104">
        <v>2019</v>
      </c>
      <c r="B104" t="s">
        <v>21</v>
      </c>
      <c r="C104" t="s">
        <v>17</v>
      </c>
      <c r="D104" t="s">
        <v>13</v>
      </c>
      <c r="E104">
        <v>10.07</v>
      </c>
      <c r="F104">
        <v>146.19999999999999</v>
      </c>
      <c r="G104">
        <v>3.07</v>
      </c>
    </row>
    <row r="105" spans="1:7" x14ac:dyDescent="0.3">
      <c r="A105">
        <v>2019</v>
      </c>
      <c r="B105" t="s">
        <v>21</v>
      </c>
      <c r="C105" t="s">
        <v>17</v>
      </c>
      <c r="D105" t="s">
        <v>14</v>
      </c>
      <c r="E105">
        <v>6.84</v>
      </c>
      <c r="F105">
        <v>148.19999999999999</v>
      </c>
      <c r="G105">
        <v>3.15</v>
      </c>
    </row>
    <row r="106" spans="1:7" x14ac:dyDescent="0.3">
      <c r="A106">
        <v>2019</v>
      </c>
      <c r="B106" t="s">
        <v>21</v>
      </c>
      <c r="C106" t="s">
        <v>17</v>
      </c>
      <c r="D106" t="s">
        <v>15</v>
      </c>
      <c r="E106">
        <v>28.32</v>
      </c>
      <c r="F106">
        <v>150.19999999999999</v>
      </c>
      <c r="G106">
        <v>3.23</v>
      </c>
    </row>
    <row r="107" spans="1:7" x14ac:dyDescent="0.3">
      <c r="A107">
        <v>2019</v>
      </c>
      <c r="B107" t="s">
        <v>22</v>
      </c>
      <c r="C107" t="s">
        <v>8</v>
      </c>
      <c r="D107" t="s">
        <v>9</v>
      </c>
      <c r="E107">
        <v>100</v>
      </c>
      <c r="F107">
        <v>137.4</v>
      </c>
      <c r="G107">
        <v>2</v>
      </c>
    </row>
    <row r="108" spans="1:7" x14ac:dyDescent="0.3">
      <c r="A108">
        <v>2019</v>
      </c>
      <c r="B108" t="s">
        <v>22</v>
      </c>
      <c r="C108" t="s">
        <v>8</v>
      </c>
      <c r="D108" t="s">
        <v>10</v>
      </c>
      <c r="E108">
        <v>45.86</v>
      </c>
      <c r="F108">
        <v>139.4</v>
      </c>
      <c r="G108">
        <v>2.08</v>
      </c>
    </row>
    <row r="109" spans="1:7" x14ac:dyDescent="0.3">
      <c r="A109">
        <v>2019</v>
      </c>
      <c r="B109" t="s">
        <v>22</v>
      </c>
      <c r="C109" t="s">
        <v>8</v>
      </c>
      <c r="D109" t="s">
        <v>11</v>
      </c>
      <c r="E109">
        <v>2.38</v>
      </c>
      <c r="F109">
        <v>141.4</v>
      </c>
      <c r="G109">
        <v>2.16</v>
      </c>
    </row>
    <row r="110" spans="1:7" x14ac:dyDescent="0.3">
      <c r="A110">
        <v>2019</v>
      </c>
      <c r="B110" t="s">
        <v>22</v>
      </c>
      <c r="C110" t="s">
        <v>8</v>
      </c>
      <c r="D110" t="s">
        <v>12</v>
      </c>
      <c r="E110">
        <v>6.53</v>
      </c>
      <c r="F110">
        <v>143.4</v>
      </c>
      <c r="G110">
        <v>2.2400000000000002</v>
      </c>
    </row>
    <row r="111" spans="1:7" x14ac:dyDescent="0.3">
      <c r="A111">
        <v>2019</v>
      </c>
      <c r="B111" t="s">
        <v>22</v>
      </c>
      <c r="C111" t="s">
        <v>8</v>
      </c>
      <c r="D111" t="s">
        <v>13</v>
      </c>
      <c r="E111">
        <v>10.07</v>
      </c>
      <c r="F111">
        <v>145.4</v>
      </c>
      <c r="G111">
        <v>2.3199999999999998</v>
      </c>
    </row>
    <row r="112" spans="1:7" x14ac:dyDescent="0.3">
      <c r="A112">
        <v>2019</v>
      </c>
      <c r="B112" t="s">
        <v>22</v>
      </c>
      <c r="C112" t="s">
        <v>8</v>
      </c>
      <c r="D112" t="s">
        <v>14</v>
      </c>
      <c r="E112">
        <v>6.84</v>
      </c>
      <c r="F112">
        <v>147.4</v>
      </c>
      <c r="G112">
        <v>2.4</v>
      </c>
    </row>
    <row r="113" spans="1:7" x14ac:dyDescent="0.3">
      <c r="A113">
        <v>2019</v>
      </c>
      <c r="B113" t="s">
        <v>22</v>
      </c>
      <c r="C113" t="s">
        <v>8</v>
      </c>
      <c r="D113" t="s">
        <v>15</v>
      </c>
      <c r="E113">
        <v>28.32</v>
      </c>
      <c r="F113">
        <v>149.4</v>
      </c>
      <c r="G113">
        <v>2.48</v>
      </c>
    </row>
    <row r="114" spans="1:7" x14ac:dyDescent="0.3">
      <c r="A114">
        <v>2019</v>
      </c>
      <c r="B114" t="s">
        <v>22</v>
      </c>
      <c r="C114" t="s">
        <v>16</v>
      </c>
      <c r="D114" t="s">
        <v>9</v>
      </c>
      <c r="E114">
        <v>100</v>
      </c>
      <c r="F114">
        <v>138</v>
      </c>
      <c r="G114">
        <v>2</v>
      </c>
    </row>
    <row r="115" spans="1:7" x14ac:dyDescent="0.3">
      <c r="A115">
        <v>2019</v>
      </c>
      <c r="B115" t="s">
        <v>22</v>
      </c>
      <c r="C115" t="s">
        <v>16</v>
      </c>
      <c r="D115" t="s">
        <v>10</v>
      </c>
      <c r="E115">
        <v>45.86</v>
      </c>
      <c r="F115">
        <v>140</v>
      </c>
      <c r="G115">
        <v>2.08</v>
      </c>
    </row>
    <row r="116" spans="1:7" x14ac:dyDescent="0.3">
      <c r="A116">
        <v>2019</v>
      </c>
      <c r="B116" t="s">
        <v>22</v>
      </c>
      <c r="C116" t="s">
        <v>16</v>
      </c>
      <c r="D116" t="s">
        <v>11</v>
      </c>
      <c r="E116">
        <v>2.38</v>
      </c>
      <c r="F116">
        <v>142</v>
      </c>
      <c r="G116">
        <v>2.16</v>
      </c>
    </row>
    <row r="117" spans="1:7" x14ac:dyDescent="0.3">
      <c r="A117">
        <v>2019</v>
      </c>
      <c r="B117" t="s">
        <v>22</v>
      </c>
      <c r="C117" t="s">
        <v>16</v>
      </c>
      <c r="D117" t="s">
        <v>12</v>
      </c>
      <c r="E117">
        <v>6.53</v>
      </c>
      <c r="F117">
        <v>144</v>
      </c>
      <c r="G117">
        <v>2.2400000000000002</v>
      </c>
    </row>
    <row r="118" spans="1:7" x14ac:dyDescent="0.3">
      <c r="A118">
        <v>2019</v>
      </c>
      <c r="B118" t="s">
        <v>22</v>
      </c>
      <c r="C118" t="s">
        <v>16</v>
      </c>
      <c r="D118" t="s">
        <v>13</v>
      </c>
      <c r="E118">
        <v>10.07</v>
      </c>
      <c r="F118">
        <v>146</v>
      </c>
      <c r="G118">
        <v>2.3199999999999998</v>
      </c>
    </row>
    <row r="119" spans="1:7" x14ac:dyDescent="0.3">
      <c r="A119">
        <v>2019</v>
      </c>
      <c r="B119" t="s">
        <v>22</v>
      </c>
      <c r="C119" t="s">
        <v>16</v>
      </c>
      <c r="D119" t="s">
        <v>14</v>
      </c>
      <c r="E119">
        <v>6.84</v>
      </c>
      <c r="F119">
        <v>148</v>
      </c>
      <c r="G119">
        <v>2.4</v>
      </c>
    </row>
    <row r="120" spans="1:7" x14ac:dyDescent="0.3">
      <c r="A120">
        <v>2019</v>
      </c>
      <c r="B120" t="s">
        <v>22</v>
      </c>
      <c r="C120" t="s">
        <v>16</v>
      </c>
      <c r="D120" t="s">
        <v>15</v>
      </c>
      <c r="E120">
        <v>28.32</v>
      </c>
      <c r="F120">
        <v>150</v>
      </c>
      <c r="G120">
        <v>2.48</v>
      </c>
    </row>
    <row r="121" spans="1:7" x14ac:dyDescent="0.3">
      <c r="A121">
        <v>2019</v>
      </c>
      <c r="B121" t="s">
        <v>22</v>
      </c>
      <c r="C121" t="s">
        <v>17</v>
      </c>
      <c r="D121" t="s">
        <v>9</v>
      </c>
      <c r="E121">
        <v>100</v>
      </c>
      <c r="F121">
        <v>138.6</v>
      </c>
      <c r="G121">
        <v>2</v>
      </c>
    </row>
    <row r="122" spans="1:7" x14ac:dyDescent="0.3">
      <c r="A122">
        <v>2019</v>
      </c>
      <c r="B122" t="s">
        <v>22</v>
      </c>
      <c r="C122" t="s">
        <v>17</v>
      </c>
      <c r="D122" t="s">
        <v>10</v>
      </c>
      <c r="E122">
        <v>45.86</v>
      </c>
      <c r="F122">
        <v>140.6</v>
      </c>
      <c r="G122">
        <v>2.08</v>
      </c>
    </row>
    <row r="123" spans="1:7" x14ac:dyDescent="0.3">
      <c r="A123">
        <v>2019</v>
      </c>
      <c r="B123" t="s">
        <v>22</v>
      </c>
      <c r="C123" t="s">
        <v>17</v>
      </c>
      <c r="D123" t="s">
        <v>11</v>
      </c>
      <c r="E123">
        <v>2.38</v>
      </c>
      <c r="F123">
        <v>142.6</v>
      </c>
      <c r="G123">
        <v>2.16</v>
      </c>
    </row>
    <row r="124" spans="1:7" x14ac:dyDescent="0.3">
      <c r="A124">
        <v>2019</v>
      </c>
      <c r="B124" t="s">
        <v>22</v>
      </c>
      <c r="C124" t="s">
        <v>17</v>
      </c>
      <c r="D124" t="s">
        <v>12</v>
      </c>
      <c r="E124">
        <v>6.53</v>
      </c>
      <c r="F124">
        <v>144.6</v>
      </c>
      <c r="G124">
        <v>2.2400000000000002</v>
      </c>
    </row>
    <row r="125" spans="1:7" x14ac:dyDescent="0.3">
      <c r="A125">
        <v>2019</v>
      </c>
      <c r="B125" t="s">
        <v>22</v>
      </c>
      <c r="C125" t="s">
        <v>17</v>
      </c>
      <c r="D125" t="s">
        <v>13</v>
      </c>
      <c r="E125">
        <v>10.07</v>
      </c>
      <c r="F125">
        <v>146.6</v>
      </c>
      <c r="G125">
        <v>2.3199999999999998</v>
      </c>
    </row>
    <row r="126" spans="1:7" x14ac:dyDescent="0.3">
      <c r="A126">
        <v>2019</v>
      </c>
      <c r="B126" t="s">
        <v>22</v>
      </c>
      <c r="C126" t="s">
        <v>17</v>
      </c>
      <c r="D126" t="s">
        <v>14</v>
      </c>
      <c r="E126">
        <v>6.84</v>
      </c>
      <c r="F126">
        <v>148.6</v>
      </c>
      <c r="G126">
        <v>2.4</v>
      </c>
    </row>
    <row r="127" spans="1:7" x14ac:dyDescent="0.3">
      <c r="A127">
        <v>2019</v>
      </c>
      <c r="B127" t="s">
        <v>22</v>
      </c>
      <c r="C127" t="s">
        <v>17</v>
      </c>
      <c r="D127" t="s">
        <v>15</v>
      </c>
      <c r="E127">
        <v>28.32</v>
      </c>
      <c r="F127">
        <v>150.6</v>
      </c>
      <c r="G127">
        <v>2.48</v>
      </c>
    </row>
    <row r="128" spans="1:7" x14ac:dyDescent="0.3">
      <c r="A128">
        <v>2019</v>
      </c>
      <c r="B128" t="s">
        <v>23</v>
      </c>
      <c r="C128" t="s">
        <v>8</v>
      </c>
      <c r="D128" t="s">
        <v>9</v>
      </c>
      <c r="E128">
        <v>100</v>
      </c>
      <c r="F128">
        <v>137.80000000000001</v>
      </c>
      <c r="G128">
        <v>2.15</v>
      </c>
    </row>
    <row r="129" spans="1:7" x14ac:dyDescent="0.3">
      <c r="A129">
        <v>2019</v>
      </c>
      <c r="B129" t="s">
        <v>23</v>
      </c>
      <c r="C129" t="s">
        <v>8</v>
      </c>
      <c r="D129" t="s">
        <v>10</v>
      </c>
      <c r="E129">
        <v>45.86</v>
      </c>
      <c r="F129">
        <v>139.80000000000001</v>
      </c>
      <c r="G129">
        <v>2.23</v>
      </c>
    </row>
    <row r="130" spans="1:7" x14ac:dyDescent="0.3">
      <c r="A130">
        <v>2019</v>
      </c>
      <c r="B130" t="s">
        <v>23</v>
      </c>
      <c r="C130" t="s">
        <v>8</v>
      </c>
      <c r="D130" t="s">
        <v>11</v>
      </c>
      <c r="E130">
        <v>2.38</v>
      </c>
      <c r="F130">
        <v>141.80000000000001</v>
      </c>
      <c r="G130">
        <v>2.31</v>
      </c>
    </row>
    <row r="131" spans="1:7" x14ac:dyDescent="0.3">
      <c r="A131">
        <v>2019</v>
      </c>
      <c r="B131" t="s">
        <v>23</v>
      </c>
      <c r="C131" t="s">
        <v>8</v>
      </c>
      <c r="D131" t="s">
        <v>12</v>
      </c>
      <c r="E131">
        <v>6.53</v>
      </c>
      <c r="F131">
        <v>143.80000000000001</v>
      </c>
      <c r="G131">
        <v>2.39</v>
      </c>
    </row>
    <row r="132" spans="1:7" x14ac:dyDescent="0.3">
      <c r="A132">
        <v>2019</v>
      </c>
      <c r="B132" t="s">
        <v>23</v>
      </c>
      <c r="C132" t="s">
        <v>8</v>
      </c>
      <c r="D132" t="s">
        <v>13</v>
      </c>
      <c r="E132">
        <v>10.07</v>
      </c>
      <c r="F132">
        <v>145.80000000000001</v>
      </c>
      <c r="G132">
        <v>2.4700000000000002</v>
      </c>
    </row>
    <row r="133" spans="1:7" x14ac:dyDescent="0.3">
      <c r="A133">
        <v>2019</v>
      </c>
      <c r="B133" t="s">
        <v>23</v>
      </c>
      <c r="C133" t="s">
        <v>8</v>
      </c>
      <c r="D133" t="s">
        <v>14</v>
      </c>
      <c r="E133">
        <v>6.84</v>
      </c>
      <c r="F133">
        <v>147.80000000000001</v>
      </c>
      <c r="G133">
        <v>2.5499999999999998</v>
      </c>
    </row>
    <row r="134" spans="1:7" x14ac:dyDescent="0.3">
      <c r="A134">
        <v>2019</v>
      </c>
      <c r="B134" t="s">
        <v>23</v>
      </c>
      <c r="C134" t="s">
        <v>8</v>
      </c>
      <c r="D134" t="s">
        <v>15</v>
      </c>
      <c r="E134">
        <v>28.32</v>
      </c>
      <c r="F134">
        <v>149.80000000000001</v>
      </c>
      <c r="G134">
        <v>2.63</v>
      </c>
    </row>
    <row r="135" spans="1:7" x14ac:dyDescent="0.3">
      <c r="A135">
        <v>2019</v>
      </c>
      <c r="B135" t="s">
        <v>23</v>
      </c>
      <c r="C135" t="s">
        <v>16</v>
      </c>
      <c r="D135" t="s">
        <v>9</v>
      </c>
      <c r="E135">
        <v>100</v>
      </c>
      <c r="F135">
        <v>138.4</v>
      </c>
      <c r="G135">
        <v>2.15</v>
      </c>
    </row>
    <row r="136" spans="1:7" x14ac:dyDescent="0.3">
      <c r="A136">
        <v>2019</v>
      </c>
      <c r="B136" t="s">
        <v>23</v>
      </c>
      <c r="C136" t="s">
        <v>16</v>
      </c>
      <c r="D136" t="s">
        <v>10</v>
      </c>
      <c r="E136">
        <v>45.86</v>
      </c>
      <c r="F136">
        <v>140.4</v>
      </c>
      <c r="G136">
        <v>2.23</v>
      </c>
    </row>
    <row r="137" spans="1:7" x14ac:dyDescent="0.3">
      <c r="A137">
        <v>2019</v>
      </c>
      <c r="B137" t="s">
        <v>23</v>
      </c>
      <c r="C137" t="s">
        <v>16</v>
      </c>
      <c r="D137" t="s">
        <v>11</v>
      </c>
      <c r="E137">
        <v>2.38</v>
      </c>
      <c r="F137">
        <v>142.4</v>
      </c>
      <c r="G137">
        <v>2.31</v>
      </c>
    </row>
    <row r="138" spans="1:7" x14ac:dyDescent="0.3">
      <c r="A138">
        <v>2019</v>
      </c>
      <c r="B138" t="s">
        <v>23</v>
      </c>
      <c r="C138" t="s">
        <v>16</v>
      </c>
      <c r="D138" t="s">
        <v>12</v>
      </c>
      <c r="E138">
        <v>6.53</v>
      </c>
      <c r="F138">
        <v>144.4</v>
      </c>
      <c r="G138">
        <v>2.39</v>
      </c>
    </row>
    <row r="139" spans="1:7" x14ac:dyDescent="0.3">
      <c r="A139">
        <v>2019</v>
      </c>
      <c r="B139" t="s">
        <v>23</v>
      </c>
      <c r="C139" t="s">
        <v>16</v>
      </c>
      <c r="D139" t="s">
        <v>13</v>
      </c>
      <c r="E139">
        <v>10.07</v>
      </c>
      <c r="F139">
        <v>146.4</v>
      </c>
      <c r="G139">
        <v>2.4700000000000002</v>
      </c>
    </row>
    <row r="140" spans="1:7" x14ac:dyDescent="0.3">
      <c r="A140">
        <v>2019</v>
      </c>
      <c r="B140" t="s">
        <v>23</v>
      </c>
      <c r="C140" t="s">
        <v>16</v>
      </c>
      <c r="D140" t="s">
        <v>14</v>
      </c>
      <c r="E140">
        <v>6.84</v>
      </c>
      <c r="F140">
        <v>148.4</v>
      </c>
      <c r="G140">
        <v>2.5499999999999998</v>
      </c>
    </row>
    <row r="141" spans="1:7" x14ac:dyDescent="0.3">
      <c r="A141">
        <v>2019</v>
      </c>
      <c r="B141" t="s">
        <v>23</v>
      </c>
      <c r="C141" t="s">
        <v>16</v>
      </c>
      <c r="D141" t="s">
        <v>15</v>
      </c>
      <c r="E141">
        <v>28.32</v>
      </c>
      <c r="F141">
        <v>150.4</v>
      </c>
      <c r="G141">
        <v>2.63</v>
      </c>
    </row>
    <row r="142" spans="1:7" x14ac:dyDescent="0.3">
      <c r="A142">
        <v>2019</v>
      </c>
      <c r="B142" t="s">
        <v>23</v>
      </c>
      <c r="C142" t="s">
        <v>17</v>
      </c>
      <c r="D142" t="s">
        <v>9</v>
      </c>
      <c r="E142">
        <v>100</v>
      </c>
      <c r="F142">
        <v>139</v>
      </c>
      <c r="G142">
        <v>2.15</v>
      </c>
    </row>
    <row r="143" spans="1:7" x14ac:dyDescent="0.3">
      <c r="A143">
        <v>2019</v>
      </c>
      <c r="B143" t="s">
        <v>23</v>
      </c>
      <c r="C143" t="s">
        <v>17</v>
      </c>
      <c r="D143" t="s">
        <v>10</v>
      </c>
      <c r="E143">
        <v>45.86</v>
      </c>
      <c r="F143">
        <v>141</v>
      </c>
      <c r="G143">
        <v>2.23</v>
      </c>
    </row>
    <row r="144" spans="1:7" x14ac:dyDescent="0.3">
      <c r="A144">
        <v>2019</v>
      </c>
      <c r="B144" t="s">
        <v>23</v>
      </c>
      <c r="C144" t="s">
        <v>17</v>
      </c>
      <c r="D144" t="s">
        <v>11</v>
      </c>
      <c r="E144">
        <v>2.38</v>
      </c>
      <c r="F144">
        <v>143</v>
      </c>
      <c r="G144">
        <v>2.31</v>
      </c>
    </row>
    <row r="145" spans="1:7" x14ac:dyDescent="0.3">
      <c r="A145">
        <v>2019</v>
      </c>
      <c r="B145" t="s">
        <v>23</v>
      </c>
      <c r="C145" t="s">
        <v>17</v>
      </c>
      <c r="D145" t="s">
        <v>12</v>
      </c>
      <c r="E145">
        <v>6.53</v>
      </c>
      <c r="F145">
        <v>145</v>
      </c>
      <c r="G145">
        <v>2.39</v>
      </c>
    </row>
    <row r="146" spans="1:7" x14ac:dyDescent="0.3">
      <c r="A146">
        <v>2019</v>
      </c>
      <c r="B146" t="s">
        <v>23</v>
      </c>
      <c r="C146" t="s">
        <v>17</v>
      </c>
      <c r="D146" t="s">
        <v>13</v>
      </c>
      <c r="E146">
        <v>10.07</v>
      </c>
      <c r="F146">
        <v>147</v>
      </c>
      <c r="G146">
        <v>2.4700000000000002</v>
      </c>
    </row>
    <row r="147" spans="1:7" x14ac:dyDescent="0.3">
      <c r="A147">
        <v>2019</v>
      </c>
      <c r="B147" t="s">
        <v>23</v>
      </c>
      <c r="C147" t="s">
        <v>17</v>
      </c>
      <c r="D147" t="s">
        <v>14</v>
      </c>
      <c r="E147">
        <v>6.84</v>
      </c>
      <c r="F147">
        <v>149</v>
      </c>
      <c r="G147">
        <v>2.5499999999999998</v>
      </c>
    </row>
    <row r="148" spans="1:7" x14ac:dyDescent="0.3">
      <c r="A148">
        <v>2019</v>
      </c>
      <c r="B148" t="s">
        <v>23</v>
      </c>
      <c r="C148" t="s">
        <v>17</v>
      </c>
      <c r="D148" t="s">
        <v>15</v>
      </c>
      <c r="E148">
        <v>28.32</v>
      </c>
      <c r="F148">
        <v>151</v>
      </c>
      <c r="G148">
        <v>2.63</v>
      </c>
    </row>
    <row r="149" spans="1:7" x14ac:dyDescent="0.3">
      <c r="A149">
        <v>2019</v>
      </c>
      <c r="B149" t="s">
        <v>24</v>
      </c>
      <c r="C149" t="s">
        <v>8</v>
      </c>
      <c r="D149" t="s">
        <v>9</v>
      </c>
      <c r="E149">
        <v>100</v>
      </c>
      <c r="F149">
        <v>138.19999999999999</v>
      </c>
      <c r="G149">
        <v>2.2999999999999998</v>
      </c>
    </row>
    <row r="150" spans="1:7" x14ac:dyDescent="0.3">
      <c r="A150">
        <v>2019</v>
      </c>
      <c r="B150" t="s">
        <v>24</v>
      </c>
      <c r="C150" t="s">
        <v>8</v>
      </c>
      <c r="D150" t="s">
        <v>10</v>
      </c>
      <c r="E150">
        <v>45.86</v>
      </c>
      <c r="F150">
        <v>140.19999999999999</v>
      </c>
      <c r="G150">
        <v>2.38</v>
      </c>
    </row>
    <row r="151" spans="1:7" x14ac:dyDescent="0.3">
      <c r="A151">
        <v>2019</v>
      </c>
      <c r="B151" t="s">
        <v>24</v>
      </c>
      <c r="C151" t="s">
        <v>8</v>
      </c>
      <c r="D151" t="s">
        <v>11</v>
      </c>
      <c r="E151">
        <v>2.38</v>
      </c>
      <c r="F151">
        <v>142.19999999999999</v>
      </c>
      <c r="G151">
        <v>2.46</v>
      </c>
    </row>
    <row r="152" spans="1:7" x14ac:dyDescent="0.3">
      <c r="A152">
        <v>2019</v>
      </c>
      <c r="B152" t="s">
        <v>24</v>
      </c>
      <c r="C152" t="s">
        <v>8</v>
      </c>
      <c r="D152" t="s">
        <v>12</v>
      </c>
      <c r="E152">
        <v>6.53</v>
      </c>
      <c r="F152">
        <v>144.19999999999999</v>
      </c>
      <c r="G152">
        <v>2.54</v>
      </c>
    </row>
    <row r="153" spans="1:7" x14ac:dyDescent="0.3">
      <c r="A153">
        <v>2019</v>
      </c>
      <c r="B153" t="s">
        <v>24</v>
      </c>
      <c r="C153" t="s">
        <v>8</v>
      </c>
      <c r="D153" t="s">
        <v>13</v>
      </c>
      <c r="E153">
        <v>10.07</v>
      </c>
      <c r="F153">
        <v>146.19999999999999</v>
      </c>
      <c r="G153">
        <v>2.62</v>
      </c>
    </row>
    <row r="154" spans="1:7" x14ac:dyDescent="0.3">
      <c r="A154">
        <v>2019</v>
      </c>
      <c r="B154" t="s">
        <v>24</v>
      </c>
      <c r="C154" t="s">
        <v>8</v>
      </c>
      <c r="D154" t="s">
        <v>14</v>
      </c>
      <c r="E154">
        <v>6.84</v>
      </c>
      <c r="F154">
        <v>148.19999999999999</v>
      </c>
      <c r="G154">
        <v>2.7</v>
      </c>
    </row>
    <row r="155" spans="1:7" x14ac:dyDescent="0.3">
      <c r="A155">
        <v>2019</v>
      </c>
      <c r="B155" t="s">
        <v>24</v>
      </c>
      <c r="C155" t="s">
        <v>8</v>
      </c>
      <c r="D155" t="s">
        <v>15</v>
      </c>
      <c r="E155">
        <v>28.32</v>
      </c>
      <c r="F155">
        <v>150.19999999999999</v>
      </c>
      <c r="G155">
        <v>2.78</v>
      </c>
    </row>
    <row r="156" spans="1:7" x14ac:dyDescent="0.3">
      <c r="A156">
        <v>2019</v>
      </c>
      <c r="B156" t="s">
        <v>24</v>
      </c>
      <c r="C156" t="s">
        <v>16</v>
      </c>
      <c r="D156" t="s">
        <v>9</v>
      </c>
      <c r="E156">
        <v>100</v>
      </c>
      <c r="F156">
        <v>138.80000000000001</v>
      </c>
      <c r="G156">
        <v>2.2999999999999998</v>
      </c>
    </row>
    <row r="157" spans="1:7" x14ac:dyDescent="0.3">
      <c r="A157">
        <v>2019</v>
      </c>
      <c r="B157" t="s">
        <v>24</v>
      </c>
      <c r="C157" t="s">
        <v>16</v>
      </c>
      <c r="D157" t="s">
        <v>10</v>
      </c>
      <c r="E157">
        <v>45.86</v>
      </c>
      <c r="F157">
        <v>140.80000000000001</v>
      </c>
      <c r="G157">
        <v>2.38</v>
      </c>
    </row>
    <row r="158" spans="1:7" x14ac:dyDescent="0.3">
      <c r="A158">
        <v>2019</v>
      </c>
      <c r="B158" t="s">
        <v>24</v>
      </c>
      <c r="C158" t="s">
        <v>16</v>
      </c>
      <c r="D158" t="s">
        <v>11</v>
      </c>
      <c r="E158">
        <v>2.38</v>
      </c>
      <c r="F158">
        <v>142.80000000000001</v>
      </c>
      <c r="G158">
        <v>2.46</v>
      </c>
    </row>
    <row r="159" spans="1:7" x14ac:dyDescent="0.3">
      <c r="A159">
        <v>2019</v>
      </c>
      <c r="B159" t="s">
        <v>24</v>
      </c>
      <c r="C159" t="s">
        <v>16</v>
      </c>
      <c r="D159" t="s">
        <v>12</v>
      </c>
      <c r="E159">
        <v>6.53</v>
      </c>
      <c r="F159">
        <v>144.80000000000001</v>
      </c>
      <c r="G159">
        <v>2.54</v>
      </c>
    </row>
    <row r="160" spans="1:7" x14ac:dyDescent="0.3">
      <c r="A160">
        <v>2019</v>
      </c>
      <c r="B160" t="s">
        <v>24</v>
      </c>
      <c r="C160" t="s">
        <v>16</v>
      </c>
      <c r="D160" t="s">
        <v>13</v>
      </c>
      <c r="E160">
        <v>10.07</v>
      </c>
      <c r="F160">
        <v>146.80000000000001</v>
      </c>
      <c r="G160">
        <v>2.62</v>
      </c>
    </row>
    <row r="161" spans="1:7" x14ac:dyDescent="0.3">
      <c r="A161">
        <v>2019</v>
      </c>
      <c r="B161" t="s">
        <v>24</v>
      </c>
      <c r="C161" t="s">
        <v>16</v>
      </c>
      <c r="D161" t="s">
        <v>14</v>
      </c>
      <c r="E161">
        <v>6.84</v>
      </c>
      <c r="F161">
        <v>148.80000000000001</v>
      </c>
      <c r="G161">
        <v>2.7</v>
      </c>
    </row>
    <row r="162" spans="1:7" x14ac:dyDescent="0.3">
      <c r="A162">
        <v>2019</v>
      </c>
      <c r="B162" t="s">
        <v>24</v>
      </c>
      <c r="C162" t="s">
        <v>16</v>
      </c>
      <c r="D162" t="s">
        <v>15</v>
      </c>
      <c r="E162">
        <v>28.32</v>
      </c>
      <c r="F162">
        <v>150.80000000000001</v>
      </c>
      <c r="G162">
        <v>2.78</v>
      </c>
    </row>
    <row r="163" spans="1:7" x14ac:dyDescent="0.3">
      <c r="A163">
        <v>2019</v>
      </c>
      <c r="B163" t="s">
        <v>24</v>
      </c>
      <c r="C163" t="s">
        <v>17</v>
      </c>
      <c r="D163" t="s">
        <v>9</v>
      </c>
      <c r="E163">
        <v>100</v>
      </c>
      <c r="F163">
        <v>139.4</v>
      </c>
      <c r="G163">
        <v>2.2999999999999998</v>
      </c>
    </row>
    <row r="164" spans="1:7" x14ac:dyDescent="0.3">
      <c r="A164">
        <v>2019</v>
      </c>
      <c r="B164" t="s">
        <v>24</v>
      </c>
      <c r="C164" t="s">
        <v>17</v>
      </c>
      <c r="D164" t="s">
        <v>10</v>
      </c>
      <c r="E164">
        <v>45.86</v>
      </c>
      <c r="F164">
        <v>141.4</v>
      </c>
      <c r="G164">
        <v>2.38</v>
      </c>
    </row>
    <row r="165" spans="1:7" x14ac:dyDescent="0.3">
      <c r="A165">
        <v>2019</v>
      </c>
      <c r="B165" t="s">
        <v>24</v>
      </c>
      <c r="C165" t="s">
        <v>17</v>
      </c>
      <c r="D165" t="s">
        <v>11</v>
      </c>
      <c r="E165">
        <v>2.38</v>
      </c>
      <c r="F165">
        <v>143.4</v>
      </c>
      <c r="G165">
        <v>2.46</v>
      </c>
    </row>
    <row r="166" spans="1:7" x14ac:dyDescent="0.3">
      <c r="A166">
        <v>2019</v>
      </c>
      <c r="B166" t="s">
        <v>24</v>
      </c>
      <c r="C166" t="s">
        <v>17</v>
      </c>
      <c r="D166" t="s">
        <v>12</v>
      </c>
      <c r="E166">
        <v>6.53</v>
      </c>
      <c r="F166">
        <v>145.4</v>
      </c>
      <c r="G166">
        <v>2.54</v>
      </c>
    </row>
    <row r="167" spans="1:7" x14ac:dyDescent="0.3">
      <c r="A167">
        <v>2019</v>
      </c>
      <c r="B167" t="s">
        <v>24</v>
      </c>
      <c r="C167" t="s">
        <v>17</v>
      </c>
      <c r="D167" t="s">
        <v>13</v>
      </c>
      <c r="E167">
        <v>10.07</v>
      </c>
      <c r="F167">
        <v>147.4</v>
      </c>
      <c r="G167">
        <v>2.62</v>
      </c>
    </row>
    <row r="168" spans="1:7" x14ac:dyDescent="0.3">
      <c r="A168">
        <v>2019</v>
      </c>
      <c r="B168" t="s">
        <v>24</v>
      </c>
      <c r="C168" t="s">
        <v>17</v>
      </c>
      <c r="D168" t="s">
        <v>14</v>
      </c>
      <c r="E168">
        <v>6.84</v>
      </c>
      <c r="F168">
        <v>149.4</v>
      </c>
      <c r="G168">
        <v>2.7</v>
      </c>
    </row>
    <row r="169" spans="1:7" x14ac:dyDescent="0.3">
      <c r="A169">
        <v>2019</v>
      </c>
      <c r="B169" t="s">
        <v>24</v>
      </c>
      <c r="C169" t="s">
        <v>17</v>
      </c>
      <c r="D169" t="s">
        <v>15</v>
      </c>
      <c r="E169">
        <v>28.32</v>
      </c>
      <c r="F169">
        <v>151.4</v>
      </c>
      <c r="G169">
        <v>2.78</v>
      </c>
    </row>
    <row r="170" spans="1:7" x14ac:dyDescent="0.3">
      <c r="A170">
        <v>2019</v>
      </c>
      <c r="B170" t="s">
        <v>25</v>
      </c>
      <c r="C170" t="s">
        <v>8</v>
      </c>
      <c r="D170" t="s">
        <v>9</v>
      </c>
      <c r="E170">
        <v>100</v>
      </c>
      <c r="F170">
        <v>138.6</v>
      </c>
      <c r="G170">
        <v>2.4500000000000002</v>
      </c>
    </row>
    <row r="171" spans="1:7" x14ac:dyDescent="0.3">
      <c r="A171">
        <v>2019</v>
      </c>
      <c r="B171" t="s">
        <v>25</v>
      </c>
      <c r="C171" t="s">
        <v>8</v>
      </c>
      <c r="D171" t="s">
        <v>10</v>
      </c>
      <c r="E171">
        <v>45.86</v>
      </c>
      <c r="F171">
        <v>140.6</v>
      </c>
      <c r="G171">
        <v>2.5299999999999998</v>
      </c>
    </row>
    <row r="172" spans="1:7" x14ac:dyDescent="0.3">
      <c r="A172">
        <v>2019</v>
      </c>
      <c r="B172" t="s">
        <v>25</v>
      </c>
      <c r="C172" t="s">
        <v>8</v>
      </c>
      <c r="D172" t="s">
        <v>11</v>
      </c>
      <c r="E172">
        <v>2.38</v>
      </c>
      <c r="F172">
        <v>142.6</v>
      </c>
      <c r="G172">
        <v>2.61</v>
      </c>
    </row>
    <row r="173" spans="1:7" x14ac:dyDescent="0.3">
      <c r="A173">
        <v>2019</v>
      </c>
      <c r="B173" t="s">
        <v>25</v>
      </c>
      <c r="C173" t="s">
        <v>8</v>
      </c>
      <c r="D173" t="s">
        <v>12</v>
      </c>
      <c r="E173">
        <v>6.53</v>
      </c>
      <c r="F173">
        <v>144.6</v>
      </c>
      <c r="G173">
        <v>2.69</v>
      </c>
    </row>
    <row r="174" spans="1:7" x14ac:dyDescent="0.3">
      <c r="A174">
        <v>2019</v>
      </c>
      <c r="B174" t="s">
        <v>25</v>
      </c>
      <c r="C174" t="s">
        <v>8</v>
      </c>
      <c r="D174" t="s">
        <v>13</v>
      </c>
      <c r="E174">
        <v>10.07</v>
      </c>
      <c r="F174">
        <v>146.6</v>
      </c>
      <c r="G174">
        <v>2.77</v>
      </c>
    </row>
    <row r="175" spans="1:7" x14ac:dyDescent="0.3">
      <c r="A175">
        <v>2019</v>
      </c>
      <c r="B175" t="s">
        <v>25</v>
      </c>
      <c r="C175" t="s">
        <v>8</v>
      </c>
      <c r="D175" t="s">
        <v>14</v>
      </c>
      <c r="E175">
        <v>6.84</v>
      </c>
      <c r="F175">
        <v>148.6</v>
      </c>
      <c r="G175">
        <v>2.85</v>
      </c>
    </row>
    <row r="176" spans="1:7" x14ac:dyDescent="0.3">
      <c r="A176">
        <v>2019</v>
      </c>
      <c r="B176" t="s">
        <v>25</v>
      </c>
      <c r="C176" t="s">
        <v>8</v>
      </c>
      <c r="D176" t="s">
        <v>15</v>
      </c>
      <c r="E176">
        <v>28.32</v>
      </c>
      <c r="F176">
        <v>150.6</v>
      </c>
      <c r="G176">
        <v>2.93</v>
      </c>
    </row>
    <row r="177" spans="1:7" x14ac:dyDescent="0.3">
      <c r="A177">
        <v>2019</v>
      </c>
      <c r="B177" t="s">
        <v>25</v>
      </c>
      <c r="C177" t="s">
        <v>16</v>
      </c>
      <c r="D177" t="s">
        <v>9</v>
      </c>
      <c r="E177">
        <v>100</v>
      </c>
      <c r="F177">
        <v>139.19999999999999</v>
      </c>
      <c r="G177">
        <v>2.4500000000000002</v>
      </c>
    </row>
    <row r="178" spans="1:7" x14ac:dyDescent="0.3">
      <c r="A178">
        <v>2019</v>
      </c>
      <c r="B178" t="s">
        <v>25</v>
      </c>
      <c r="C178" t="s">
        <v>16</v>
      </c>
      <c r="D178" t="s">
        <v>10</v>
      </c>
      <c r="E178">
        <v>45.86</v>
      </c>
      <c r="F178">
        <v>141.19999999999999</v>
      </c>
      <c r="G178">
        <v>2.5299999999999998</v>
      </c>
    </row>
    <row r="179" spans="1:7" x14ac:dyDescent="0.3">
      <c r="A179">
        <v>2019</v>
      </c>
      <c r="B179" t="s">
        <v>25</v>
      </c>
      <c r="C179" t="s">
        <v>16</v>
      </c>
      <c r="D179" t="s">
        <v>11</v>
      </c>
      <c r="E179">
        <v>2.38</v>
      </c>
      <c r="F179">
        <v>143.19999999999999</v>
      </c>
      <c r="G179">
        <v>2.61</v>
      </c>
    </row>
    <row r="180" spans="1:7" x14ac:dyDescent="0.3">
      <c r="A180">
        <v>2019</v>
      </c>
      <c r="B180" t="s">
        <v>25</v>
      </c>
      <c r="C180" t="s">
        <v>16</v>
      </c>
      <c r="D180" t="s">
        <v>12</v>
      </c>
      <c r="E180">
        <v>6.53</v>
      </c>
      <c r="F180">
        <v>145.19999999999999</v>
      </c>
      <c r="G180">
        <v>2.69</v>
      </c>
    </row>
    <row r="181" spans="1:7" x14ac:dyDescent="0.3">
      <c r="A181">
        <v>2019</v>
      </c>
      <c r="B181" t="s">
        <v>25</v>
      </c>
      <c r="C181" t="s">
        <v>16</v>
      </c>
      <c r="D181" t="s">
        <v>13</v>
      </c>
      <c r="E181">
        <v>10.07</v>
      </c>
      <c r="F181">
        <v>147.19999999999999</v>
      </c>
      <c r="G181">
        <v>2.77</v>
      </c>
    </row>
    <row r="182" spans="1:7" x14ac:dyDescent="0.3">
      <c r="A182">
        <v>2019</v>
      </c>
      <c r="B182" t="s">
        <v>25</v>
      </c>
      <c r="C182" t="s">
        <v>16</v>
      </c>
      <c r="D182" t="s">
        <v>14</v>
      </c>
      <c r="E182">
        <v>6.84</v>
      </c>
      <c r="F182">
        <v>149.19999999999999</v>
      </c>
      <c r="G182">
        <v>2.85</v>
      </c>
    </row>
    <row r="183" spans="1:7" x14ac:dyDescent="0.3">
      <c r="A183">
        <v>2019</v>
      </c>
      <c r="B183" t="s">
        <v>25</v>
      </c>
      <c r="C183" t="s">
        <v>16</v>
      </c>
      <c r="D183" t="s">
        <v>15</v>
      </c>
      <c r="E183">
        <v>28.32</v>
      </c>
      <c r="F183">
        <v>151.19999999999999</v>
      </c>
      <c r="G183">
        <v>2.93</v>
      </c>
    </row>
    <row r="184" spans="1:7" x14ac:dyDescent="0.3">
      <c r="A184">
        <v>2019</v>
      </c>
      <c r="B184" t="s">
        <v>25</v>
      </c>
      <c r="C184" t="s">
        <v>17</v>
      </c>
      <c r="D184" t="s">
        <v>9</v>
      </c>
      <c r="E184">
        <v>100</v>
      </c>
      <c r="F184">
        <v>139.80000000000001</v>
      </c>
      <c r="G184">
        <v>2.4500000000000002</v>
      </c>
    </row>
    <row r="185" spans="1:7" x14ac:dyDescent="0.3">
      <c r="A185">
        <v>2019</v>
      </c>
      <c r="B185" t="s">
        <v>25</v>
      </c>
      <c r="C185" t="s">
        <v>17</v>
      </c>
      <c r="D185" t="s">
        <v>10</v>
      </c>
      <c r="E185">
        <v>45.86</v>
      </c>
      <c r="F185">
        <v>141.80000000000001</v>
      </c>
      <c r="G185">
        <v>2.5299999999999998</v>
      </c>
    </row>
    <row r="186" spans="1:7" x14ac:dyDescent="0.3">
      <c r="A186">
        <v>2019</v>
      </c>
      <c r="B186" t="s">
        <v>25</v>
      </c>
      <c r="C186" t="s">
        <v>17</v>
      </c>
      <c r="D186" t="s">
        <v>11</v>
      </c>
      <c r="E186">
        <v>2.38</v>
      </c>
      <c r="F186">
        <v>143.80000000000001</v>
      </c>
      <c r="G186">
        <v>2.61</v>
      </c>
    </row>
    <row r="187" spans="1:7" x14ac:dyDescent="0.3">
      <c r="A187">
        <v>2019</v>
      </c>
      <c r="B187" t="s">
        <v>25</v>
      </c>
      <c r="C187" t="s">
        <v>17</v>
      </c>
      <c r="D187" t="s">
        <v>12</v>
      </c>
      <c r="E187">
        <v>6.53</v>
      </c>
      <c r="F187">
        <v>145.80000000000001</v>
      </c>
      <c r="G187">
        <v>2.69</v>
      </c>
    </row>
    <row r="188" spans="1:7" x14ac:dyDescent="0.3">
      <c r="A188">
        <v>2019</v>
      </c>
      <c r="B188" t="s">
        <v>25</v>
      </c>
      <c r="C188" t="s">
        <v>17</v>
      </c>
      <c r="D188" t="s">
        <v>13</v>
      </c>
      <c r="E188">
        <v>10.07</v>
      </c>
      <c r="F188">
        <v>147.80000000000001</v>
      </c>
      <c r="G188">
        <v>2.77</v>
      </c>
    </row>
    <row r="189" spans="1:7" x14ac:dyDescent="0.3">
      <c r="A189">
        <v>2019</v>
      </c>
      <c r="B189" t="s">
        <v>25</v>
      </c>
      <c r="C189" t="s">
        <v>17</v>
      </c>
      <c r="D189" t="s">
        <v>14</v>
      </c>
      <c r="E189">
        <v>6.84</v>
      </c>
      <c r="F189">
        <v>149.80000000000001</v>
      </c>
      <c r="G189">
        <v>2.85</v>
      </c>
    </row>
    <row r="190" spans="1:7" x14ac:dyDescent="0.3">
      <c r="A190">
        <v>2019</v>
      </c>
      <c r="B190" t="s">
        <v>25</v>
      </c>
      <c r="C190" t="s">
        <v>17</v>
      </c>
      <c r="D190" t="s">
        <v>15</v>
      </c>
      <c r="E190">
        <v>28.32</v>
      </c>
      <c r="F190">
        <v>151.80000000000001</v>
      </c>
      <c r="G190">
        <v>2.93</v>
      </c>
    </row>
    <row r="191" spans="1:7" x14ac:dyDescent="0.3">
      <c r="A191">
        <v>2019</v>
      </c>
      <c r="B191" t="s">
        <v>26</v>
      </c>
      <c r="C191" t="s">
        <v>8</v>
      </c>
      <c r="D191" t="s">
        <v>9</v>
      </c>
      <c r="E191">
        <v>100</v>
      </c>
      <c r="F191">
        <v>139</v>
      </c>
      <c r="G191">
        <v>2.6</v>
      </c>
    </row>
    <row r="192" spans="1:7" x14ac:dyDescent="0.3">
      <c r="A192">
        <v>2019</v>
      </c>
      <c r="B192" t="s">
        <v>26</v>
      </c>
      <c r="C192" t="s">
        <v>8</v>
      </c>
      <c r="D192" t="s">
        <v>10</v>
      </c>
      <c r="E192">
        <v>45.86</v>
      </c>
      <c r="F192">
        <v>141</v>
      </c>
      <c r="G192">
        <v>2.68</v>
      </c>
    </row>
    <row r="193" spans="1:7" x14ac:dyDescent="0.3">
      <c r="A193">
        <v>2019</v>
      </c>
      <c r="B193" t="s">
        <v>26</v>
      </c>
      <c r="C193" t="s">
        <v>8</v>
      </c>
      <c r="D193" t="s">
        <v>11</v>
      </c>
      <c r="E193">
        <v>2.38</v>
      </c>
      <c r="F193">
        <v>143</v>
      </c>
      <c r="G193">
        <v>2.76</v>
      </c>
    </row>
    <row r="194" spans="1:7" x14ac:dyDescent="0.3">
      <c r="A194">
        <v>2019</v>
      </c>
      <c r="B194" t="s">
        <v>26</v>
      </c>
      <c r="C194" t="s">
        <v>8</v>
      </c>
      <c r="D194" t="s">
        <v>12</v>
      </c>
      <c r="E194">
        <v>6.53</v>
      </c>
      <c r="F194">
        <v>145</v>
      </c>
      <c r="G194">
        <v>2.84</v>
      </c>
    </row>
    <row r="195" spans="1:7" x14ac:dyDescent="0.3">
      <c r="A195">
        <v>2019</v>
      </c>
      <c r="B195" t="s">
        <v>26</v>
      </c>
      <c r="C195" t="s">
        <v>8</v>
      </c>
      <c r="D195" t="s">
        <v>13</v>
      </c>
      <c r="E195">
        <v>10.07</v>
      </c>
      <c r="F195">
        <v>147</v>
      </c>
      <c r="G195">
        <v>2.92</v>
      </c>
    </row>
    <row r="196" spans="1:7" x14ac:dyDescent="0.3">
      <c r="A196">
        <v>2019</v>
      </c>
      <c r="B196" t="s">
        <v>26</v>
      </c>
      <c r="C196" t="s">
        <v>8</v>
      </c>
      <c r="D196" t="s">
        <v>14</v>
      </c>
      <c r="E196">
        <v>6.84</v>
      </c>
      <c r="F196">
        <v>149</v>
      </c>
      <c r="G196">
        <v>3</v>
      </c>
    </row>
    <row r="197" spans="1:7" x14ac:dyDescent="0.3">
      <c r="A197">
        <v>2019</v>
      </c>
      <c r="B197" t="s">
        <v>26</v>
      </c>
      <c r="C197" t="s">
        <v>8</v>
      </c>
      <c r="D197" t="s">
        <v>15</v>
      </c>
      <c r="E197">
        <v>28.32</v>
      </c>
      <c r="F197">
        <v>151</v>
      </c>
      <c r="G197">
        <v>3.08</v>
      </c>
    </row>
    <row r="198" spans="1:7" x14ac:dyDescent="0.3">
      <c r="A198">
        <v>2019</v>
      </c>
      <c r="B198" t="s">
        <v>26</v>
      </c>
      <c r="C198" t="s">
        <v>16</v>
      </c>
      <c r="D198" t="s">
        <v>9</v>
      </c>
      <c r="E198">
        <v>100</v>
      </c>
      <c r="F198">
        <v>139.6</v>
      </c>
      <c r="G198">
        <v>2.6</v>
      </c>
    </row>
    <row r="199" spans="1:7" x14ac:dyDescent="0.3">
      <c r="A199">
        <v>2019</v>
      </c>
      <c r="B199" t="s">
        <v>26</v>
      </c>
      <c r="C199" t="s">
        <v>16</v>
      </c>
      <c r="D199" t="s">
        <v>10</v>
      </c>
      <c r="E199">
        <v>45.86</v>
      </c>
      <c r="F199">
        <v>141.6</v>
      </c>
      <c r="G199">
        <v>2.68</v>
      </c>
    </row>
    <row r="200" spans="1:7" x14ac:dyDescent="0.3">
      <c r="A200">
        <v>2019</v>
      </c>
      <c r="B200" t="s">
        <v>26</v>
      </c>
      <c r="C200" t="s">
        <v>16</v>
      </c>
      <c r="D200" t="s">
        <v>11</v>
      </c>
      <c r="E200">
        <v>2.38</v>
      </c>
      <c r="F200">
        <v>143.6</v>
      </c>
      <c r="G200">
        <v>2.76</v>
      </c>
    </row>
    <row r="201" spans="1:7" x14ac:dyDescent="0.3">
      <c r="A201">
        <v>2019</v>
      </c>
      <c r="B201" t="s">
        <v>26</v>
      </c>
      <c r="C201" t="s">
        <v>16</v>
      </c>
      <c r="D201" t="s">
        <v>12</v>
      </c>
      <c r="E201">
        <v>6.53</v>
      </c>
      <c r="F201">
        <v>145.6</v>
      </c>
      <c r="G201">
        <v>2.84</v>
      </c>
    </row>
    <row r="202" spans="1:7" x14ac:dyDescent="0.3">
      <c r="A202">
        <v>2019</v>
      </c>
      <c r="B202" t="s">
        <v>26</v>
      </c>
      <c r="C202" t="s">
        <v>16</v>
      </c>
      <c r="D202" t="s">
        <v>13</v>
      </c>
      <c r="E202">
        <v>10.07</v>
      </c>
      <c r="F202">
        <v>147.6</v>
      </c>
      <c r="G202">
        <v>2.92</v>
      </c>
    </row>
    <row r="203" spans="1:7" x14ac:dyDescent="0.3">
      <c r="A203">
        <v>2019</v>
      </c>
      <c r="B203" t="s">
        <v>26</v>
      </c>
      <c r="C203" t="s">
        <v>16</v>
      </c>
      <c r="D203" t="s">
        <v>14</v>
      </c>
      <c r="E203">
        <v>6.84</v>
      </c>
      <c r="F203">
        <v>149.6</v>
      </c>
      <c r="G203">
        <v>3</v>
      </c>
    </row>
    <row r="204" spans="1:7" x14ac:dyDescent="0.3">
      <c r="A204">
        <v>2019</v>
      </c>
      <c r="B204" t="s">
        <v>26</v>
      </c>
      <c r="C204" t="s">
        <v>16</v>
      </c>
      <c r="D204" t="s">
        <v>15</v>
      </c>
      <c r="E204">
        <v>28.32</v>
      </c>
      <c r="F204">
        <v>151.6</v>
      </c>
      <c r="G204">
        <v>3.08</v>
      </c>
    </row>
    <row r="205" spans="1:7" x14ac:dyDescent="0.3">
      <c r="A205">
        <v>2019</v>
      </c>
      <c r="B205" t="s">
        <v>26</v>
      </c>
      <c r="C205" t="s">
        <v>17</v>
      </c>
      <c r="D205" t="s">
        <v>9</v>
      </c>
      <c r="E205">
        <v>100</v>
      </c>
      <c r="F205">
        <v>140.19999999999999</v>
      </c>
      <c r="G205">
        <v>2.6</v>
      </c>
    </row>
    <row r="206" spans="1:7" x14ac:dyDescent="0.3">
      <c r="A206">
        <v>2019</v>
      </c>
      <c r="B206" t="s">
        <v>26</v>
      </c>
      <c r="C206" t="s">
        <v>17</v>
      </c>
      <c r="D206" t="s">
        <v>10</v>
      </c>
      <c r="E206">
        <v>45.86</v>
      </c>
      <c r="F206">
        <v>142.19999999999999</v>
      </c>
      <c r="G206">
        <v>2.68</v>
      </c>
    </row>
    <row r="207" spans="1:7" x14ac:dyDescent="0.3">
      <c r="A207">
        <v>2019</v>
      </c>
      <c r="B207" t="s">
        <v>26</v>
      </c>
      <c r="C207" t="s">
        <v>17</v>
      </c>
      <c r="D207" t="s">
        <v>11</v>
      </c>
      <c r="E207">
        <v>2.38</v>
      </c>
      <c r="F207">
        <v>144.19999999999999</v>
      </c>
      <c r="G207">
        <v>2.76</v>
      </c>
    </row>
    <row r="208" spans="1:7" x14ac:dyDescent="0.3">
      <c r="A208">
        <v>2019</v>
      </c>
      <c r="B208" t="s">
        <v>26</v>
      </c>
      <c r="C208" t="s">
        <v>17</v>
      </c>
      <c r="D208" t="s">
        <v>12</v>
      </c>
      <c r="E208">
        <v>6.53</v>
      </c>
      <c r="F208">
        <v>146.19999999999999</v>
      </c>
      <c r="G208">
        <v>2.84</v>
      </c>
    </row>
    <row r="209" spans="1:7" x14ac:dyDescent="0.3">
      <c r="A209">
        <v>2019</v>
      </c>
      <c r="B209" t="s">
        <v>26</v>
      </c>
      <c r="C209" t="s">
        <v>17</v>
      </c>
      <c r="D209" t="s">
        <v>13</v>
      </c>
      <c r="E209">
        <v>10.07</v>
      </c>
      <c r="F209">
        <v>148.19999999999999</v>
      </c>
      <c r="G209">
        <v>2.92</v>
      </c>
    </row>
    <row r="210" spans="1:7" x14ac:dyDescent="0.3">
      <c r="A210">
        <v>2019</v>
      </c>
      <c r="B210" t="s">
        <v>26</v>
      </c>
      <c r="C210" t="s">
        <v>17</v>
      </c>
      <c r="D210" t="s">
        <v>14</v>
      </c>
      <c r="E210">
        <v>6.84</v>
      </c>
      <c r="F210">
        <v>150.19999999999999</v>
      </c>
      <c r="G210">
        <v>3</v>
      </c>
    </row>
    <row r="211" spans="1:7" x14ac:dyDescent="0.3">
      <c r="A211">
        <v>2019</v>
      </c>
      <c r="B211" t="s">
        <v>26</v>
      </c>
      <c r="C211" t="s">
        <v>17</v>
      </c>
      <c r="D211" t="s">
        <v>15</v>
      </c>
      <c r="E211">
        <v>28.32</v>
      </c>
      <c r="F211">
        <v>152.19999999999999</v>
      </c>
      <c r="G211">
        <v>3.08</v>
      </c>
    </row>
    <row r="212" spans="1:7" x14ac:dyDescent="0.3">
      <c r="A212">
        <v>2019</v>
      </c>
      <c r="B212" t="s">
        <v>27</v>
      </c>
      <c r="C212" t="s">
        <v>8</v>
      </c>
      <c r="D212" t="s">
        <v>9</v>
      </c>
      <c r="E212">
        <v>100</v>
      </c>
      <c r="F212">
        <v>139.4</v>
      </c>
      <c r="G212">
        <v>2.75</v>
      </c>
    </row>
    <row r="213" spans="1:7" x14ac:dyDescent="0.3">
      <c r="A213">
        <v>2019</v>
      </c>
      <c r="B213" t="s">
        <v>27</v>
      </c>
      <c r="C213" t="s">
        <v>8</v>
      </c>
      <c r="D213" t="s">
        <v>10</v>
      </c>
      <c r="E213">
        <v>45.86</v>
      </c>
      <c r="F213">
        <v>141.4</v>
      </c>
      <c r="G213">
        <v>2.83</v>
      </c>
    </row>
    <row r="214" spans="1:7" x14ac:dyDescent="0.3">
      <c r="A214">
        <v>2019</v>
      </c>
      <c r="B214" t="s">
        <v>27</v>
      </c>
      <c r="C214" t="s">
        <v>8</v>
      </c>
      <c r="D214" t="s">
        <v>11</v>
      </c>
      <c r="E214">
        <v>2.38</v>
      </c>
      <c r="F214">
        <v>143.4</v>
      </c>
      <c r="G214">
        <v>2.91</v>
      </c>
    </row>
    <row r="215" spans="1:7" x14ac:dyDescent="0.3">
      <c r="A215">
        <v>2019</v>
      </c>
      <c r="B215" t="s">
        <v>27</v>
      </c>
      <c r="C215" t="s">
        <v>8</v>
      </c>
      <c r="D215" t="s">
        <v>12</v>
      </c>
      <c r="E215">
        <v>6.53</v>
      </c>
      <c r="F215">
        <v>145.4</v>
      </c>
      <c r="G215">
        <v>2.99</v>
      </c>
    </row>
    <row r="216" spans="1:7" x14ac:dyDescent="0.3">
      <c r="A216">
        <v>2019</v>
      </c>
      <c r="B216" t="s">
        <v>27</v>
      </c>
      <c r="C216" t="s">
        <v>8</v>
      </c>
      <c r="D216" t="s">
        <v>13</v>
      </c>
      <c r="E216">
        <v>10.07</v>
      </c>
      <c r="F216">
        <v>147.4</v>
      </c>
      <c r="G216">
        <v>3.07</v>
      </c>
    </row>
    <row r="217" spans="1:7" x14ac:dyDescent="0.3">
      <c r="A217">
        <v>2019</v>
      </c>
      <c r="B217" t="s">
        <v>27</v>
      </c>
      <c r="C217" t="s">
        <v>8</v>
      </c>
      <c r="D217" t="s">
        <v>14</v>
      </c>
      <c r="E217">
        <v>6.84</v>
      </c>
      <c r="F217">
        <v>149.4</v>
      </c>
      <c r="G217">
        <v>3.15</v>
      </c>
    </row>
    <row r="218" spans="1:7" x14ac:dyDescent="0.3">
      <c r="A218">
        <v>2019</v>
      </c>
      <c r="B218" t="s">
        <v>27</v>
      </c>
      <c r="C218" t="s">
        <v>8</v>
      </c>
      <c r="D218" t="s">
        <v>15</v>
      </c>
      <c r="E218">
        <v>28.32</v>
      </c>
      <c r="F218">
        <v>151.4</v>
      </c>
      <c r="G218">
        <v>3.23</v>
      </c>
    </row>
    <row r="219" spans="1:7" x14ac:dyDescent="0.3">
      <c r="A219">
        <v>2019</v>
      </c>
      <c r="B219" t="s">
        <v>27</v>
      </c>
      <c r="C219" t="s">
        <v>16</v>
      </c>
      <c r="D219" t="s">
        <v>9</v>
      </c>
      <c r="E219">
        <v>100</v>
      </c>
      <c r="F219">
        <v>140</v>
      </c>
      <c r="G219">
        <v>2.75</v>
      </c>
    </row>
    <row r="220" spans="1:7" x14ac:dyDescent="0.3">
      <c r="A220">
        <v>2019</v>
      </c>
      <c r="B220" t="s">
        <v>27</v>
      </c>
      <c r="C220" t="s">
        <v>16</v>
      </c>
      <c r="D220" t="s">
        <v>10</v>
      </c>
      <c r="E220">
        <v>45.86</v>
      </c>
      <c r="F220">
        <v>142</v>
      </c>
      <c r="G220">
        <v>2.83</v>
      </c>
    </row>
    <row r="221" spans="1:7" x14ac:dyDescent="0.3">
      <c r="A221">
        <v>2019</v>
      </c>
      <c r="B221" t="s">
        <v>27</v>
      </c>
      <c r="C221" t="s">
        <v>16</v>
      </c>
      <c r="D221" t="s">
        <v>11</v>
      </c>
      <c r="E221">
        <v>2.38</v>
      </c>
      <c r="F221">
        <v>144</v>
      </c>
      <c r="G221">
        <v>2.91</v>
      </c>
    </row>
    <row r="222" spans="1:7" x14ac:dyDescent="0.3">
      <c r="A222">
        <v>2019</v>
      </c>
      <c r="B222" t="s">
        <v>27</v>
      </c>
      <c r="C222" t="s">
        <v>16</v>
      </c>
      <c r="D222" t="s">
        <v>12</v>
      </c>
      <c r="E222">
        <v>6.53</v>
      </c>
      <c r="F222">
        <v>146</v>
      </c>
      <c r="G222">
        <v>2.99</v>
      </c>
    </row>
    <row r="223" spans="1:7" x14ac:dyDescent="0.3">
      <c r="A223">
        <v>2019</v>
      </c>
      <c r="B223" t="s">
        <v>27</v>
      </c>
      <c r="C223" t="s">
        <v>16</v>
      </c>
      <c r="D223" t="s">
        <v>13</v>
      </c>
      <c r="E223">
        <v>10.07</v>
      </c>
      <c r="F223">
        <v>148</v>
      </c>
      <c r="G223">
        <v>3.07</v>
      </c>
    </row>
    <row r="224" spans="1:7" x14ac:dyDescent="0.3">
      <c r="A224">
        <v>2019</v>
      </c>
      <c r="B224" t="s">
        <v>27</v>
      </c>
      <c r="C224" t="s">
        <v>16</v>
      </c>
      <c r="D224" t="s">
        <v>14</v>
      </c>
      <c r="E224">
        <v>6.84</v>
      </c>
      <c r="F224">
        <v>150</v>
      </c>
      <c r="G224">
        <v>3.15</v>
      </c>
    </row>
    <row r="225" spans="1:7" x14ac:dyDescent="0.3">
      <c r="A225">
        <v>2019</v>
      </c>
      <c r="B225" t="s">
        <v>27</v>
      </c>
      <c r="C225" t="s">
        <v>16</v>
      </c>
      <c r="D225" t="s">
        <v>15</v>
      </c>
      <c r="E225">
        <v>28.32</v>
      </c>
      <c r="F225">
        <v>152</v>
      </c>
      <c r="G225">
        <v>3.23</v>
      </c>
    </row>
    <row r="226" spans="1:7" x14ac:dyDescent="0.3">
      <c r="A226">
        <v>2019</v>
      </c>
      <c r="B226" t="s">
        <v>27</v>
      </c>
      <c r="C226" t="s">
        <v>17</v>
      </c>
      <c r="D226" t="s">
        <v>9</v>
      </c>
      <c r="E226">
        <v>100</v>
      </c>
      <c r="F226">
        <v>140.6</v>
      </c>
      <c r="G226">
        <v>2.75</v>
      </c>
    </row>
    <row r="227" spans="1:7" x14ac:dyDescent="0.3">
      <c r="A227">
        <v>2019</v>
      </c>
      <c r="B227" t="s">
        <v>27</v>
      </c>
      <c r="C227" t="s">
        <v>17</v>
      </c>
      <c r="D227" t="s">
        <v>10</v>
      </c>
      <c r="E227">
        <v>45.86</v>
      </c>
      <c r="F227">
        <v>142.6</v>
      </c>
      <c r="G227">
        <v>2.83</v>
      </c>
    </row>
    <row r="228" spans="1:7" x14ac:dyDescent="0.3">
      <c r="A228">
        <v>2019</v>
      </c>
      <c r="B228" t="s">
        <v>27</v>
      </c>
      <c r="C228" t="s">
        <v>17</v>
      </c>
      <c r="D228" t="s">
        <v>11</v>
      </c>
      <c r="E228">
        <v>2.38</v>
      </c>
      <c r="F228">
        <v>144.6</v>
      </c>
      <c r="G228">
        <v>2.91</v>
      </c>
    </row>
    <row r="229" spans="1:7" x14ac:dyDescent="0.3">
      <c r="A229">
        <v>2019</v>
      </c>
      <c r="B229" t="s">
        <v>27</v>
      </c>
      <c r="C229" t="s">
        <v>17</v>
      </c>
      <c r="D229" t="s">
        <v>12</v>
      </c>
      <c r="E229">
        <v>6.53</v>
      </c>
      <c r="F229">
        <v>146.6</v>
      </c>
      <c r="G229">
        <v>2.99</v>
      </c>
    </row>
    <row r="230" spans="1:7" x14ac:dyDescent="0.3">
      <c r="A230">
        <v>2019</v>
      </c>
      <c r="B230" t="s">
        <v>27</v>
      </c>
      <c r="C230" t="s">
        <v>17</v>
      </c>
      <c r="D230" t="s">
        <v>13</v>
      </c>
      <c r="E230">
        <v>10.07</v>
      </c>
      <c r="F230">
        <v>148.6</v>
      </c>
      <c r="G230">
        <v>3.07</v>
      </c>
    </row>
    <row r="231" spans="1:7" x14ac:dyDescent="0.3">
      <c r="A231">
        <v>2019</v>
      </c>
      <c r="B231" t="s">
        <v>27</v>
      </c>
      <c r="C231" t="s">
        <v>17</v>
      </c>
      <c r="D231" t="s">
        <v>14</v>
      </c>
      <c r="E231">
        <v>6.84</v>
      </c>
      <c r="F231">
        <v>150.6</v>
      </c>
      <c r="G231">
        <v>3.15</v>
      </c>
    </row>
    <row r="232" spans="1:7" x14ac:dyDescent="0.3">
      <c r="A232">
        <v>2019</v>
      </c>
      <c r="B232" t="s">
        <v>27</v>
      </c>
      <c r="C232" t="s">
        <v>17</v>
      </c>
      <c r="D232" t="s">
        <v>15</v>
      </c>
      <c r="E232">
        <v>28.32</v>
      </c>
      <c r="F232">
        <v>152.6</v>
      </c>
      <c r="G232">
        <v>3.23</v>
      </c>
    </row>
    <row r="233" spans="1:7" x14ac:dyDescent="0.3">
      <c r="A233">
        <v>2019</v>
      </c>
      <c r="B233" t="s">
        <v>28</v>
      </c>
      <c r="C233" t="s">
        <v>8</v>
      </c>
      <c r="D233" t="s">
        <v>9</v>
      </c>
      <c r="E233">
        <v>100</v>
      </c>
      <c r="F233">
        <v>139.80000000000001</v>
      </c>
      <c r="G233">
        <v>2</v>
      </c>
    </row>
    <row r="234" spans="1:7" x14ac:dyDescent="0.3">
      <c r="A234">
        <v>2019</v>
      </c>
      <c r="B234" t="s">
        <v>28</v>
      </c>
      <c r="C234" t="s">
        <v>8</v>
      </c>
      <c r="D234" t="s">
        <v>10</v>
      </c>
      <c r="E234">
        <v>45.86</v>
      </c>
      <c r="F234">
        <v>141.80000000000001</v>
      </c>
      <c r="G234">
        <v>2.08</v>
      </c>
    </row>
    <row r="235" spans="1:7" x14ac:dyDescent="0.3">
      <c r="A235">
        <v>2019</v>
      </c>
      <c r="B235" t="s">
        <v>28</v>
      </c>
      <c r="C235" t="s">
        <v>8</v>
      </c>
      <c r="D235" t="s">
        <v>11</v>
      </c>
      <c r="E235">
        <v>2.38</v>
      </c>
      <c r="F235">
        <v>143.80000000000001</v>
      </c>
      <c r="G235">
        <v>2.16</v>
      </c>
    </row>
    <row r="236" spans="1:7" x14ac:dyDescent="0.3">
      <c r="A236">
        <v>2019</v>
      </c>
      <c r="B236" t="s">
        <v>28</v>
      </c>
      <c r="C236" t="s">
        <v>8</v>
      </c>
      <c r="D236" t="s">
        <v>12</v>
      </c>
      <c r="E236">
        <v>6.53</v>
      </c>
      <c r="F236">
        <v>145.80000000000001</v>
      </c>
      <c r="G236">
        <v>2.2400000000000002</v>
      </c>
    </row>
    <row r="237" spans="1:7" x14ac:dyDescent="0.3">
      <c r="A237">
        <v>2019</v>
      </c>
      <c r="B237" t="s">
        <v>28</v>
      </c>
      <c r="C237" t="s">
        <v>8</v>
      </c>
      <c r="D237" t="s">
        <v>13</v>
      </c>
      <c r="E237">
        <v>10.07</v>
      </c>
      <c r="F237">
        <v>147.80000000000001</v>
      </c>
      <c r="G237">
        <v>2.3199999999999998</v>
      </c>
    </row>
    <row r="238" spans="1:7" x14ac:dyDescent="0.3">
      <c r="A238">
        <v>2019</v>
      </c>
      <c r="B238" t="s">
        <v>28</v>
      </c>
      <c r="C238" t="s">
        <v>8</v>
      </c>
      <c r="D238" t="s">
        <v>14</v>
      </c>
      <c r="E238">
        <v>6.84</v>
      </c>
      <c r="F238">
        <v>149.80000000000001</v>
      </c>
      <c r="G238">
        <v>2.4</v>
      </c>
    </row>
    <row r="239" spans="1:7" x14ac:dyDescent="0.3">
      <c r="A239">
        <v>2019</v>
      </c>
      <c r="B239" t="s">
        <v>28</v>
      </c>
      <c r="C239" t="s">
        <v>8</v>
      </c>
      <c r="D239" t="s">
        <v>15</v>
      </c>
      <c r="E239">
        <v>28.32</v>
      </c>
      <c r="F239">
        <v>151.80000000000001</v>
      </c>
      <c r="G239">
        <v>2.48</v>
      </c>
    </row>
    <row r="240" spans="1:7" x14ac:dyDescent="0.3">
      <c r="A240">
        <v>2019</v>
      </c>
      <c r="B240" t="s">
        <v>28</v>
      </c>
      <c r="C240" t="s">
        <v>16</v>
      </c>
      <c r="D240" t="s">
        <v>9</v>
      </c>
      <c r="E240">
        <v>100</v>
      </c>
      <c r="F240">
        <v>140.4</v>
      </c>
      <c r="G240">
        <v>2</v>
      </c>
    </row>
    <row r="241" spans="1:7" x14ac:dyDescent="0.3">
      <c r="A241">
        <v>2019</v>
      </c>
      <c r="B241" t="s">
        <v>28</v>
      </c>
      <c r="C241" t="s">
        <v>16</v>
      </c>
      <c r="D241" t="s">
        <v>10</v>
      </c>
      <c r="E241">
        <v>45.86</v>
      </c>
      <c r="F241">
        <v>142.4</v>
      </c>
      <c r="G241">
        <v>2.08</v>
      </c>
    </row>
    <row r="242" spans="1:7" x14ac:dyDescent="0.3">
      <c r="A242">
        <v>2019</v>
      </c>
      <c r="B242" t="s">
        <v>28</v>
      </c>
      <c r="C242" t="s">
        <v>16</v>
      </c>
      <c r="D242" t="s">
        <v>11</v>
      </c>
      <c r="E242">
        <v>2.38</v>
      </c>
      <c r="F242">
        <v>144.4</v>
      </c>
      <c r="G242">
        <v>2.16</v>
      </c>
    </row>
    <row r="243" spans="1:7" x14ac:dyDescent="0.3">
      <c r="A243">
        <v>2019</v>
      </c>
      <c r="B243" t="s">
        <v>28</v>
      </c>
      <c r="C243" t="s">
        <v>16</v>
      </c>
      <c r="D243" t="s">
        <v>12</v>
      </c>
      <c r="E243">
        <v>6.53</v>
      </c>
      <c r="F243">
        <v>146.4</v>
      </c>
      <c r="G243">
        <v>2.2400000000000002</v>
      </c>
    </row>
    <row r="244" spans="1:7" x14ac:dyDescent="0.3">
      <c r="A244">
        <v>2019</v>
      </c>
      <c r="B244" t="s">
        <v>28</v>
      </c>
      <c r="C244" t="s">
        <v>16</v>
      </c>
      <c r="D244" t="s">
        <v>13</v>
      </c>
      <c r="E244">
        <v>10.07</v>
      </c>
      <c r="F244">
        <v>148.4</v>
      </c>
      <c r="G244">
        <v>2.3199999999999998</v>
      </c>
    </row>
    <row r="245" spans="1:7" x14ac:dyDescent="0.3">
      <c r="A245">
        <v>2019</v>
      </c>
      <c r="B245" t="s">
        <v>28</v>
      </c>
      <c r="C245" t="s">
        <v>16</v>
      </c>
      <c r="D245" t="s">
        <v>14</v>
      </c>
      <c r="E245">
        <v>6.84</v>
      </c>
      <c r="F245">
        <v>150.4</v>
      </c>
      <c r="G245">
        <v>2.4</v>
      </c>
    </row>
    <row r="246" spans="1:7" x14ac:dyDescent="0.3">
      <c r="A246">
        <v>2019</v>
      </c>
      <c r="B246" t="s">
        <v>28</v>
      </c>
      <c r="C246" t="s">
        <v>16</v>
      </c>
      <c r="D246" t="s">
        <v>15</v>
      </c>
      <c r="E246">
        <v>28.32</v>
      </c>
      <c r="F246">
        <v>152.4</v>
      </c>
      <c r="G246">
        <v>2.48</v>
      </c>
    </row>
    <row r="247" spans="1:7" x14ac:dyDescent="0.3">
      <c r="A247">
        <v>2019</v>
      </c>
      <c r="B247" t="s">
        <v>28</v>
      </c>
      <c r="C247" t="s">
        <v>17</v>
      </c>
      <c r="D247" t="s">
        <v>9</v>
      </c>
      <c r="E247">
        <v>100</v>
      </c>
      <c r="F247">
        <v>141</v>
      </c>
      <c r="G247">
        <v>2</v>
      </c>
    </row>
    <row r="248" spans="1:7" x14ac:dyDescent="0.3">
      <c r="A248">
        <v>2019</v>
      </c>
      <c r="B248" t="s">
        <v>28</v>
      </c>
      <c r="C248" t="s">
        <v>17</v>
      </c>
      <c r="D248" t="s">
        <v>10</v>
      </c>
      <c r="E248">
        <v>45.86</v>
      </c>
      <c r="F248">
        <v>143</v>
      </c>
      <c r="G248">
        <v>2.08</v>
      </c>
    </row>
    <row r="249" spans="1:7" x14ac:dyDescent="0.3">
      <c r="A249">
        <v>2019</v>
      </c>
      <c r="B249" t="s">
        <v>28</v>
      </c>
      <c r="C249" t="s">
        <v>17</v>
      </c>
      <c r="D249" t="s">
        <v>11</v>
      </c>
      <c r="E249">
        <v>2.38</v>
      </c>
      <c r="F249">
        <v>145</v>
      </c>
      <c r="G249">
        <v>2.16</v>
      </c>
    </row>
    <row r="250" spans="1:7" x14ac:dyDescent="0.3">
      <c r="A250">
        <v>2019</v>
      </c>
      <c r="B250" t="s">
        <v>28</v>
      </c>
      <c r="C250" t="s">
        <v>17</v>
      </c>
      <c r="D250" t="s">
        <v>12</v>
      </c>
      <c r="E250">
        <v>6.53</v>
      </c>
      <c r="F250">
        <v>147</v>
      </c>
      <c r="G250">
        <v>2.2400000000000002</v>
      </c>
    </row>
    <row r="251" spans="1:7" x14ac:dyDescent="0.3">
      <c r="A251">
        <v>2019</v>
      </c>
      <c r="B251" t="s">
        <v>28</v>
      </c>
      <c r="C251" t="s">
        <v>17</v>
      </c>
      <c r="D251" t="s">
        <v>13</v>
      </c>
      <c r="E251">
        <v>10.07</v>
      </c>
      <c r="F251">
        <v>149</v>
      </c>
      <c r="G251">
        <v>2.3199999999999998</v>
      </c>
    </row>
    <row r="252" spans="1:7" x14ac:dyDescent="0.3">
      <c r="A252">
        <v>2019</v>
      </c>
      <c r="B252" t="s">
        <v>28</v>
      </c>
      <c r="C252" t="s">
        <v>17</v>
      </c>
      <c r="D252" t="s">
        <v>14</v>
      </c>
      <c r="E252">
        <v>6.84</v>
      </c>
      <c r="F252">
        <v>151</v>
      </c>
      <c r="G252">
        <v>2.4</v>
      </c>
    </row>
    <row r="253" spans="1:7" x14ac:dyDescent="0.3">
      <c r="A253">
        <v>2019</v>
      </c>
      <c r="B253" t="s">
        <v>28</v>
      </c>
      <c r="C253" t="s">
        <v>17</v>
      </c>
      <c r="D253" t="s">
        <v>15</v>
      </c>
      <c r="E253">
        <v>28.32</v>
      </c>
      <c r="F253">
        <v>153</v>
      </c>
      <c r="G253">
        <v>2.48</v>
      </c>
    </row>
    <row r="254" spans="1:7" x14ac:dyDescent="0.3">
      <c r="A254">
        <v>2020</v>
      </c>
      <c r="B254" t="s">
        <v>7</v>
      </c>
      <c r="C254" t="s">
        <v>8</v>
      </c>
      <c r="D254" t="s">
        <v>9</v>
      </c>
      <c r="E254">
        <v>100</v>
      </c>
      <c r="F254">
        <v>140.4</v>
      </c>
      <c r="G254">
        <v>2.5</v>
      </c>
    </row>
    <row r="255" spans="1:7" x14ac:dyDescent="0.3">
      <c r="A255">
        <v>2020</v>
      </c>
      <c r="B255" t="s">
        <v>7</v>
      </c>
      <c r="C255" t="s">
        <v>8</v>
      </c>
      <c r="D255" t="s">
        <v>10</v>
      </c>
      <c r="E255">
        <v>45.86</v>
      </c>
      <c r="F255">
        <v>142.4</v>
      </c>
      <c r="G255">
        <v>2.58</v>
      </c>
    </row>
    <row r="256" spans="1:7" x14ac:dyDescent="0.3">
      <c r="A256">
        <v>2020</v>
      </c>
      <c r="B256" t="s">
        <v>7</v>
      </c>
      <c r="C256" t="s">
        <v>8</v>
      </c>
      <c r="D256" t="s">
        <v>11</v>
      </c>
      <c r="E256">
        <v>2.38</v>
      </c>
      <c r="F256">
        <v>144.4</v>
      </c>
      <c r="G256">
        <v>2.66</v>
      </c>
    </row>
    <row r="257" spans="1:7" x14ac:dyDescent="0.3">
      <c r="A257">
        <v>2020</v>
      </c>
      <c r="B257" t="s">
        <v>7</v>
      </c>
      <c r="C257" t="s">
        <v>8</v>
      </c>
      <c r="D257" t="s">
        <v>12</v>
      </c>
      <c r="E257">
        <v>6.53</v>
      </c>
      <c r="F257">
        <v>146.4</v>
      </c>
      <c r="G257">
        <v>2.74</v>
      </c>
    </row>
    <row r="258" spans="1:7" x14ac:dyDescent="0.3">
      <c r="A258">
        <v>2020</v>
      </c>
      <c r="B258" t="s">
        <v>7</v>
      </c>
      <c r="C258" t="s">
        <v>8</v>
      </c>
      <c r="D258" t="s">
        <v>13</v>
      </c>
      <c r="E258">
        <v>10.07</v>
      </c>
      <c r="F258">
        <v>148.4</v>
      </c>
      <c r="G258">
        <v>2.82</v>
      </c>
    </row>
    <row r="259" spans="1:7" x14ac:dyDescent="0.3">
      <c r="A259">
        <v>2020</v>
      </c>
      <c r="B259" t="s">
        <v>7</v>
      </c>
      <c r="C259" t="s">
        <v>8</v>
      </c>
      <c r="D259" t="s">
        <v>14</v>
      </c>
      <c r="E259">
        <v>6.84</v>
      </c>
      <c r="F259">
        <v>150.4</v>
      </c>
      <c r="G259">
        <v>2.9</v>
      </c>
    </row>
    <row r="260" spans="1:7" x14ac:dyDescent="0.3">
      <c r="A260">
        <v>2020</v>
      </c>
      <c r="B260" t="s">
        <v>7</v>
      </c>
      <c r="C260" t="s">
        <v>8</v>
      </c>
      <c r="D260" t="s">
        <v>15</v>
      </c>
      <c r="E260">
        <v>28.32</v>
      </c>
      <c r="F260">
        <v>152.4</v>
      </c>
      <c r="G260">
        <v>2.98</v>
      </c>
    </row>
    <row r="261" spans="1:7" x14ac:dyDescent="0.3">
      <c r="A261">
        <v>2020</v>
      </c>
      <c r="B261" t="s">
        <v>7</v>
      </c>
      <c r="C261" t="s">
        <v>16</v>
      </c>
      <c r="D261" t="s">
        <v>9</v>
      </c>
      <c r="E261">
        <v>100</v>
      </c>
      <c r="F261">
        <v>141</v>
      </c>
      <c r="G261">
        <v>2.5</v>
      </c>
    </row>
    <row r="262" spans="1:7" x14ac:dyDescent="0.3">
      <c r="A262">
        <v>2020</v>
      </c>
      <c r="B262" t="s">
        <v>7</v>
      </c>
      <c r="C262" t="s">
        <v>16</v>
      </c>
      <c r="D262" t="s">
        <v>10</v>
      </c>
      <c r="E262">
        <v>45.86</v>
      </c>
      <c r="F262">
        <v>143</v>
      </c>
      <c r="G262">
        <v>2.58</v>
      </c>
    </row>
    <row r="263" spans="1:7" x14ac:dyDescent="0.3">
      <c r="A263">
        <v>2020</v>
      </c>
      <c r="B263" t="s">
        <v>7</v>
      </c>
      <c r="C263" t="s">
        <v>16</v>
      </c>
      <c r="D263" t="s">
        <v>11</v>
      </c>
      <c r="E263">
        <v>2.38</v>
      </c>
      <c r="F263">
        <v>145</v>
      </c>
      <c r="G263">
        <v>2.66</v>
      </c>
    </row>
    <row r="264" spans="1:7" x14ac:dyDescent="0.3">
      <c r="A264">
        <v>2020</v>
      </c>
      <c r="B264" t="s">
        <v>7</v>
      </c>
      <c r="C264" t="s">
        <v>16</v>
      </c>
      <c r="D264" t="s">
        <v>12</v>
      </c>
      <c r="E264">
        <v>6.53</v>
      </c>
      <c r="F264">
        <v>147</v>
      </c>
      <c r="G264">
        <v>2.74</v>
      </c>
    </row>
    <row r="265" spans="1:7" x14ac:dyDescent="0.3">
      <c r="A265">
        <v>2020</v>
      </c>
      <c r="B265" t="s">
        <v>7</v>
      </c>
      <c r="C265" t="s">
        <v>16</v>
      </c>
      <c r="D265" t="s">
        <v>13</v>
      </c>
      <c r="E265">
        <v>10.07</v>
      </c>
      <c r="F265">
        <v>149</v>
      </c>
      <c r="G265">
        <v>2.82</v>
      </c>
    </row>
    <row r="266" spans="1:7" x14ac:dyDescent="0.3">
      <c r="A266">
        <v>2020</v>
      </c>
      <c r="B266" t="s">
        <v>7</v>
      </c>
      <c r="C266" t="s">
        <v>16</v>
      </c>
      <c r="D266" t="s">
        <v>14</v>
      </c>
      <c r="E266">
        <v>6.84</v>
      </c>
      <c r="F266">
        <v>151</v>
      </c>
      <c r="G266">
        <v>2.9</v>
      </c>
    </row>
    <row r="267" spans="1:7" x14ac:dyDescent="0.3">
      <c r="A267">
        <v>2020</v>
      </c>
      <c r="B267" t="s">
        <v>7</v>
      </c>
      <c r="C267" t="s">
        <v>16</v>
      </c>
      <c r="D267" t="s">
        <v>15</v>
      </c>
      <c r="E267">
        <v>28.32</v>
      </c>
      <c r="F267">
        <v>153</v>
      </c>
      <c r="G267">
        <v>2.98</v>
      </c>
    </row>
    <row r="268" spans="1:7" x14ac:dyDescent="0.3">
      <c r="A268">
        <v>2020</v>
      </c>
      <c r="B268" t="s">
        <v>7</v>
      </c>
      <c r="C268" t="s">
        <v>17</v>
      </c>
      <c r="D268" t="s">
        <v>9</v>
      </c>
      <c r="E268">
        <v>100</v>
      </c>
      <c r="F268">
        <v>141.6</v>
      </c>
      <c r="G268">
        <v>2.5</v>
      </c>
    </row>
    <row r="269" spans="1:7" x14ac:dyDescent="0.3">
      <c r="A269">
        <v>2020</v>
      </c>
      <c r="B269" t="s">
        <v>7</v>
      </c>
      <c r="C269" t="s">
        <v>17</v>
      </c>
      <c r="D269" t="s">
        <v>10</v>
      </c>
      <c r="E269">
        <v>45.86</v>
      </c>
      <c r="F269">
        <v>143.6</v>
      </c>
      <c r="G269">
        <v>2.58</v>
      </c>
    </row>
    <row r="270" spans="1:7" x14ac:dyDescent="0.3">
      <c r="A270">
        <v>2020</v>
      </c>
      <c r="B270" t="s">
        <v>7</v>
      </c>
      <c r="C270" t="s">
        <v>17</v>
      </c>
      <c r="D270" t="s">
        <v>11</v>
      </c>
      <c r="E270">
        <v>2.38</v>
      </c>
      <c r="F270">
        <v>145.6</v>
      </c>
      <c r="G270">
        <v>2.66</v>
      </c>
    </row>
    <row r="271" spans="1:7" x14ac:dyDescent="0.3">
      <c r="A271">
        <v>2020</v>
      </c>
      <c r="B271" t="s">
        <v>7</v>
      </c>
      <c r="C271" t="s">
        <v>17</v>
      </c>
      <c r="D271" t="s">
        <v>12</v>
      </c>
      <c r="E271">
        <v>6.53</v>
      </c>
      <c r="F271">
        <v>147.6</v>
      </c>
      <c r="G271">
        <v>2.74</v>
      </c>
    </row>
    <row r="272" spans="1:7" x14ac:dyDescent="0.3">
      <c r="A272">
        <v>2020</v>
      </c>
      <c r="B272" t="s">
        <v>7</v>
      </c>
      <c r="C272" t="s">
        <v>17</v>
      </c>
      <c r="D272" t="s">
        <v>13</v>
      </c>
      <c r="E272">
        <v>10.07</v>
      </c>
      <c r="F272">
        <v>149.6</v>
      </c>
      <c r="G272">
        <v>2.82</v>
      </c>
    </row>
    <row r="273" spans="1:7" x14ac:dyDescent="0.3">
      <c r="A273">
        <v>2020</v>
      </c>
      <c r="B273" t="s">
        <v>7</v>
      </c>
      <c r="C273" t="s">
        <v>17</v>
      </c>
      <c r="D273" t="s">
        <v>14</v>
      </c>
      <c r="E273">
        <v>6.84</v>
      </c>
      <c r="F273">
        <v>151.6</v>
      </c>
      <c r="G273">
        <v>2.9</v>
      </c>
    </row>
    <row r="274" spans="1:7" x14ac:dyDescent="0.3">
      <c r="A274">
        <v>2020</v>
      </c>
      <c r="B274" t="s">
        <v>7</v>
      </c>
      <c r="C274" t="s">
        <v>17</v>
      </c>
      <c r="D274" t="s">
        <v>15</v>
      </c>
      <c r="E274">
        <v>28.32</v>
      </c>
      <c r="F274">
        <v>153.6</v>
      </c>
      <c r="G274">
        <v>2.98</v>
      </c>
    </row>
    <row r="275" spans="1:7" x14ac:dyDescent="0.3">
      <c r="A275">
        <v>2020</v>
      </c>
      <c r="B275" t="s">
        <v>18</v>
      </c>
      <c r="C275" t="s">
        <v>8</v>
      </c>
      <c r="D275" t="s">
        <v>9</v>
      </c>
      <c r="E275">
        <v>100</v>
      </c>
      <c r="F275">
        <v>140.80000000000001</v>
      </c>
      <c r="G275">
        <v>2.65</v>
      </c>
    </row>
    <row r="276" spans="1:7" x14ac:dyDescent="0.3">
      <c r="A276">
        <v>2020</v>
      </c>
      <c r="B276" t="s">
        <v>18</v>
      </c>
      <c r="C276" t="s">
        <v>8</v>
      </c>
      <c r="D276" t="s">
        <v>10</v>
      </c>
      <c r="E276">
        <v>45.86</v>
      </c>
      <c r="F276">
        <v>142.80000000000001</v>
      </c>
      <c r="G276">
        <v>2.73</v>
      </c>
    </row>
    <row r="277" spans="1:7" x14ac:dyDescent="0.3">
      <c r="A277">
        <v>2020</v>
      </c>
      <c r="B277" t="s">
        <v>18</v>
      </c>
      <c r="C277" t="s">
        <v>8</v>
      </c>
      <c r="D277" t="s">
        <v>11</v>
      </c>
      <c r="E277">
        <v>2.38</v>
      </c>
      <c r="F277">
        <v>144.80000000000001</v>
      </c>
      <c r="G277">
        <v>2.81</v>
      </c>
    </row>
    <row r="278" spans="1:7" x14ac:dyDescent="0.3">
      <c r="A278">
        <v>2020</v>
      </c>
      <c r="B278" t="s">
        <v>18</v>
      </c>
      <c r="C278" t="s">
        <v>8</v>
      </c>
      <c r="D278" t="s">
        <v>12</v>
      </c>
      <c r="E278">
        <v>6.53</v>
      </c>
      <c r="F278">
        <v>146.80000000000001</v>
      </c>
      <c r="G278">
        <v>2.89</v>
      </c>
    </row>
    <row r="279" spans="1:7" x14ac:dyDescent="0.3">
      <c r="A279">
        <v>2020</v>
      </c>
      <c r="B279" t="s">
        <v>18</v>
      </c>
      <c r="C279" t="s">
        <v>8</v>
      </c>
      <c r="D279" t="s">
        <v>13</v>
      </c>
      <c r="E279">
        <v>10.07</v>
      </c>
      <c r="F279">
        <v>148.80000000000001</v>
      </c>
      <c r="G279">
        <v>2.97</v>
      </c>
    </row>
    <row r="280" spans="1:7" x14ac:dyDescent="0.3">
      <c r="A280">
        <v>2020</v>
      </c>
      <c r="B280" t="s">
        <v>18</v>
      </c>
      <c r="C280" t="s">
        <v>8</v>
      </c>
      <c r="D280" t="s">
        <v>14</v>
      </c>
      <c r="E280">
        <v>6.84</v>
      </c>
      <c r="F280">
        <v>150.80000000000001</v>
      </c>
      <c r="G280">
        <v>3.05</v>
      </c>
    </row>
    <row r="281" spans="1:7" x14ac:dyDescent="0.3">
      <c r="A281">
        <v>2020</v>
      </c>
      <c r="B281" t="s">
        <v>18</v>
      </c>
      <c r="C281" t="s">
        <v>8</v>
      </c>
      <c r="D281" t="s">
        <v>15</v>
      </c>
      <c r="E281">
        <v>28.32</v>
      </c>
      <c r="F281">
        <v>152.80000000000001</v>
      </c>
      <c r="G281">
        <v>3.13</v>
      </c>
    </row>
    <row r="282" spans="1:7" x14ac:dyDescent="0.3">
      <c r="A282">
        <v>2020</v>
      </c>
      <c r="B282" t="s">
        <v>18</v>
      </c>
      <c r="C282" t="s">
        <v>16</v>
      </c>
      <c r="D282" t="s">
        <v>9</v>
      </c>
      <c r="E282">
        <v>100</v>
      </c>
      <c r="F282">
        <v>141.4</v>
      </c>
      <c r="G282">
        <v>2.65</v>
      </c>
    </row>
    <row r="283" spans="1:7" x14ac:dyDescent="0.3">
      <c r="A283">
        <v>2020</v>
      </c>
      <c r="B283" t="s">
        <v>18</v>
      </c>
      <c r="C283" t="s">
        <v>16</v>
      </c>
      <c r="D283" t="s">
        <v>10</v>
      </c>
      <c r="E283">
        <v>45.86</v>
      </c>
      <c r="F283">
        <v>143.4</v>
      </c>
      <c r="G283">
        <v>2.73</v>
      </c>
    </row>
    <row r="284" spans="1:7" x14ac:dyDescent="0.3">
      <c r="A284">
        <v>2020</v>
      </c>
      <c r="B284" t="s">
        <v>18</v>
      </c>
      <c r="C284" t="s">
        <v>16</v>
      </c>
      <c r="D284" t="s">
        <v>11</v>
      </c>
      <c r="E284">
        <v>2.38</v>
      </c>
      <c r="F284">
        <v>145.4</v>
      </c>
      <c r="G284">
        <v>2.81</v>
      </c>
    </row>
    <row r="285" spans="1:7" x14ac:dyDescent="0.3">
      <c r="A285">
        <v>2020</v>
      </c>
      <c r="B285" t="s">
        <v>18</v>
      </c>
      <c r="C285" t="s">
        <v>16</v>
      </c>
      <c r="D285" t="s">
        <v>12</v>
      </c>
      <c r="E285">
        <v>6.53</v>
      </c>
      <c r="F285">
        <v>147.4</v>
      </c>
      <c r="G285">
        <v>2.89</v>
      </c>
    </row>
    <row r="286" spans="1:7" x14ac:dyDescent="0.3">
      <c r="A286">
        <v>2020</v>
      </c>
      <c r="B286" t="s">
        <v>18</v>
      </c>
      <c r="C286" t="s">
        <v>16</v>
      </c>
      <c r="D286" t="s">
        <v>13</v>
      </c>
      <c r="E286">
        <v>10.07</v>
      </c>
      <c r="F286">
        <v>149.4</v>
      </c>
      <c r="G286">
        <v>2.97</v>
      </c>
    </row>
    <row r="287" spans="1:7" x14ac:dyDescent="0.3">
      <c r="A287">
        <v>2020</v>
      </c>
      <c r="B287" t="s">
        <v>18</v>
      </c>
      <c r="C287" t="s">
        <v>16</v>
      </c>
      <c r="D287" t="s">
        <v>14</v>
      </c>
      <c r="E287">
        <v>6.84</v>
      </c>
      <c r="F287">
        <v>151.4</v>
      </c>
      <c r="G287">
        <v>3.05</v>
      </c>
    </row>
    <row r="288" spans="1:7" x14ac:dyDescent="0.3">
      <c r="A288">
        <v>2020</v>
      </c>
      <c r="B288" t="s">
        <v>18</v>
      </c>
      <c r="C288" t="s">
        <v>16</v>
      </c>
      <c r="D288" t="s">
        <v>15</v>
      </c>
      <c r="E288">
        <v>28.32</v>
      </c>
      <c r="F288">
        <v>153.4</v>
      </c>
      <c r="G288">
        <v>3.13</v>
      </c>
    </row>
    <row r="289" spans="1:7" x14ac:dyDescent="0.3">
      <c r="A289">
        <v>2020</v>
      </c>
      <c r="B289" t="s">
        <v>18</v>
      </c>
      <c r="C289" t="s">
        <v>17</v>
      </c>
      <c r="D289" t="s">
        <v>9</v>
      </c>
      <c r="E289">
        <v>100</v>
      </c>
      <c r="F289">
        <v>142</v>
      </c>
      <c r="G289">
        <v>2.65</v>
      </c>
    </row>
    <row r="290" spans="1:7" x14ac:dyDescent="0.3">
      <c r="A290">
        <v>2020</v>
      </c>
      <c r="B290" t="s">
        <v>18</v>
      </c>
      <c r="C290" t="s">
        <v>17</v>
      </c>
      <c r="D290" t="s">
        <v>10</v>
      </c>
      <c r="E290">
        <v>45.86</v>
      </c>
      <c r="F290">
        <v>144</v>
      </c>
      <c r="G290">
        <v>2.73</v>
      </c>
    </row>
    <row r="291" spans="1:7" x14ac:dyDescent="0.3">
      <c r="A291">
        <v>2020</v>
      </c>
      <c r="B291" t="s">
        <v>18</v>
      </c>
      <c r="C291" t="s">
        <v>17</v>
      </c>
      <c r="D291" t="s">
        <v>11</v>
      </c>
      <c r="E291">
        <v>2.38</v>
      </c>
      <c r="F291">
        <v>146</v>
      </c>
      <c r="G291">
        <v>2.81</v>
      </c>
    </row>
    <row r="292" spans="1:7" x14ac:dyDescent="0.3">
      <c r="A292">
        <v>2020</v>
      </c>
      <c r="B292" t="s">
        <v>18</v>
      </c>
      <c r="C292" t="s">
        <v>17</v>
      </c>
      <c r="D292" t="s">
        <v>12</v>
      </c>
      <c r="E292">
        <v>6.53</v>
      </c>
      <c r="F292">
        <v>148</v>
      </c>
      <c r="G292">
        <v>2.89</v>
      </c>
    </row>
    <row r="293" spans="1:7" x14ac:dyDescent="0.3">
      <c r="A293">
        <v>2020</v>
      </c>
      <c r="B293" t="s">
        <v>18</v>
      </c>
      <c r="C293" t="s">
        <v>17</v>
      </c>
      <c r="D293" t="s">
        <v>13</v>
      </c>
      <c r="E293">
        <v>10.07</v>
      </c>
      <c r="F293">
        <v>150</v>
      </c>
      <c r="G293">
        <v>2.97</v>
      </c>
    </row>
    <row r="294" spans="1:7" x14ac:dyDescent="0.3">
      <c r="A294">
        <v>2020</v>
      </c>
      <c r="B294" t="s">
        <v>18</v>
      </c>
      <c r="C294" t="s">
        <v>17</v>
      </c>
      <c r="D294" t="s">
        <v>14</v>
      </c>
      <c r="E294">
        <v>6.84</v>
      </c>
      <c r="F294">
        <v>152</v>
      </c>
      <c r="G294">
        <v>3.05</v>
      </c>
    </row>
    <row r="295" spans="1:7" x14ac:dyDescent="0.3">
      <c r="A295">
        <v>2020</v>
      </c>
      <c r="B295" t="s">
        <v>18</v>
      </c>
      <c r="C295" t="s">
        <v>17</v>
      </c>
      <c r="D295" t="s">
        <v>15</v>
      </c>
      <c r="E295">
        <v>28.32</v>
      </c>
      <c r="F295">
        <v>154</v>
      </c>
      <c r="G295">
        <v>3.13</v>
      </c>
    </row>
    <row r="296" spans="1:7" x14ac:dyDescent="0.3">
      <c r="A296">
        <v>2020</v>
      </c>
      <c r="B296" t="s">
        <v>19</v>
      </c>
      <c r="C296" t="s">
        <v>8</v>
      </c>
      <c r="D296" t="s">
        <v>9</v>
      </c>
      <c r="E296">
        <v>100</v>
      </c>
      <c r="F296">
        <v>141.19999999999999</v>
      </c>
      <c r="G296">
        <v>2.8</v>
      </c>
    </row>
    <row r="297" spans="1:7" x14ac:dyDescent="0.3">
      <c r="A297">
        <v>2020</v>
      </c>
      <c r="B297" t="s">
        <v>19</v>
      </c>
      <c r="C297" t="s">
        <v>8</v>
      </c>
      <c r="D297" t="s">
        <v>10</v>
      </c>
      <c r="E297">
        <v>45.86</v>
      </c>
      <c r="F297">
        <v>143.19999999999999</v>
      </c>
      <c r="G297">
        <v>2.88</v>
      </c>
    </row>
    <row r="298" spans="1:7" x14ac:dyDescent="0.3">
      <c r="A298">
        <v>2020</v>
      </c>
      <c r="B298" t="s">
        <v>19</v>
      </c>
      <c r="C298" t="s">
        <v>8</v>
      </c>
      <c r="D298" t="s">
        <v>11</v>
      </c>
      <c r="E298">
        <v>2.38</v>
      </c>
      <c r="F298">
        <v>145.19999999999999</v>
      </c>
      <c r="G298">
        <v>2.96</v>
      </c>
    </row>
    <row r="299" spans="1:7" x14ac:dyDescent="0.3">
      <c r="A299">
        <v>2020</v>
      </c>
      <c r="B299" t="s">
        <v>19</v>
      </c>
      <c r="C299" t="s">
        <v>8</v>
      </c>
      <c r="D299" t="s">
        <v>12</v>
      </c>
      <c r="E299">
        <v>6.53</v>
      </c>
      <c r="F299">
        <v>147.19999999999999</v>
      </c>
      <c r="G299">
        <v>3.04</v>
      </c>
    </row>
    <row r="300" spans="1:7" x14ac:dyDescent="0.3">
      <c r="A300">
        <v>2020</v>
      </c>
      <c r="B300" t="s">
        <v>19</v>
      </c>
      <c r="C300" t="s">
        <v>8</v>
      </c>
      <c r="D300" t="s">
        <v>13</v>
      </c>
      <c r="E300">
        <v>10.07</v>
      </c>
      <c r="F300">
        <v>149.19999999999999</v>
      </c>
      <c r="G300">
        <v>3.12</v>
      </c>
    </row>
    <row r="301" spans="1:7" x14ac:dyDescent="0.3">
      <c r="A301">
        <v>2020</v>
      </c>
      <c r="B301" t="s">
        <v>19</v>
      </c>
      <c r="C301" t="s">
        <v>8</v>
      </c>
      <c r="D301" t="s">
        <v>14</v>
      </c>
      <c r="E301">
        <v>6.84</v>
      </c>
      <c r="F301">
        <v>151.19999999999999</v>
      </c>
      <c r="G301">
        <v>3.2</v>
      </c>
    </row>
    <row r="302" spans="1:7" x14ac:dyDescent="0.3">
      <c r="A302">
        <v>2020</v>
      </c>
      <c r="B302" t="s">
        <v>19</v>
      </c>
      <c r="C302" t="s">
        <v>8</v>
      </c>
      <c r="D302" t="s">
        <v>15</v>
      </c>
      <c r="E302">
        <v>28.32</v>
      </c>
      <c r="F302">
        <v>153.19999999999999</v>
      </c>
      <c r="G302">
        <v>3.28</v>
      </c>
    </row>
    <row r="303" spans="1:7" x14ac:dyDescent="0.3">
      <c r="A303">
        <v>2020</v>
      </c>
      <c r="B303" t="s">
        <v>19</v>
      </c>
      <c r="C303" t="s">
        <v>16</v>
      </c>
      <c r="D303" t="s">
        <v>9</v>
      </c>
      <c r="E303">
        <v>100</v>
      </c>
      <c r="F303">
        <v>141.80000000000001</v>
      </c>
      <c r="G303">
        <v>2.8</v>
      </c>
    </row>
    <row r="304" spans="1:7" x14ac:dyDescent="0.3">
      <c r="A304">
        <v>2020</v>
      </c>
      <c r="B304" t="s">
        <v>19</v>
      </c>
      <c r="C304" t="s">
        <v>16</v>
      </c>
      <c r="D304" t="s">
        <v>10</v>
      </c>
      <c r="E304">
        <v>45.86</v>
      </c>
      <c r="F304">
        <v>143.80000000000001</v>
      </c>
      <c r="G304">
        <v>2.88</v>
      </c>
    </row>
    <row r="305" spans="1:7" x14ac:dyDescent="0.3">
      <c r="A305">
        <v>2020</v>
      </c>
      <c r="B305" t="s">
        <v>19</v>
      </c>
      <c r="C305" t="s">
        <v>16</v>
      </c>
      <c r="D305" t="s">
        <v>11</v>
      </c>
      <c r="E305">
        <v>2.38</v>
      </c>
      <c r="F305">
        <v>145.80000000000001</v>
      </c>
      <c r="G305">
        <v>2.96</v>
      </c>
    </row>
    <row r="306" spans="1:7" x14ac:dyDescent="0.3">
      <c r="A306">
        <v>2020</v>
      </c>
      <c r="B306" t="s">
        <v>19</v>
      </c>
      <c r="C306" t="s">
        <v>16</v>
      </c>
      <c r="D306" t="s">
        <v>12</v>
      </c>
      <c r="E306">
        <v>6.53</v>
      </c>
      <c r="F306">
        <v>147.80000000000001</v>
      </c>
      <c r="G306">
        <v>3.04</v>
      </c>
    </row>
    <row r="307" spans="1:7" x14ac:dyDescent="0.3">
      <c r="A307">
        <v>2020</v>
      </c>
      <c r="B307" t="s">
        <v>19</v>
      </c>
      <c r="C307" t="s">
        <v>16</v>
      </c>
      <c r="D307" t="s">
        <v>13</v>
      </c>
      <c r="E307">
        <v>10.07</v>
      </c>
      <c r="F307">
        <v>149.80000000000001</v>
      </c>
      <c r="G307">
        <v>3.12</v>
      </c>
    </row>
    <row r="308" spans="1:7" x14ac:dyDescent="0.3">
      <c r="A308">
        <v>2020</v>
      </c>
      <c r="B308" t="s">
        <v>19</v>
      </c>
      <c r="C308" t="s">
        <v>16</v>
      </c>
      <c r="D308" t="s">
        <v>14</v>
      </c>
      <c r="E308">
        <v>6.84</v>
      </c>
      <c r="F308">
        <v>151.80000000000001</v>
      </c>
      <c r="G308">
        <v>3.2</v>
      </c>
    </row>
    <row r="309" spans="1:7" x14ac:dyDescent="0.3">
      <c r="A309">
        <v>2020</v>
      </c>
      <c r="B309" t="s">
        <v>19</v>
      </c>
      <c r="C309" t="s">
        <v>16</v>
      </c>
      <c r="D309" t="s">
        <v>15</v>
      </c>
      <c r="E309">
        <v>28.32</v>
      </c>
      <c r="F309">
        <v>153.80000000000001</v>
      </c>
      <c r="G309">
        <v>3.28</v>
      </c>
    </row>
    <row r="310" spans="1:7" x14ac:dyDescent="0.3">
      <c r="A310">
        <v>2020</v>
      </c>
      <c r="B310" t="s">
        <v>19</v>
      </c>
      <c r="C310" t="s">
        <v>17</v>
      </c>
      <c r="D310" t="s">
        <v>9</v>
      </c>
      <c r="E310">
        <v>100</v>
      </c>
      <c r="F310">
        <v>142.4</v>
      </c>
      <c r="G310">
        <v>2.8</v>
      </c>
    </row>
    <row r="311" spans="1:7" x14ac:dyDescent="0.3">
      <c r="A311">
        <v>2020</v>
      </c>
      <c r="B311" t="s">
        <v>19</v>
      </c>
      <c r="C311" t="s">
        <v>17</v>
      </c>
      <c r="D311" t="s">
        <v>10</v>
      </c>
      <c r="E311">
        <v>45.86</v>
      </c>
      <c r="F311">
        <v>144.4</v>
      </c>
      <c r="G311">
        <v>2.88</v>
      </c>
    </row>
    <row r="312" spans="1:7" x14ac:dyDescent="0.3">
      <c r="A312">
        <v>2020</v>
      </c>
      <c r="B312" t="s">
        <v>19</v>
      </c>
      <c r="C312" t="s">
        <v>17</v>
      </c>
      <c r="D312" t="s">
        <v>11</v>
      </c>
      <c r="E312">
        <v>2.38</v>
      </c>
      <c r="F312">
        <v>146.4</v>
      </c>
      <c r="G312">
        <v>2.96</v>
      </c>
    </row>
    <row r="313" spans="1:7" x14ac:dyDescent="0.3">
      <c r="A313">
        <v>2020</v>
      </c>
      <c r="B313" t="s">
        <v>19</v>
      </c>
      <c r="C313" t="s">
        <v>17</v>
      </c>
      <c r="D313" t="s">
        <v>12</v>
      </c>
      <c r="E313">
        <v>6.53</v>
      </c>
      <c r="F313">
        <v>148.4</v>
      </c>
      <c r="G313">
        <v>3.04</v>
      </c>
    </row>
    <row r="314" spans="1:7" x14ac:dyDescent="0.3">
      <c r="A314">
        <v>2020</v>
      </c>
      <c r="B314" t="s">
        <v>19</v>
      </c>
      <c r="C314" t="s">
        <v>17</v>
      </c>
      <c r="D314" t="s">
        <v>13</v>
      </c>
      <c r="E314">
        <v>10.07</v>
      </c>
      <c r="F314">
        <v>150.4</v>
      </c>
      <c r="G314">
        <v>3.12</v>
      </c>
    </row>
    <row r="315" spans="1:7" x14ac:dyDescent="0.3">
      <c r="A315">
        <v>2020</v>
      </c>
      <c r="B315" t="s">
        <v>19</v>
      </c>
      <c r="C315" t="s">
        <v>17</v>
      </c>
      <c r="D315" t="s">
        <v>14</v>
      </c>
      <c r="E315">
        <v>6.84</v>
      </c>
      <c r="F315">
        <v>152.4</v>
      </c>
      <c r="G315">
        <v>3.2</v>
      </c>
    </row>
    <row r="316" spans="1:7" x14ac:dyDescent="0.3">
      <c r="A316">
        <v>2020</v>
      </c>
      <c r="B316" t="s">
        <v>19</v>
      </c>
      <c r="C316" t="s">
        <v>17</v>
      </c>
      <c r="D316" t="s">
        <v>15</v>
      </c>
      <c r="E316">
        <v>28.32</v>
      </c>
      <c r="F316">
        <v>154.4</v>
      </c>
      <c r="G316">
        <v>3.28</v>
      </c>
    </row>
    <row r="317" spans="1:7" x14ac:dyDescent="0.3">
      <c r="A317">
        <v>2020</v>
      </c>
      <c r="B317" t="s">
        <v>20</v>
      </c>
      <c r="C317" t="s">
        <v>8</v>
      </c>
      <c r="D317" t="s">
        <v>9</v>
      </c>
      <c r="E317">
        <v>100</v>
      </c>
      <c r="F317">
        <v>141.6</v>
      </c>
      <c r="G317">
        <v>2.95</v>
      </c>
    </row>
    <row r="318" spans="1:7" x14ac:dyDescent="0.3">
      <c r="A318">
        <v>2020</v>
      </c>
      <c r="B318" t="s">
        <v>20</v>
      </c>
      <c r="C318" t="s">
        <v>8</v>
      </c>
      <c r="D318" t="s">
        <v>10</v>
      </c>
      <c r="E318">
        <v>45.86</v>
      </c>
      <c r="F318">
        <v>143.6</v>
      </c>
      <c r="G318">
        <v>3.03</v>
      </c>
    </row>
    <row r="319" spans="1:7" x14ac:dyDescent="0.3">
      <c r="A319">
        <v>2020</v>
      </c>
      <c r="B319" t="s">
        <v>20</v>
      </c>
      <c r="C319" t="s">
        <v>8</v>
      </c>
      <c r="D319" t="s">
        <v>11</v>
      </c>
      <c r="E319">
        <v>2.38</v>
      </c>
      <c r="F319">
        <v>145.6</v>
      </c>
      <c r="G319">
        <v>3.11</v>
      </c>
    </row>
    <row r="320" spans="1:7" x14ac:dyDescent="0.3">
      <c r="A320">
        <v>2020</v>
      </c>
      <c r="B320" t="s">
        <v>20</v>
      </c>
      <c r="C320" t="s">
        <v>8</v>
      </c>
      <c r="D320" t="s">
        <v>12</v>
      </c>
      <c r="E320">
        <v>6.53</v>
      </c>
      <c r="F320">
        <v>147.6</v>
      </c>
      <c r="G320">
        <v>3.19</v>
      </c>
    </row>
    <row r="321" spans="1:7" x14ac:dyDescent="0.3">
      <c r="A321">
        <v>2020</v>
      </c>
      <c r="B321" t="s">
        <v>20</v>
      </c>
      <c r="C321" t="s">
        <v>8</v>
      </c>
      <c r="D321" t="s">
        <v>13</v>
      </c>
      <c r="E321">
        <v>10.07</v>
      </c>
      <c r="F321">
        <v>149.6</v>
      </c>
      <c r="G321">
        <v>3.27</v>
      </c>
    </row>
    <row r="322" spans="1:7" x14ac:dyDescent="0.3">
      <c r="A322">
        <v>2020</v>
      </c>
      <c r="B322" t="s">
        <v>20</v>
      </c>
      <c r="C322" t="s">
        <v>8</v>
      </c>
      <c r="D322" t="s">
        <v>14</v>
      </c>
      <c r="E322">
        <v>6.84</v>
      </c>
      <c r="F322">
        <v>151.6</v>
      </c>
      <c r="G322">
        <v>3.35</v>
      </c>
    </row>
    <row r="323" spans="1:7" x14ac:dyDescent="0.3">
      <c r="A323">
        <v>2020</v>
      </c>
      <c r="B323" t="s">
        <v>20</v>
      </c>
      <c r="C323" t="s">
        <v>8</v>
      </c>
      <c r="D323" t="s">
        <v>15</v>
      </c>
      <c r="E323">
        <v>28.32</v>
      </c>
      <c r="F323">
        <v>153.6</v>
      </c>
      <c r="G323">
        <v>3.43</v>
      </c>
    </row>
    <row r="324" spans="1:7" x14ac:dyDescent="0.3">
      <c r="A324">
        <v>2020</v>
      </c>
      <c r="B324" t="s">
        <v>20</v>
      </c>
      <c r="C324" t="s">
        <v>16</v>
      </c>
      <c r="D324" t="s">
        <v>9</v>
      </c>
      <c r="E324">
        <v>100</v>
      </c>
      <c r="F324">
        <v>142.19999999999999</v>
      </c>
      <c r="G324">
        <v>2.95</v>
      </c>
    </row>
    <row r="325" spans="1:7" x14ac:dyDescent="0.3">
      <c r="A325">
        <v>2020</v>
      </c>
      <c r="B325" t="s">
        <v>20</v>
      </c>
      <c r="C325" t="s">
        <v>16</v>
      </c>
      <c r="D325" t="s">
        <v>10</v>
      </c>
      <c r="E325">
        <v>45.86</v>
      </c>
      <c r="F325">
        <v>144.19999999999999</v>
      </c>
      <c r="G325">
        <v>3.03</v>
      </c>
    </row>
    <row r="326" spans="1:7" x14ac:dyDescent="0.3">
      <c r="A326">
        <v>2020</v>
      </c>
      <c r="B326" t="s">
        <v>20</v>
      </c>
      <c r="C326" t="s">
        <v>16</v>
      </c>
      <c r="D326" t="s">
        <v>11</v>
      </c>
      <c r="E326">
        <v>2.38</v>
      </c>
      <c r="F326">
        <v>146.19999999999999</v>
      </c>
      <c r="G326">
        <v>3.11</v>
      </c>
    </row>
    <row r="327" spans="1:7" x14ac:dyDescent="0.3">
      <c r="A327">
        <v>2020</v>
      </c>
      <c r="B327" t="s">
        <v>20</v>
      </c>
      <c r="C327" t="s">
        <v>16</v>
      </c>
      <c r="D327" t="s">
        <v>12</v>
      </c>
      <c r="E327">
        <v>6.53</v>
      </c>
      <c r="F327">
        <v>148.19999999999999</v>
      </c>
      <c r="G327">
        <v>3.19</v>
      </c>
    </row>
    <row r="328" spans="1:7" x14ac:dyDescent="0.3">
      <c r="A328">
        <v>2020</v>
      </c>
      <c r="B328" t="s">
        <v>20</v>
      </c>
      <c r="C328" t="s">
        <v>16</v>
      </c>
      <c r="D328" t="s">
        <v>13</v>
      </c>
      <c r="E328">
        <v>10.07</v>
      </c>
      <c r="F328">
        <v>150.19999999999999</v>
      </c>
      <c r="G328">
        <v>3.27</v>
      </c>
    </row>
    <row r="329" spans="1:7" x14ac:dyDescent="0.3">
      <c r="A329">
        <v>2020</v>
      </c>
      <c r="B329" t="s">
        <v>20</v>
      </c>
      <c r="C329" t="s">
        <v>16</v>
      </c>
      <c r="D329" t="s">
        <v>14</v>
      </c>
      <c r="E329">
        <v>6.84</v>
      </c>
      <c r="F329">
        <v>152.19999999999999</v>
      </c>
      <c r="G329">
        <v>3.35</v>
      </c>
    </row>
    <row r="330" spans="1:7" x14ac:dyDescent="0.3">
      <c r="A330">
        <v>2020</v>
      </c>
      <c r="B330" t="s">
        <v>20</v>
      </c>
      <c r="C330" t="s">
        <v>16</v>
      </c>
      <c r="D330" t="s">
        <v>15</v>
      </c>
      <c r="E330">
        <v>28.32</v>
      </c>
      <c r="F330">
        <v>154.19999999999999</v>
      </c>
      <c r="G330">
        <v>3.43</v>
      </c>
    </row>
    <row r="331" spans="1:7" x14ac:dyDescent="0.3">
      <c r="A331">
        <v>2020</v>
      </c>
      <c r="B331" t="s">
        <v>20</v>
      </c>
      <c r="C331" t="s">
        <v>17</v>
      </c>
      <c r="D331" t="s">
        <v>9</v>
      </c>
      <c r="E331">
        <v>100</v>
      </c>
      <c r="F331">
        <v>142.80000000000001</v>
      </c>
      <c r="G331">
        <v>2.95</v>
      </c>
    </row>
    <row r="332" spans="1:7" x14ac:dyDescent="0.3">
      <c r="A332">
        <v>2020</v>
      </c>
      <c r="B332" t="s">
        <v>20</v>
      </c>
      <c r="C332" t="s">
        <v>17</v>
      </c>
      <c r="D332" t="s">
        <v>10</v>
      </c>
      <c r="E332">
        <v>45.86</v>
      </c>
      <c r="F332">
        <v>144.80000000000001</v>
      </c>
      <c r="G332">
        <v>3.03</v>
      </c>
    </row>
    <row r="333" spans="1:7" x14ac:dyDescent="0.3">
      <c r="A333">
        <v>2020</v>
      </c>
      <c r="B333" t="s">
        <v>20</v>
      </c>
      <c r="C333" t="s">
        <v>17</v>
      </c>
      <c r="D333" t="s">
        <v>11</v>
      </c>
      <c r="E333">
        <v>2.38</v>
      </c>
      <c r="F333">
        <v>146.80000000000001</v>
      </c>
      <c r="G333">
        <v>3.11</v>
      </c>
    </row>
    <row r="334" spans="1:7" x14ac:dyDescent="0.3">
      <c r="A334">
        <v>2020</v>
      </c>
      <c r="B334" t="s">
        <v>20</v>
      </c>
      <c r="C334" t="s">
        <v>17</v>
      </c>
      <c r="D334" t="s">
        <v>12</v>
      </c>
      <c r="E334">
        <v>6.53</v>
      </c>
      <c r="F334">
        <v>148.80000000000001</v>
      </c>
      <c r="G334">
        <v>3.19</v>
      </c>
    </row>
    <row r="335" spans="1:7" x14ac:dyDescent="0.3">
      <c r="A335">
        <v>2020</v>
      </c>
      <c r="B335" t="s">
        <v>20</v>
      </c>
      <c r="C335" t="s">
        <v>17</v>
      </c>
      <c r="D335" t="s">
        <v>13</v>
      </c>
      <c r="E335">
        <v>10.07</v>
      </c>
      <c r="F335">
        <v>150.80000000000001</v>
      </c>
      <c r="G335">
        <v>3.27</v>
      </c>
    </row>
    <row r="336" spans="1:7" x14ac:dyDescent="0.3">
      <c r="A336">
        <v>2020</v>
      </c>
      <c r="B336" t="s">
        <v>20</v>
      </c>
      <c r="C336" t="s">
        <v>17</v>
      </c>
      <c r="D336" t="s">
        <v>14</v>
      </c>
      <c r="E336">
        <v>6.84</v>
      </c>
      <c r="F336">
        <v>152.80000000000001</v>
      </c>
      <c r="G336">
        <v>3.35</v>
      </c>
    </row>
    <row r="337" spans="1:7" x14ac:dyDescent="0.3">
      <c r="A337">
        <v>2020</v>
      </c>
      <c r="B337" t="s">
        <v>20</v>
      </c>
      <c r="C337" t="s">
        <v>17</v>
      </c>
      <c r="D337" t="s">
        <v>15</v>
      </c>
      <c r="E337">
        <v>28.32</v>
      </c>
      <c r="F337">
        <v>154.80000000000001</v>
      </c>
      <c r="G337">
        <v>3.43</v>
      </c>
    </row>
    <row r="338" spans="1:7" x14ac:dyDescent="0.3">
      <c r="A338">
        <v>2020</v>
      </c>
      <c r="B338" t="s">
        <v>21</v>
      </c>
      <c r="C338" t="s">
        <v>8</v>
      </c>
      <c r="D338" t="s">
        <v>9</v>
      </c>
      <c r="E338">
        <v>100</v>
      </c>
      <c r="F338">
        <v>142</v>
      </c>
      <c r="G338">
        <v>3.1</v>
      </c>
    </row>
    <row r="339" spans="1:7" x14ac:dyDescent="0.3">
      <c r="A339">
        <v>2020</v>
      </c>
      <c r="B339" t="s">
        <v>21</v>
      </c>
      <c r="C339" t="s">
        <v>8</v>
      </c>
      <c r="D339" t="s">
        <v>10</v>
      </c>
      <c r="E339">
        <v>45.86</v>
      </c>
      <c r="F339">
        <v>144</v>
      </c>
      <c r="G339">
        <v>3.18</v>
      </c>
    </row>
    <row r="340" spans="1:7" x14ac:dyDescent="0.3">
      <c r="A340">
        <v>2020</v>
      </c>
      <c r="B340" t="s">
        <v>21</v>
      </c>
      <c r="C340" t="s">
        <v>8</v>
      </c>
      <c r="D340" t="s">
        <v>11</v>
      </c>
      <c r="E340">
        <v>2.38</v>
      </c>
      <c r="F340">
        <v>146</v>
      </c>
      <c r="G340">
        <v>3.26</v>
      </c>
    </row>
    <row r="341" spans="1:7" x14ac:dyDescent="0.3">
      <c r="A341">
        <v>2020</v>
      </c>
      <c r="B341" t="s">
        <v>21</v>
      </c>
      <c r="C341" t="s">
        <v>8</v>
      </c>
      <c r="D341" t="s">
        <v>12</v>
      </c>
      <c r="E341">
        <v>6.53</v>
      </c>
      <c r="F341">
        <v>148</v>
      </c>
      <c r="G341">
        <v>3.34</v>
      </c>
    </row>
    <row r="342" spans="1:7" x14ac:dyDescent="0.3">
      <c r="A342">
        <v>2020</v>
      </c>
      <c r="B342" t="s">
        <v>21</v>
      </c>
      <c r="C342" t="s">
        <v>8</v>
      </c>
      <c r="D342" t="s">
        <v>13</v>
      </c>
      <c r="E342">
        <v>10.07</v>
      </c>
      <c r="F342">
        <v>150</v>
      </c>
      <c r="G342">
        <v>3.42</v>
      </c>
    </row>
    <row r="343" spans="1:7" x14ac:dyDescent="0.3">
      <c r="A343">
        <v>2020</v>
      </c>
      <c r="B343" t="s">
        <v>21</v>
      </c>
      <c r="C343" t="s">
        <v>8</v>
      </c>
      <c r="D343" t="s">
        <v>14</v>
      </c>
      <c r="E343">
        <v>6.84</v>
      </c>
      <c r="F343">
        <v>152</v>
      </c>
      <c r="G343">
        <v>3.5</v>
      </c>
    </row>
    <row r="344" spans="1:7" x14ac:dyDescent="0.3">
      <c r="A344">
        <v>2020</v>
      </c>
      <c r="B344" t="s">
        <v>21</v>
      </c>
      <c r="C344" t="s">
        <v>8</v>
      </c>
      <c r="D344" t="s">
        <v>15</v>
      </c>
      <c r="E344">
        <v>28.32</v>
      </c>
      <c r="F344">
        <v>154</v>
      </c>
      <c r="G344">
        <v>3.58</v>
      </c>
    </row>
    <row r="345" spans="1:7" x14ac:dyDescent="0.3">
      <c r="A345">
        <v>2020</v>
      </c>
      <c r="B345" t="s">
        <v>21</v>
      </c>
      <c r="C345" t="s">
        <v>16</v>
      </c>
      <c r="D345" t="s">
        <v>9</v>
      </c>
      <c r="E345">
        <v>100</v>
      </c>
      <c r="F345">
        <v>142.6</v>
      </c>
      <c r="G345">
        <v>3.1</v>
      </c>
    </row>
    <row r="346" spans="1:7" x14ac:dyDescent="0.3">
      <c r="A346">
        <v>2020</v>
      </c>
      <c r="B346" t="s">
        <v>21</v>
      </c>
      <c r="C346" t="s">
        <v>16</v>
      </c>
      <c r="D346" t="s">
        <v>10</v>
      </c>
      <c r="E346">
        <v>45.86</v>
      </c>
      <c r="F346">
        <v>144.6</v>
      </c>
      <c r="G346">
        <v>3.18</v>
      </c>
    </row>
    <row r="347" spans="1:7" x14ac:dyDescent="0.3">
      <c r="A347">
        <v>2020</v>
      </c>
      <c r="B347" t="s">
        <v>21</v>
      </c>
      <c r="C347" t="s">
        <v>16</v>
      </c>
      <c r="D347" t="s">
        <v>11</v>
      </c>
      <c r="E347">
        <v>2.38</v>
      </c>
      <c r="F347">
        <v>146.6</v>
      </c>
      <c r="G347">
        <v>3.26</v>
      </c>
    </row>
    <row r="348" spans="1:7" x14ac:dyDescent="0.3">
      <c r="A348">
        <v>2020</v>
      </c>
      <c r="B348" t="s">
        <v>21</v>
      </c>
      <c r="C348" t="s">
        <v>16</v>
      </c>
      <c r="D348" t="s">
        <v>12</v>
      </c>
      <c r="E348">
        <v>6.53</v>
      </c>
      <c r="F348">
        <v>148.6</v>
      </c>
      <c r="G348">
        <v>3.34</v>
      </c>
    </row>
    <row r="349" spans="1:7" x14ac:dyDescent="0.3">
      <c r="A349">
        <v>2020</v>
      </c>
      <c r="B349" t="s">
        <v>21</v>
      </c>
      <c r="C349" t="s">
        <v>16</v>
      </c>
      <c r="D349" t="s">
        <v>13</v>
      </c>
      <c r="E349">
        <v>10.07</v>
      </c>
      <c r="F349">
        <v>150.6</v>
      </c>
      <c r="G349">
        <v>3.42</v>
      </c>
    </row>
    <row r="350" spans="1:7" x14ac:dyDescent="0.3">
      <c r="A350">
        <v>2020</v>
      </c>
      <c r="B350" t="s">
        <v>21</v>
      </c>
      <c r="C350" t="s">
        <v>16</v>
      </c>
      <c r="D350" t="s">
        <v>14</v>
      </c>
      <c r="E350">
        <v>6.84</v>
      </c>
      <c r="F350">
        <v>152.6</v>
      </c>
      <c r="G350">
        <v>3.5</v>
      </c>
    </row>
    <row r="351" spans="1:7" x14ac:dyDescent="0.3">
      <c r="A351">
        <v>2020</v>
      </c>
      <c r="B351" t="s">
        <v>21</v>
      </c>
      <c r="C351" t="s">
        <v>16</v>
      </c>
      <c r="D351" t="s">
        <v>15</v>
      </c>
      <c r="E351">
        <v>28.32</v>
      </c>
      <c r="F351">
        <v>154.6</v>
      </c>
      <c r="G351">
        <v>3.58</v>
      </c>
    </row>
    <row r="352" spans="1:7" x14ac:dyDescent="0.3">
      <c r="A352">
        <v>2020</v>
      </c>
      <c r="B352" t="s">
        <v>21</v>
      </c>
      <c r="C352" t="s">
        <v>17</v>
      </c>
      <c r="D352" t="s">
        <v>9</v>
      </c>
      <c r="E352">
        <v>100</v>
      </c>
      <c r="F352">
        <v>143.19999999999999</v>
      </c>
      <c r="G352">
        <v>3.1</v>
      </c>
    </row>
    <row r="353" spans="1:7" x14ac:dyDescent="0.3">
      <c r="A353">
        <v>2020</v>
      </c>
      <c r="B353" t="s">
        <v>21</v>
      </c>
      <c r="C353" t="s">
        <v>17</v>
      </c>
      <c r="D353" t="s">
        <v>10</v>
      </c>
      <c r="E353">
        <v>45.86</v>
      </c>
      <c r="F353">
        <v>145.19999999999999</v>
      </c>
      <c r="G353">
        <v>3.18</v>
      </c>
    </row>
    <row r="354" spans="1:7" x14ac:dyDescent="0.3">
      <c r="A354">
        <v>2020</v>
      </c>
      <c r="B354" t="s">
        <v>21</v>
      </c>
      <c r="C354" t="s">
        <v>17</v>
      </c>
      <c r="D354" t="s">
        <v>11</v>
      </c>
      <c r="E354">
        <v>2.38</v>
      </c>
      <c r="F354">
        <v>147.19999999999999</v>
      </c>
      <c r="G354">
        <v>3.26</v>
      </c>
    </row>
    <row r="355" spans="1:7" x14ac:dyDescent="0.3">
      <c r="A355">
        <v>2020</v>
      </c>
      <c r="B355" t="s">
        <v>21</v>
      </c>
      <c r="C355" t="s">
        <v>17</v>
      </c>
      <c r="D355" t="s">
        <v>12</v>
      </c>
      <c r="E355">
        <v>6.53</v>
      </c>
      <c r="F355">
        <v>149.19999999999999</v>
      </c>
      <c r="G355">
        <v>3.34</v>
      </c>
    </row>
    <row r="356" spans="1:7" x14ac:dyDescent="0.3">
      <c r="A356">
        <v>2020</v>
      </c>
      <c r="B356" t="s">
        <v>21</v>
      </c>
      <c r="C356" t="s">
        <v>17</v>
      </c>
      <c r="D356" t="s">
        <v>13</v>
      </c>
      <c r="E356">
        <v>10.07</v>
      </c>
      <c r="F356">
        <v>151.19999999999999</v>
      </c>
      <c r="G356">
        <v>3.42</v>
      </c>
    </row>
    <row r="357" spans="1:7" x14ac:dyDescent="0.3">
      <c r="A357">
        <v>2020</v>
      </c>
      <c r="B357" t="s">
        <v>21</v>
      </c>
      <c r="C357" t="s">
        <v>17</v>
      </c>
      <c r="D357" t="s">
        <v>14</v>
      </c>
      <c r="E357">
        <v>6.84</v>
      </c>
      <c r="F357">
        <v>153.19999999999999</v>
      </c>
      <c r="G357">
        <v>3.5</v>
      </c>
    </row>
    <row r="358" spans="1:7" x14ac:dyDescent="0.3">
      <c r="A358">
        <v>2020</v>
      </c>
      <c r="B358" t="s">
        <v>21</v>
      </c>
      <c r="C358" t="s">
        <v>17</v>
      </c>
      <c r="D358" t="s">
        <v>15</v>
      </c>
      <c r="E358">
        <v>28.32</v>
      </c>
      <c r="F358">
        <v>155.19999999999999</v>
      </c>
      <c r="G358">
        <v>3.58</v>
      </c>
    </row>
    <row r="359" spans="1:7" x14ac:dyDescent="0.3">
      <c r="A359">
        <v>2020</v>
      </c>
      <c r="B359" t="s">
        <v>22</v>
      </c>
      <c r="C359" t="s">
        <v>8</v>
      </c>
      <c r="D359" t="s">
        <v>9</v>
      </c>
      <c r="E359">
        <v>100</v>
      </c>
      <c r="F359">
        <v>142.4</v>
      </c>
      <c r="G359">
        <v>2.35</v>
      </c>
    </row>
    <row r="360" spans="1:7" x14ac:dyDescent="0.3">
      <c r="A360">
        <v>2020</v>
      </c>
      <c r="B360" t="s">
        <v>22</v>
      </c>
      <c r="C360" t="s">
        <v>8</v>
      </c>
      <c r="D360" t="s">
        <v>10</v>
      </c>
      <c r="E360">
        <v>45.86</v>
      </c>
      <c r="F360">
        <v>144.4</v>
      </c>
      <c r="G360">
        <v>2.4300000000000002</v>
      </c>
    </row>
    <row r="361" spans="1:7" x14ac:dyDescent="0.3">
      <c r="A361">
        <v>2020</v>
      </c>
      <c r="B361" t="s">
        <v>22</v>
      </c>
      <c r="C361" t="s">
        <v>8</v>
      </c>
      <c r="D361" t="s">
        <v>11</v>
      </c>
      <c r="E361">
        <v>2.38</v>
      </c>
      <c r="F361">
        <v>146.4</v>
      </c>
      <c r="G361">
        <v>2.5099999999999998</v>
      </c>
    </row>
    <row r="362" spans="1:7" x14ac:dyDescent="0.3">
      <c r="A362">
        <v>2020</v>
      </c>
      <c r="B362" t="s">
        <v>22</v>
      </c>
      <c r="C362" t="s">
        <v>8</v>
      </c>
      <c r="D362" t="s">
        <v>12</v>
      </c>
      <c r="E362">
        <v>6.53</v>
      </c>
      <c r="F362">
        <v>148.4</v>
      </c>
      <c r="G362">
        <v>2.59</v>
      </c>
    </row>
    <row r="363" spans="1:7" x14ac:dyDescent="0.3">
      <c r="A363">
        <v>2020</v>
      </c>
      <c r="B363" t="s">
        <v>22</v>
      </c>
      <c r="C363" t="s">
        <v>8</v>
      </c>
      <c r="D363" t="s">
        <v>13</v>
      </c>
      <c r="E363">
        <v>10.07</v>
      </c>
      <c r="F363">
        <v>150.4</v>
      </c>
      <c r="G363">
        <v>2.67</v>
      </c>
    </row>
    <row r="364" spans="1:7" x14ac:dyDescent="0.3">
      <c r="A364">
        <v>2020</v>
      </c>
      <c r="B364" t="s">
        <v>22</v>
      </c>
      <c r="C364" t="s">
        <v>8</v>
      </c>
      <c r="D364" t="s">
        <v>14</v>
      </c>
      <c r="E364">
        <v>6.84</v>
      </c>
      <c r="F364">
        <v>152.4</v>
      </c>
      <c r="G364">
        <v>2.75</v>
      </c>
    </row>
    <row r="365" spans="1:7" x14ac:dyDescent="0.3">
      <c r="A365">
        <v>2020</v>
      </c>
      <c r="B365" t="s">
        <v>22</v>
      </c>
      <c r="C365" t="s">
        <v>8</v>
      </c>
      <c r="D365" t="s">
        <v>15</v>
      </c>
      <c r="E365">
        <v>28.32</v>
      </c>
      <c r="F365">
        <v>154.4</v>
      </c>
      <c r="G365">
        <v>2.83</v>
      </c>
    </row>
    <row r="366" spans="1:7" x14ac:dyDescent="0.3">
      <c r="A366">
        <v>2020</v>
      </c>
      <c r="B366" t="s">
        <v>22</v>
      </c>
      <c r="C366" t="s">
        <v>16</v>
      </c>
      <c r="D366" t="s">
        <v>9</v>
      </c>
      <c r="E366">
        <v>100</v>
      </c>
      <c r="F366">
        <v>143</v>
      </c>
      <c r="G366">
        <v>2.35</v>
      </c>
    </row>
    <row r="367" spans="1:7" x14ac:dyDescent="0.3">
      <c r="A367">
        <v>2020</v>
      </c>
      <c r="B367" t="s">
        <v>22</v>
      </c>
      <c r="C367" t="s">
        <v>16</v>
      </c>
      <c r="D367" t="s">
        <v>10</v>
      </c>
      <c r="E367">
        <v>45.86</v>
      </c>
      <c r="F367">
        <v>145</v>
      </c>
      <c r="G367">
        <v>2.4300000000000002</v>
      </c>
    </row>
    <row r="368" spans="1:7" x14ac:dyDescent="0.3">
      <c r="A368">
        <v>2020</v>
      </c>
      <c r="B368" t="s">
        <v>22</v>
      </c>
      <c r="C368" t="s">
        <v>16</v>
      </c>
      <c r="D368" t="s">
        <v>11</v>
      </c>
      <c r="E368">
        <v>2.38</v>
      </c>
      <c r="F368">
        <v>147</v>
      </c>
      <c r="G368">
        <v>2.5099999999999998</v>
      </c>
    </row>
    <row r="369" spans="1:7" x14ac:dyDescent="0.3">
      <c r="A369">
        <v>2020</v>
      </c>
      <c r="B369" t="s">
        <v>22</v>
      </c>
      <c r="C369" t="s">
        <v>16</v>
      </c>
      <c r="D369" t="s">
        <v>12</v>
      </c>
      <c r="E369">
        <v>6.53</v>
      </c>
      <c r="F369">
        <v>149</v>
      </c>
      <c r="G369">
        <v>2.59</v>
      </c>
    </row>
    <row r="370" spans="1:7" x14ac:dyDescent="0.3">
      <c r="A370">
        <v>2020</v>
      </c>
      <c r="B370" t="s">
        <v>22</v>
      </c>
      <c r="C370" t="s">
        <v>16</v>
      </c>
      <c r="D370" t="s">
        <v>13</v>
      </c>
      <c r="E370">
        <v>10.07</v>
      </c>
      <c r="F370">
        <v>151</v>
      </c>
      <c r="G370">
        <v>2.67</v>
      </c>
    </row>
    <row r="371" spans="1:7" x14ac:dyDescent="0.3">
      <c r="A371">
        <v>2020</v>
      </c>
      <c r="B371" t="s">
        <v>22</v>
      </c>
      <c r="C371" t="s">
        <v>16</v>
      </c>
      <c r="D371" t="s">
        <v>14</v>
      </c>
      <c r="E371">
        <v>6.84</v>
      </c>
      <c r="F371">
        <v>153</v>
      </c>
      <c r="G371">
        <v>2.75</v>
      </c>
    </row>
    <row r="372" spans="1:7" x14ac:dyDescent="0.3">
      <c r="A372">
        <v>2020</v>
      </c>
      <c r="B372" t="s">
        <v>22</v>
      </c>
      <c r="C372" t="s">
        <v>16</v>
      </c>
      <c r="D372" t="s">
        <v>15</v>
      </c>
      <c r="E372">
        <v>28.32</v>
      </c>
      <c r="F372">
        <v>155</v>
      </c>
      <c r="G372">
        <v>2.83</v>
      </c>
    </row>
    <row r="373" spans="1:7" x14ac:dyDescent="0.3">
      <c r="A373">
        <v>2020</v>
      </c>
      <c r="B373" t="s">
        <v>22</v>
      </c>
      <c r="C373" t="s">
        <v>17</v>
      </c>
      <c r="D373" t="s">
        <v>9</v>
      </c>
      <c r="E373">
        <v>100</v>
      </c>
      <c r="F373">
        <v>143.6</v>
      </c>
      <c r="G373">
        <v>2.35</v>
      </c>
    </row>
    <row r="374" spans="1:7" x14ac:dyDescent="0.3">
      <c r="A374">
        <v>2020</v>
      </c>
      <c r="B374" t="s">
        <v>22</v>
      </c>
      <c r="C374" t="s">
        <v>17</v>
      </c>
      <c r="D374" t="s">
        <v>10</v>
      </c>
      <c r="E374">
        <v>45.86</v>
      </c>
      <c r="F374">
        <v>145.6</v>
      </c>
      <c r="G374">
        <v>2.4300000000000002</v>
      </c>
    </row>
    <row r="375" spans="1:7" x14ac:dyDescent="0.3">
      <c r="A375">
        <v>2020</v>
      </c>
      <c r="B375" t="s">
        <v>22</v>
      </c>
      <c r="C375" t="s">
        <v>17</v>
      </c>
      <c r="D375" t="s">
        <v>11</v>
      </c>
      <c r="E375">
        <v>2.38</v>
      </c>
      <c r="F375">
        <v>147.6</v>
      </c>
      <c r="G375">
        <v>2.5099999999999998</v>
      </c>
    </row>
    <row r="376" spans="1:7" x14ac:dyDescent="0.3">
      <c r="A376">
        <v>2020</v>
      </c>
      <c r="B376" t="s">
        <v>22</v>
      </c>
      <c r="C376" t="s">
        <v>17</v>
      </c>
      <c r="D376" t="s">
        <v>12</v>
      </c>
      <c r="E376">
        <v>6.53</v>
      </c>
      <c r="F376">
        <v>149.6</v>
      </c>
      <c r="G376">
        <v>2.59</v>
      </c>
    </row>
    <row r="377" spans="1:7" x14ac:dyDescent="0.3">
      <c r="A377">
        <v>2020</v>
      </c>
      <c r="B377" t="s">
        <v>22</v>
      </c>
      <c r="C377" t="s">
        <v>17</v>
      </c>
      <c r="D377" t="s">
        <v>13</v>
      </c>
      <c r="E377">
        <v>10.07</v>
      </c>
      <c r="F377">
        <v>151.6</v>
      </c>
      <c r="G377">
        <v>2.67</v>
      </c>
    </row>
    <row r="378" spans="1:7" x14ac:dyDescent="0.3">
      <c r="A378">
        <v>2020</v>
      </c>
      <c r="B378" t="s">
        <v>22</v>
      </c>
      <c r="C378" t="s">
        <v>17</v>
      </c>
      <c r="D378" t="s">
        <v>14</v>
      </c>
      <c r="E378">
        <v>6.84</v>
      </c>
      <c r="F378">
        <v>153.6</v>
      </c>
      <c r="G378">
        <v>2.75</v>
      </c>
    </row>
    <row r="379" spans="1:7" x14ac:dyDescent="0.3">
      <c r="A379">
        <v>2020</v>
      </c>
      <c r="B379" t="s">
        <v>22</v>
      </c>
      <c r="C379" t="s">
        <v>17</v>
      </c>
      <c r="D379" t="s">
        <v>15</v>
      </c>
      <c r="E379">
        <v>28.32</v>
      </c>
      <c r="F379">
        <v>155.6</v>
      </c>
      <c r="G379">
        <v>2.83</v>
      </c>
    </row>
    <row r="380" spans="1:7" x14ac:dyDescent="0.3">
      <c r="A380">
        <v>2020</v>
      </c>
      <c r="B380" t="s">
        <v>23</v>
      </c>
      <c r="C380" t="s">
        <v>8</v>
      </c>
      <c r="D380" t="s">
        <v>9</v>
      </c>
      <c r="E380">
        <v>100</v>
      </c>
      <c r="F380">
        <v>142.80000000000001</v>
      </c>
      <c r="G380">
        <v>2.5</v>
      </c>
    </row>
    <row r="381" spans="1:7" x14ac:dyDescent="0.3">
      <c r="A381">
        <v>2020</v>
      </c>
      <c r="B381" t="s">
        <v>23</v>
      </c>
      <c r="C381" t="s">
        <v>8</v>
      </c>
      <c r="D381" t="s">
        <v>10</v>
      </c>
      <c r="E381">
        <v>45.86</v>
      </c>
      <c r="F381">
        <v>144.80000000000001</v>
      </c>
      <c r="G381">
        <v>2.58</v>
      </c>
    </row>
    <row r="382" spans="1:7" x14ac:dyDescent="0.3">
      <c r="A382">
        <v>2020</v>
      </c>
      <c r="B382" t="s">
        <v>23</v>
      </c>
      <c r="C382" t="s">
        <v>8</v>
      </c>
      <c r="D382" t="s">
        <v>11</v>
      </c>
      <c r="E382">
        <v>2.38</v>
      </c>
      <c r="F382">
        <v>146.80000000000001</v>
      </c>
      <c r="G382">
        <v>2.66</v>
      </c>
    </row>
    <row r="383" spans="1:7" x14ac:dyDescent="0.3">
      <c r="A383">
        <v>2020</v>
      </c>
      <c r="B383" t="s">
        <v>23</v>
      </c>
      <c r="C383" t="s">
        <v>8</v>
      </c>
      <c r="D383" t="s">
        <v>12</v>
      </c>
      <c r="E383">
        <v>6.53</v>
      </c>
      <c r="F383">
        <v>148.80000000000001</v>
      </c>
      <c r="G383">
        <v>2.74</v>
      </c>
    </row>
    <row r="384" spans="1:7" x14ac:dyDescent="0.3">
      <c r="A384">
        <v>2020</v>
      </c>
      <c r="B384" t="s">
        <v>23</v>
      </c>
      <c r="C384" t="s">
        <v>8</v>
      </c>
      <c r="D384" t="s">
        <v>13</v>
      </c>
      <c r="E384">
        <v>10.07</v>
      </c>
      <c r="F384">
        <v>150.80000000000001</v>
      </c>
      <c r="G384">
        <v>2.82</v>
      </c>
    </row>
    <row r="385" spans="1:7" x14ac:dyDescent="0.3">
      <c r="A385">
        <v>2020</v>
      </c>
      <c r="B385" t="s">
        <v>23</v>
      </c>
      <c r="C385" t="s">
        <v>8</v>
      </c>
      <c r="D385" t="s">
        <v>14</v>
      </c>
      <c r="E385">
        <v>6.84</v>
      </c>
      <c r="F385">
        <v>152.80000000000001</v>
      </c>
      <c r="G385">
        <v>2.9</v>
      </c>
    </row>
    <row r="386" spans="1:7" x14ac:dyDescent="0.3">
      <c r="A386">
        <v>2020</v>
      </c>
      <c r="B386" t="s">
        <v>23</v>
      </c>
      <c r="C386" t="s">
        <v>8</v>
      </c>
      <c r="D386" t="s">
        <v>15</v>
      </c>
      <c r="E386">
        <v>28.32</v>
      </c>
      <c r="F386">
        <v>154.80000000000001</v>
      </c>
      <c r="G386">
        <v>2.98</v>
      </c>
    </row>
    <row r="387" spans="1:7" x14ac:dyDescent="0.3">
      <c r="A387">
        <v>2020</v>
      </c>
      <c r="B387" t="s">
        <v>23</v>
      </c>
      <c r="C387" t="s">
        <v>16</v>
      </c>
      <c r="D387" t="s">
        <v>9</v>
      </c>
      <c r="E387">
        <v>100</v>
      </c>
      <c r="F387">
        <v>143.4</v>
      </c>
      <c r="G387">
        <v>2.5</v>
      </c>
    </row>
    <row r="388" spans="1:7" x14ac:dyDescent="0.3">
      <c r="A388">
        <v>2020</v>
      </c>
      <c r="B388" t="s">
        <v>23</v>
      </c>
      <c r="C388" t="s">
        <v>16</v>
      </c>
      <c r="D388" t="s">
        <v>10</v>
      </c>
      <c r="E388">
        <v>45.86</v>
      </c>
      <c r="F388">
        <v>145.4</v>
      </c>
      <c r="G388">
        <v>2.58</v>
      </c>
    </row>
    <row r="389" spans="1:7" x14ac:dyDescent="0.3">
      <c r="A389">
        <v>2020</v>
      </c>
      <c r="B389" t="s">
        <v>23</v>
      </c>
      <c r="C389" t="s">
        <v>16</v>
      </c>
      <c r="D389" t="s">
        <v>11</v>
      </c>
      <c r="E389">
        <v>2.38</v>
      </c>
      <c r="F389">
        <v>147.4</v>
      </c>
      <c r="G389">
        <v>2.66</v>
      </c>
    </row>
    <row r="390" spans="1:7" x14ac:dyDescent="0.3">
      <c r="A390">
        <v>2020</v>
      </c>
      <c r="B390" t="s">
        <v>23</v>
      </c>
      <c r="C390" t="s">
        <v>16</v>
      </c>
      <c r="D390" t="s">
        <v>12</v>
      </c>
      <c r="E390">
        <v>6.53</v>
      </c>
      <c r="F390">
        <v>149.4</v>
      </c>
      <c r="G390">
        <v>2.74</v>
      </c>
    </row>
    <row r="391" spans="1:7" x14ac:dyDescent="0.3">
      <c r="A391">
        <v>2020</v>
      </c>
      <c r="B391" t="s">
        <v>23</v>
      </c>
      <c r="C391" t="s">
        <v>16</v>
      </c>
      <c r="D391" t="s">
        <v>13</v>
      </c>
      <c r="E391">
        <v>10.07</v>
      </c>
      <c r="F391">
        <v>151.4</v>
      </c>
      <c r="G391">
        <v>2.82</v>
      </c>
    </row>
    <row r="392" spans="1:7" x14ac:dyDescent="0.3">
      <c r="A392">
        <v>2020</v>
      </c>
      <c r="B392" t="s">
        <v>23</v>
      </c>
      <c r="C392" t="s">
        <v>16</v>
      </c>
      <c r="D392" t="s">
        <v>14</v>
      </c>
      <c r="E392">
        <v>6.84</v>
      </c>
      <c r="F392">
        <v>153.4</v>
      </c>
      <c r="G392">
        <v>2.9</v>
      </c>
    </row>
    <row r="393" spans="1:7" x14ac:dyDescent="0.3">
      <c r="A393">
        <v>2020</v>
      </c>
      <c r="B393" t="s">
        <v>23</v>
      </c>
      <c r="C393" t="s">
        <v>16</v>
      </c>
      <c r="D393" t="s">
        <v>15</v>
      </c>
      <c r="E393">
        <v>28.32</v>
      </c>
      <c r="F393">
        <v>155.4</v>
      </c>
      <c r="G393">
        <v>2.98</v>
      </c>
    </row>
    <row r="394" spans="1:7" x14ac:dyDescent="0.3">
      <c r="A394">
        <v>2020</v>
      </c>
      <c r="B394" t="s">
        <v>23</v>
      </c>
      <c r="C394" t="s">
        <v>17</v>
      </c>
      <c r="D394" t="s">
        <v>9</v>
      </c>
      <c r="E394">
        <v>100</v>
      </c>
      <c r="F394">
        <v>144</v>
      </c>
      <c r="G394">
        <v>2.5</v>
      </c>
    </row>
    <row r="395" spans="1:7" x14ac:dyDescent="0.3">
      <c r="A395">
        <v>2020</v>
      </c>
      <c r="B395" t="s">
        <v>23</v>
      </c>
      <c r="C395" t="s">
        <v>17</v>
      </c>
      <c r="D395" t="s">
        <v>10</v>
      </c>
      <c r="E395">
        <v>45.86</v>
      </c>
      <c r="F395">
        <v>146</v>
      </c>
      <c r="G395">
        <v>2.58</v>
      </c>
    </row>
    <row r="396" spans="1:7" x14ac:dyDescent="0.3">
      <c r="A396">
        <v>2020</v>
      </c>
      <c r="B396" t="s">
        <v>23</v>
      </c>
      <c r="C396" t="s">
        <v>17</v>
      </c>
      <c r="D396" t="s">
        <v>11</v>
      </c>
      <c r="E396">
        <v>2.38</v>
      </c>
      <c r="F396">
        <v>148</v>
      </c>
      <c r="G396">
        <v>2.66</v>
      </c>
    </row>
    <row r="397" spans="1:7" x14ac:dyDescent="0.3">
      <c r="A397">
        <v>2020</v>
      </c>
      <c r="B397" t="s">
        <v>23</v>
      </c>
      <c r="C397" t="s">
        <v>17</v>
      </c>
      <c r="D397" t="s">
        <v>12</v>
      </c>
      <c r="E397">
        <v>6.53</v>
      </c>
      <c r="F397">
        <v>150</v>
      </c>
      <c r="G397">
        <v>2.74</v>
      </c>
    </row>
    <row r="398" spans="1:7" x14ac:dyDescent="0.3">
      <c r="A398">
        <v>2020</v>
      </c>
      <c r="B398" t="s">
        <v>23</v>
      </c>
      <c r="C398" t="s">
        <v>17</v>
      </c>
      <c r="D398" t="s">
        <v>13</v>
      </c>
      <c r="E398">
        <v>10.07</v>
      </c>
      <c r="F398">
        <v>152</v>
      </c>
      <c r="G398">
        <v>2.82</v>
      </c>
    </row>
    <row r="399" spans="1:7" x14ac:dyDescent="0.3">
      <c r="A399">
        <v>2020</v>
      </c>
      <c r="B399" t="s">
        <v>23</v>
      </c>
      <c r="C399" t="s">
        <v>17</v>
      </c>
      <c r="D399" t="s">
        <v>14</v>
      </c>
      <c r="E399">
        <v>6.84</v>
      </c>
      <c r="F399">
        <v>154</v>
      </c>
      <c r="G399">
        <v>2.9</v>
      </c>
    </row>
    <row r="400" spans="1:7" x14ac:dyDescent="0.3">
      <c r="A400">
        <v>2020</v>
      </c>
      <c r="B400" t="s">
        <v>23</v>
      </c>
      <c r="C400" t="s">
        <v>17</v>
      </c>
      <c r="D400" t="s">
        <v>15</v>
      </c>
      <c r="E400">
        <v>28.32</v>
      </c>
      <c r="F400">
        <v>156</v>
      </c>
      <c r="G400">
        <v>2.98</v>
      </c>
    </row>
    <row r="401" spans="1:7" x14ac:dyDescent="0.3">
      <c r="A401">
        <v>2020</v>
      </c>
      <c r="B401" t="s">
        <v>24</v>
      </c>
      <c r="C401" t="s">
        <v>8</v>
      </c>
      <c r="D401" t="s">
        <v>9</v>
      </c>
      <c r="E401">
        <v>100</v>
      </c>
      <c r="F401">
        <v>143.19999999999999</v>
      </c>
      <c r="G401">
        <v>2.65</v>
      </c>
    </row>
    <row r="402" spans="1:7" x14ac:dyDescent="0.3">
      <c r="A402">
        <v>2020</v>
      </c>
      <c r="B402" t="s">
        <v>24</v>
      </c>
      <c r="C402" t="s">
        <v>8</v>
      </c>
      <c r="D402" t="s">
        <v>10</v>
      </c>
      <c r="E402">
        <v>45.86</v>
      </c>
      <c r="F402">
        <v>145.19999999999999</v>
      </c>
      <c r="G402">
        <v>2.73</v>
      </c>
    </row>
    <row r="403" spans="1:7" x14ac:dyDescent="0.3">
      <c r="A403">
        <v>2020</v>
      </c>
      <c r="B403" t="s">
        <v>24</v>
      </c>
      <c r="C403" t="s">
        <v>8</v>
      </c>
      <c r="D403" t="s">
        <v>11</v>
      </c>
      <c r="E403">
        <v>2.38</v>
      </c>
      <c r="F403">
        <v>147.19999999999999</v>
      </c>
      <c r="G403">
        <v>2.81</v>
      </c>
    </row>
    <row r="404" spans="1:7" x14ac:dyDescent="0.3">
      <c r="A404">
        <v>2020</v>
      </c>
      <c r="B404" t="s">
        <v>24</v>
      </c>
      <c r="C404" t="s">
        <v>8</v>
      </c>
      <c r="D404" t="s">
        <v>12</v>
      </c>
      <c r="E404">
        <v>6.53</v>
      </c>
      <c r="F404">
        <v>149.19999999999999</v>
      </c>
      <c r="G404">
        <v>2.89</v>
      </c>
    </row>
    <row r="405" spans="1:7" x14ac:dyDescent="0.3">
      <c r="A405">
        <v>2020</v>
      </c>
      <c r="B405" t="s">
        <v>24</v>
      </c>
      <c r="C405" t="s">
        <v>8</v>
      </c>
      <c r="D405" t="s">
        <v>13</v>
      </c>
      <c r="E405">
        <v>10.07</v>
      </c>
      <c r="F405">
        <v>151.19999999999999</v>
      </c>
      <c r="G405">
        <v>2.97</v>
      </c>
    </row>
    <row r="406" spans="1:7" x14ac:dyDescent="0.3">
      <c r="A406">
        <v>2020</v>
      </c>
      <c r="B406" t="s">
        <v>24</v>
      </c>
      <c r="C406" t="s">
        <v>8</v>
      </c>
      <c r="D406" t="s">
        <v>14</v>
      </c>
      <c r="E406">
        <v>6.84</v>
      </c>
      <c r="F406">
        <v>153.19999999999999</v>
      </c>
      <c r="G406">
        <v>3.05</v>
      </c>
    </row>
    <row r="407" spans="1:7" x14ac:dyDescent="0.3">
      <c r="A407">
        <v>2020</v>
      </c>
      <c r="B407" t="s">
        <v>24</v>
      </c>
      <c r="C407" t="s">
        <v>8</v>
      </c>
      <c r="D407" t="s">
        <v>15</v>
      </c>
      <c r="E407">
        <v>28.32</v>
      </c>
      <c r="F407">
        <v>155.19999999999999</v>
      </c>
      <c r="G407">
        <v>3.13</v>
      </c>
    </row>
    <row r="408" spans="1:7" x14ac:dyDescent="0.3">
      <c r="A408">
        <v>2020</v>
      </c>
      <c r="B408" t="s">
        <v>24</v>
      </c>
      <c r="C408" t="s">
        <v>16</v>
      </c>
      <c r="D408" t="s">
        <v>9</v>
      </c>
      <c r="E408">
        <v>100</v>
      </c>
      <c r="F408">
        <v>143.80000000000001</v>
      </c>
      <c r="G408">
        <v>2.65</v>
      </c>
    </row>
    <row r="409" spans="1:7" x14ac:dyDescent="0.3">
      <c r="A409">
        <v>2020</v>
      </c>
      <c r="B409" t="s">
        <v>24</v>
      </c>
      <c r="C409" t="s">
        <v>16</v>
      </c>
      <c r="D409" t="s">
        <v>10</v>
      </c>
      <c r="E409">
        <v>45.86</v>
      </c>
      <c r="F409">
        <v>145.80000000000001</v>
      </c>
      <c r="G409">
        <v>2.73</v>
      </c>
    </row>
    <row r="410" spans="1:7" x14ac:dyDescent="0.3">
      <c r="A410">
        <v>2020</v>
      </c>
      <c r="B410" t="s">
        <v>24</v>
      </c>
      <c r="C410" t="s">
        <v>16</v>
      </c>
      <c r="D410" t="s">
        <v>11</v>
      </c>
      <c r="E410">
        <v>2.38</v>
      </c>
      <c r="F410">
        <v>147.80000000000001</v>
      </c>
      <c r="G410">
        <v>2.81</v>
      </c>
    </row>
    <row r="411" spans="1:7" x14ac:dyDescent="0.3">
      <c r="A411">
        <v>2020</v>
      </c>
      <c r="B411" t="s">
        <v>24</v>
      </c>
      <c r="C411" t="s">
        <v>16</v>
      </c>
      <c r="D411" t="s">
        <v>12</v>
      </c>
      <c r="E411">
        <v>6.53</v>
      </c>
      <c r="F411">
        <v>149.80000000000001</v>
      </c>
      <c r="G411">
        <v>2.89</v>
      </c>
    </row>
    <row r="412" spans="1:7" x14ac:dyDescent="0.3">
      <c r="A412">
        <v>2020</v>
      </c>
      <c r="B412" t="s">
        <v>24</v>
      </c>
      <c r="C412" t="s">
        <v>16</v>
      </c>
      <c r="D412" t="s">
        <v>13</v>
      </c>
      <c r="E412">
        <v>10.07</v>
      </c>
      <c r="F412">
        <v>151.80000000000001</v>
      </c>
      <c r="G412">
        <v>2.97</v>
      </c>
    </row>
    <row r="413" spans="1:7" x14ac:dyDescent="0.3">
      <c r="A413">
        <v>2020</v>
      </c>
      <c r="B413" t="s">
        <v>24</v>
      </c>
      <c r="C413" t="s">
        <v>16</v>
      </c>
      <c r="D413" t="s">
        <v>14</v>
      </c>
      <c r="E413">
        <v>6.84</v>
      </c>
      <c r="F413">
        <v>153.80000000000001</v>
      </c>
      <c r="G413">
        <v>3.05</v>
      </c>
    </row>
    <row r="414" spans="1:7" x14ac:dyDescent="0.3">
      <c r="A414">
        <v>2020</v>
      </c>
      <c r="B414" t="s">
        <v>24</v>
      </c>
      <c r="C414" t="s">
        <v>16</v>
      </c>
      <c r="D414" t="s">
        <v>15</v>
      </c>
      <c r="E414">
        <v>28.32</v>
      </c>
      <c r="F414">
        <v>155.80000000000001</v>
      </c>
      <c r="G414">
        <v>3.13</v>
      </c>
    </row>
    <row r="415" spans="1:7" x14ac:dyDescent="0.3">
      <c r="A415">
        <v>2020</v>
      </c>
      <c r="B415" t="s">
        <v>24</v>
      </c>
      <c r="C415" t="s">
        <v>17</v>
      </c>
      <c r="D415" t="s">
        <v>9</v>
      </c>
      <c r="E415">
        <v>100</v>
      </c>
      <c r="F415">
        <v>144.4</v>
      </c>
      <c r="G415">
        <v>2.65</v>
      </c>
    </row>
    <row r="416" spans="1:7" x14ac:dyDescent="0.3">
      <c r="A416">
        <v>2020</v>
      </c>
      <c r="B416" t="s">
        <v>24</v>
      </c>
      <c r="C416" t="s">
        <v>17</v>
      </c>
      <c r="D416" t="s">
        <v>10</v>
      </c>
      <c r="E416">
        <v>45.86</v>
      </c>
      <c r="F416">
        <v>146.4</v>
      </c>
      <c r="G416">
        <v>2.73</v>
      </c>
    </row>
    <row r="417" spans="1:7" x14ac:dyDescent="0.3">
      <c r="A417">
        <v>2020</v>
      </c>
      <c r="B417" t="s">
        <v>24</v>
      </c>
      <c r="C417" t="s">
        <v>17</v>
      </c>
      <c r="D417" t="s">
        <v>11</v>
      </c>
      <c r="E417">
        <v>2.38</v>
      </c>
      <c r="F417">
        <v>148.4</v>
      </c>
      <c r="G417">
        <v>2.81</v>
      </c>
    </row>
    <row r="418" spans="1:7" x14ac:dyDescent="0.3">
      <c r="A418">
        <v>2020</v>
      </c>
      <c r="B418" t="s">
        <v>24</v>
      </c>
      <c r="C418" t="s">
        <v>17</v>
      </c>
      <c r="D418" t="s">
        <v>12</v>
      </c>
      <c r="E418">
        <v>6.53</v>
      </c>
      <c r="F418">
        <v>150.4</v>
      </c>
      <c r="G418">
        <v>2.89</v>
      </c>
    </row>
    <row r="419" spans="1:7" x14ac:dyDescent="0.3">
      <c r="A419">
        <v>2020</v>
      </c>
      <c r="B419" t="s">
        <v>24</v>
      </c>
      <c r="C419" t="s">
        <v>17</v>
      </c>
      <c r="D419" t="s">
        <v>13</v>
      </c>
      <c r="E419">
        <v>10.07</v>
      </c>
      <c r="F419">
        <v>152.4</v>
      </c>
      <c r="G419">
        <v>2.97</v>
      </c>
    </row>
    <row r="420" spans="1:7" x14ac:dyDescent="0.3">
      <c r="A420">
        <v>2020</v>
      </c>
      <c r="B420" t="s">
        <v>24</v>
      </c>
      <c r="C420" t="s">
        <v>17</v>
      </c>
      <c r="D420" t="s">
        <v>14</v>
      </c>
      <c r="E420">
        <v>6.84</v>
      </c>
      <c r="F420">
        <v>154.4</v>
      </c>
      <c r="G420">
        <v>3.05</v>
      </c>
    </row>
    <row r="421" spans="1:7" x14ac:dyDescent="0.3">
      <c r="A421">
        <v>2020</v>
      </c>
      <c r="B421" t="s">
        <v>24</v>
      </c>
      <c r="C421" t="s">
        <v>17</v>
      </c>
      <c r="D421" t="s">
        <v>15</v>
      </c>
      <c r="E421">
        <v>28.32</v>
      </c>
      <c r="F421">
        <v>156.4</v>
      </c>
      <c r="G421">
        <v>3.13</v>
      </c>
    </row>
    <row r="422" spans="1:7" x14ac:dyDescent="0.3">
      <c r="A422">
        <v>2020</v>
      </c>
      <c r="B422" t="s">
        <v>25</v>
      </c>
      <c r="C422" t="s">
        <v>8</v>
      </c>
      <c r="D422" t="s">
        <v>9</v>
      </c>
      <c r="E422">
        <v>100</v>
      </c>
      <c r="F422">
        <v>143.6</v>
      </c>
      <c r="G422">
        <v>2.8</v>
      </c>
    </row>
    <row r="423" spans="1:7" x14ac:dyDescent="0.3">
      <c r="A423">
        <v>2020</v>
      </c>
      <c r="B423" t="s">
        <v>25</v>
      </c>
      <c r="C423" t="s">
        <v>8</v>
      </c>
      <c r="D423" t="s">
        <v>10</v>
      </c>
      <c r="E423">
        <v>45.86</v>
      </c>
      <c r="F423">
        <v>145.6</v>
      </c>
      <c r="G423">
        <v>2.88</v>
      </c>
    </row>
    <row r="424" spans="1:7" x14ac:dyDescent="0.3">
      <c r="A424">
        <v>2020</v>
      </c>
      <c r="B424" t="s">
        <v>25</v>
      </c>
      <c r="C424" t="s">
        <v>8</v>
      </c>
      <c r="D424" t="s">
        <v>11</v>
      </c>
      <c r="E424">
        <v>2.38</v>
      </c>
      <c r="F424">
        <v>147.6</v>
      </c>
      <c r="G424">
        <v>2.96</v>
      </c>
    </row>
    <row r="425" spans="1:7" x14ac:dyDescent="0.3">
      <c r="A425">
        <v>2020</v>
      </c>
      <c r="B425" t="s">
        <v>25</v>
      </c>
      <c r="C425" t="s">
        <v>8</v>
      </c>
      <c r="D425" t="s">
        <v>12</v>
      </c>
      <c r="E425">
        <v>6.53</v>
      </c>
      <c r="F425">
        <v>149.6</v>
      </c>
      <c r="G425">
        <v>3.04</v>
      </c>
    </row>
    <row r="426" spans="1:7" x14ac:dyDescent="0.3">
      <c r="A426">
        <v>2020</v>
      </c>
      <c r="B426" t="s">
        <v>25</v>
      </c>
      <c r="C426" t="s">
        <v>8</v>
      </c>
      <c r="D426" t="s">
        <v>13</v>
      </c>
      <c r="E426">
        <v>10.07</v>
      </c>
      <c r="F426">
        <v>151.6</v>
      </c>
      <c r="G426">
        <v>3.12</v>
      </c>
    </row>
    <row r="427" spans="1:7" x14ac:dyDescent="0.3">
      <c r="A427">
        <v>2020</v>
      </c>
      <c r="B427" t="s">
        <v>25</v>
      </c>
      <c r="C427" t="s">
        <v>8</v>
      </c>
      <c r="D427" t="s">
        <v>14</v>
      </c>
      <c r="E427">
        <v>6.84</v>
      </c>
      <c r="F427">
        <v>153.6</v>
      </c>
      <c r="G427">
        <v>3.2</v>
      </c>
    </row>
    <row r="428" spans="1:7" x14ac:dyDescent="0.3">
      <c r="A428">
        <v>2020</v>
      </c>
      <c r="B428" t="s">
        <v>25</v>
      </c>
      <c r="C428" t="s">
        <v>8</v>
      </c>
      <c r="D428" t="s">
        <v>15</v>
      </c>
      <c r="E428">
        <v>28.32</v>
      </c>
      <c r="F428">
        <v>155.6</v>
      </c>
      <c r="G428">
        <v>3.28</v>
      </c>
    </row>
    <row r="429" spans="1:7" x14ac:dyDescent="0.3">
      <c r="A429">
        <v>2020</v>
      </c>
      <c r="B429" t="s">
        <v>25</v>
      </c>
      <c r="C429" t="s">
        <v>16</v>
      </c>
      <c r="D429" t="s">
        <v>9</v>
      </c>
      <c r="E429">
        <v>100</v>
      </c>
      <c r="F429">
        <v>144.19999999999999</v>
      </c>
      <c r="G429">
        <v>2.8</v>
      </c>
    </row>
    <row r="430" spans="1:7" x14ac:dyDescent="0.3">
      <c r="A430">
        <v>2020</v>
      </c>
      <c r="B430" t="s">
        <v>25</v>
      </c>
      <c r="C430" t="s">
        <v>16</v>
      </c>
      <c r="D430" t="s">
        <v>10</v>
      </c>
      <c r="E430">
        <v>45.86</v>
      </c>
      <c r="F430">
        <v>146.19999999999999</v>
      </c>
      <c r="G430">
        <v>2.88</v>
      </c>
    </row>
    <row r="431" spans="1:7" x14ac:dyDescent="0.3">
      <c r="A431">
        <v>2020</v>
      </c>
      <c r="B431" t="s">
        <v>25</v>
      </c>
      <c r="C431" t="s">
        <v>16</v>
      </c>
      <c r="D431" t="s">
        <v>11</v>
      </c>
      <c r="E431">
        <v>2.38</v>
      </c>
      <c r="F431">
        <v>148.19999999999999</v>
      </c>
      <c r="G431">
        <v>2.96</v>
      </c>
    </row>
    <row r="432" spans="1:7" x14ac:dyDescent="0.3">
      <c r="A432">
        <v>2020</v>
      </c>
      <c r="B432" t="s">
        <v>25</v>
      </c>
      <c r="C432" t="s">
        <v>16</v>
      </c>
      <c r="D432" t="s">
        <v>12</v>
      </c>
      <c r="E432">
        <v>6.53</v>
      </c>
      <c r="F432">
        <v>150.19999999999999</v>
      </c>
      <c r="G432">
        <v>3.04</v>
      </c>
    </row>
    <row r="433" spans="1:7" x14ac:dyDescent="0.3">
      <c r="A433">
        <v>2020</v>
      </c>
      <c r="B433" t="s">
        <v>25</v>
      </c>
      <c r="C433" t="s">
        <v>16</v>
      </c>
      <c r="D433" t="s">
        <v>13</v>
      </c>
      <c r="E433">
        <v>10.07</v>
      </c>
      <c r="F433">
        <v>152.19999999999999</v>
      </c>
      <c r="G433">
        <v>3.12</v>
      </c>
    </row>
    <row r="434" spans="1:7" x14ac:dyDescent="0.3">
      <c r="A434">
        <v>2020</v>
      </c>
      <c r="B434" t="s">
        <v>25</v>
      </c>
      <c r="C434" t="s">
        <v>16</v>
      </c>
      <c r="D434" t="s">
        <v>14</v>
      </c>
      <c r="E434">
        <v>6.84</v>
      </c>
      <c r="F434">
        <v>154.19999999999999</v>
      </c>
      <c r="G434">
        <v>3.2</v>
      </c>
    </row>
    <row r="435" spans="1:7" x14ac:dyDescent="0.3">
      <c r="A435">
        <v>2020</v>
      </c>
      <c r="B435" t="s">
        <v>25</v>
      </c>
      <c r="C435" t="s">
        <v>16</v>
      </c>
      <c r="D435" t="s">
        <v>15</v>
      </c>
      <c r="E435">
        <v>28.32</v>
      </c>
      <c r="F435">
        <v>156.19999999999999</v>
      </c>
      <c r="G435">
        <v>3.28</v>
      </c>
    </row>
    <row r="436" spans="1:7" x14ac:dyDescent="0.3">
      <c r="A436">
        <v>2020</v>
      </c>
      <c r="B436" t="s">
        <v>25</v>
      </c>
      <c r="C436" t="s">
        <v>17</v>
      </c>
      <c r="D436" t="s">
        <v>9</v>
      </c>
      <c r="E436">
        <v>100</v>
      </c>
      <c r="F436">
        <v>144.80000000000001</v>
      </c>
      <c r="G436">
        <v>2.8</v>
      </c>
    </row>
    <row r="437" spans="1:7" x14ac:dyDescent="0.3">
      <c r="A437">
        <v>2020</v>
      </c>
      <c r="B437" t="s">
        <v>25</v>
      </c>
      <c r="C437" t="s">
        <v>17</v>
      </c>
      <c r="D437" t="s">
        <v>10</v>
      </c>
      <c r="E437">
        <v>45.86</v>
      </c>
      <c r="F437">
        <v>146.80000000000001</v>
      </c>
      <c r="G437">
        <v>2.88</v>
      </c>
    </row>
    <row r="438" spans="1:7" x14ac:dyDescent="0.3">
      <c r="A438">
        <v>2020</v>
      </c>
      <c r="B438" t="s">
        <v>25</v>
      </c>
      <c r="C438" t="s">
        <v>17</v>
      </c>
      <c r="D438" t="s">
        <v>11</v>
      </c>
      <c r="E438">
        <v>2.38</v>
      </c>
      <c r="F438">
        <v>148.80000000000001</v>
      </c>
      <c r="G438">
        <v>2.96</v>
      </c>
    </row>
    <row r="439" spans="1:7" x14ac:dyDescent="0.3">
      <c r="A439">
        <v>2020</v>
      </c>
      <c r="B439" t="s">
        <v>25</v>
      </c>
      <c r="C439" t="s">
        <v>17</v>
      </c>
      <c r="D439" t="s">
        <v>12</v>
      </c>
      <c r="E439">
        <v>6.53</v>
      </c>
      <c r="F439">
        <v>150.80000000000001</v>
      </c>
      <c r="G439">
        <v>3.04</v>
      </c>
    </row>
    <row r="440" spans="1:7" x14ac:dyDescent="0.3">
      <c r="A440">
        <v>2020</v>
      </c>
      <c r="B440" t="s">
        <v>25</v>
      </c>
      <c r="C440" t="s">
        <v>17</v>
      </c>
      <c r="D440" t="s">
        <v>13</v>
      </c>
      <c r="E440">
        <v>10.07</v>
      </c>
      <c r="F440">
        <v>152.80000000000001</v>
      </c>
      <c r="G440">
        <v>3.12</v>
      </c>
    </row>
    <row r="441" spans="1:7" x14ac:dyDescent="0.3">
      <c r="A441">
        <v>2020</v>
      </c>
      <c r="B441" t="s">
        <v>25</v>
      </c>
      <c r="C441" t="s">
        <v>17</v>
      </c>
      <c r="D441" t="s">
        <v>14</v>
      </c>
      <c r="E441">
        <v>6.84</v>
      </c>
      <c r="F441">
        <v>154.80000000000001</v>
      </c>
      <c r="G441">
        <v>3.2</v>
      </c>
    </row>
    <row r="442" spans="1:7" x14ac:dyDescent="0.3">
      <c r="A442">
        <v>2020</v>
      </c>
      <c r="B442" t="s">
        <v>25</v>
      </c>
      <c r="C442" t="s">
        <v>17</v>
      </c>
      <c r="D442" t="s">
        <v>15</v>
      </c>
      <c r="E442">
        <v>28.32</v>
      </c>
      <c r="F442">
        <v>156.80000000000001</v>
      </c>
      <c r="G442">
        <v>3.28</v>
      </c>
    </row>
    <row r="443" spans="1:7" x14ac:dyDescent="0.3">
      <c r="A443">
        <v>2020</v>
      </c>
      <c r="B443" t="s">
        <v>26</v>
      </c>
      <c r="C443" t="s">
        <v>8</v>
      </c>
      <c r="D443" t="s">
        <v>9</v>
      </c>
      <c r="E443">
        <v>100</v>
      </c>
      <c r="F443">
        <v>144</v>
      </c>
      <c r="G443">
        <v>2.95</v>
      </c>
    </row>
    <row r="444" spans="1:7" x14ac:dyDescent="0.3">
      <c r="A444">
        <v>2020</v>
      </c>
      <c r="B444" t="s">
        <v>26</v>
      </c>
      <c r="C444" t="s">
        <v>8</v>
      </c>
      <c r="D444" t="s">
        <v>10</v>
      </c>
      <c r="E444">
        <v>45.86</v>
      </c>
      <c r="F444">
        <v>146</v>
      </c>
      <c r="G444">
        <v>3.03</v>
      </c>
    </row>
    <row r="445" spans="1:7" x14ac:dyDescent="0.3">
      <c r="A445">
        <v>2020</v>
      </c>
      <c r="B445" t="s">
        <v>26</v>
      </c>
      <c r="C445" t="s">
        <v>8</v>
      </c>
      <c r="D445" t="s">
        <v>11</v>
      </c>
      <c r="E445">
        <v>2.38</v>
      </c>
      <c r="F445">
        <v>148</v>
      </c>
      <c r="G445">
        <v>3.11</v>
      </c>
    </row>
    <row r="446" spans="1:7" x14ac:dyDescent="0.3">
      <c r="A446">
        <v>2020</v>
      </c>
      <c r="B446" t="s">
        <v>26</v>
      </c>
      <c r="C446" t="s">
        <v>8</v>
      </c>
      <c r="D446" t="s">
        <v>12</v>
      </c>
      <c r="E446">
        <v>6.53</v>
      </c>
      <c r="F446">
        <v>150</v>
      </c>
      <c r="G446">
        <v>3.19</v>
      </c>
    </row>
    <row r="447" spans="1:7" x14ac:dyDescent="0.3">
      <c r="A447">
        <v>2020</v>
      </c>
      <c r="B447" t="s">
        <v>26</v>
      </c>
      <c r="C447" t="s">
        <v>8</v>
      </c>
      <c r="D447" t="s">
        <v>13</v>
      </c>
      <c r="E447">
        <v>10.07</v>
      </c>
      <c r="F447">
        <v>152</v>
      </c>
      <c r="G447">
        <v>3.27</v>
      </c>
    </row>
    <row r="448" spans="1:7" x14ac:dyDescent="0.3">
      <c r="A448">
        <v>2020</v>
      </c>
      <c r="B448" t="s">
        <v>26</v>
      </c>
      <c r="C448" t="s">
        <v>8</v>
      </c>
      <c r="D448" t="s">
        <v>14</v>
      </c>
      <c r="E448">
        <v>6.84</v>
      </c>
      <c r="F448">
        <v>154</v>
      </c>
      <c r="G448">
        <v>3.35</v>
      </c>
    </row>
    <row r="449" spans="1:7" x14ac:dyDescent="0.3">
      <c r="A449">
        <v>2020</v>
      </c>
      <c r="B449" t="s">
        <v>26</v>
      </c>
      <c r="C449" t="s">
        <v>8</v>
      </c>
      <c r="D449" t="s">
        <v>15</v>
      </c>
      <c r="E449">
        <v>28.32</v>
      </c>
      <c r="F449">
        <v>156</v>
      </c>
      <c r="G449">
        <v>3.43</v>
      </c>
    </row>
    <row r="450" spans="1:7" x14ac:dyDescent="0.3">
      <c r="A450">
        <v>2020</v>
      </c>
      <c r="B450" t="s">
        <v>26</v>
      </c>
      <c r="C450" t="s">
        <v>16</v>
      </c>
      <c r="D450" t="s">
        <v>9</v>
      </c>
      <c r="E450">
        <v>100</v>
      </c>
      <c r="F450">
        <v>144.6</v>
      </c>
      <c r="G450">
        <v>2.95</v>
      </c>
    </row>
    <row r="451" spans="1:7" x14ac:dyDescent="0.3">
      <c r="A451">
        <v>2020</v>
      </c>
      <c r="B451" t="s">
        <v>26</v>
      </c>
      <c r="C451" t="s">
        <v>16</v>
      </c>
      <c r="D451" t="s">
        <v>10</v>
      </c>
      <c r="E451">
        <v>45.86</v>
      </c>
      <c r="F451">
        <v>146.6</v>
      </c>
      <c r="G451">
        <v>3.03</v>
      </c>
    </row>
    <row r="452" spans="1:7" x14ac:dyDescent="0.3">
      <c r="A452">
        <v>2020</v>
      </c>
      <c r="B452" t="s">
        <v>26</v>
      </c>
      <c r="C452" t="s">
        <v>16</v>
      </c>
      <c r="D452" t="s">
        <v>11</v>
      </c>
      <c r="E452">
        <v>2.38</v>
      </c>
      <c r="F452">
        <v>148.6</v>
      </c>
      <c r="G452">
        <v>3.11</v>
      </c>
    </row>
    <row r="453" spans="1:7" x14ac:dyDescent="0.3">
      <c r="A453">
        <v>2020</v>
      </c>
      <c r="B453" t="s">
        <v>26</v>
      </c>
      <c r="C453" t="s">
        <v>16</v>
      </c>
      <c r="D453" t="s">
        <v>12</v>
      </c>
      <c r="E453">
        <v>6.53</v>
      </c>
      <c r="F453">
        <v>150.6</v>
      </c>
      <c r="G453">
        <v>3.19</v>
      </c>
    </row>
    <row r="454" spans="1:7" x14ac:dyDescent="0.3">
      <c r="A454">
        <v>2020</v>
      </c>
      <c r="B454" t="s">
        <v>26</v>
      </c>
      <c r="C454" t="s">
        <v>16</v>
      </c>
      <c r="D454" t="s">
        <v>13</v>
      </c>
      <c r="E454">
        <v>10.07</v>
      </c>
      <c r="F454">
        <v>152.6</v>
      </c>
      <c r="G454">
        <v>3.27</v>
      </c>
    </row>
    <row r="455" spans="1:7" x14ac:dyDescent="0.3">
      <c r="A455">
        <v>2020</v>
      </c>
      <c r="B455" t="s">
        <v>26</v>
      </c>
      <c r="C455" t="s">
        <v>16</v>
      </c>
      <c r="D455" t="s">
        <v>14</v>
      </c>
      <c r="E455">
        <v>6.84</v>
      </c>
      <c r="F455">
        <v>154.6</v>
      </c>
      <c r="G455">
        <v>3.35</v>
      </c>
    </row>
    <row r="456" spans="1:7" x14ac:dyDescent="0.3">
      <c r="A456">
        <v>2020</v>
      </c>
      <c r="B456" t="s">
        <v>26</v>
      </c>
      <c r="C456" t="s">
        <v>16</v>
      </c>
      <c r="D456" t="s">
        <v>15</v>
      </c>
      <c r="E456">
        <v>28.32</v>
      </c>
      <c r="F456">
        <v>156.6</v>
      </c>
      <c r="G456">
        <v>3.43</v>
      </c>
    </row>
    <row r="457" spans="1:7" x14ac:dyDescent="0.3">
      <c r="A457">
        <v>2020</v>
      </c>
      <c r="B457" t="s">
        <v>26</v>
      </c>
      <c r="C457" t="s">
        <v>17</v>
      </c>
      <c r="D457" t="s">
        <v>9</v>
      </c>
      <c r="E457">
        <v>100</v>
      </c>
      <c r="F457">
        <v>145.19999999999999</v>
      </c>
      <c r="G457">
        <v>2.95</v>
      </c>
    </row>
    <row r="458" spans="1:7" x14ac:dyDescent="0.3">
      <c r="A458">
        <v>2020</v>
      </c>
      <c r="B458" t="s">
        <v>26</v>
      </c>
      <c r="C458" t="s">
        <v>17</v>
      </c>
      <c r="D458" t="s">
        <v>10</v>
      </c>
      <c r="E458">
        <v>45.86</v>
      </c>
      <c r="F458">
        <v>147.19999999999999</v>
      </c>
      <c r="G458">
        <v>3.03</v>
      </c>
    </row>
    <row r="459" spans="1:7" x14ac:dyDescent="0.3">
      <c r="A459">
        <v>2020</v>
      </c>
      <c r="B459" t="s">
        <v>26</v>
      </c>
      <c r="C459" t="s">
        <v>17</v>
      </c>
      <c r="D459" t="s">
        <v>11</v>
      </c>
      <c r="E459">
        <v>2.38</v>
      </c>
      <c r="F459">
        <v>149.19999999999999</v>
      </c>
      <c r="G459">
        <v>3.11</v>
      </c>
    </row>
    <row r="460" spans="1:7" x14ac:dyDescent="0.3">
      <c r="A460">
        <v>2020</v>
      </c>
      <c r="B460" t="s">
        <v>26</v>
      </c>
      <c r="C460" t="s">
        <v>17</v>
      </c>
      <c r="D460" t="s">
        <v>12</v>
      </c>
      <c r="E460">
        <v>6.53</v>
      </c>
      <c r="F460">
        <v>151.19999999999999</v>
      </c>
      <c r="G460">
        <v>3.19</v>
      </c>
    </row>
    <row r="461" spans="1:7" x14ac:dyDescent="0.3">
      <c r="A461">
        <v>2020</v>
      </c>
      <c r="B461" t="s">
        <v>26</v>
      </c>
      <c r="C461" t="s">
        <v>17</v>
      </c>
      <c r="D461" t="s">
        <v>13</v>
      </c>
      <c r="E461">
        <v>10.07</v>
      </c>
      <c r="F461">
        <v>153.19999999999999</v>
      </c>
      <c r="G461">
        <v>3.27</v>
      </c>
    </row>
    <row r="462" spans="1:7" x14ac:dyDescent="0.3">
      <c r="A462">
        <v>2020</v>
      </c>
      <c r="B462" t="s">
        <v>26</v>
      </c>
      <c r="C462" t="s">
        <v>17</v>
      </c>
      <c r="D462" t="s">
        <v>14</v>
      </c>
      <c r="E462">
        <v>6.84</v>
      </c>
      <c r="F462">
        <v>155.19999999999999</v>
      </c>
      <c r="G462">
        <v>3.35</v>
      </c>
    </row>
    <row r="463" spans="1:7" x14ac:dyDescent="0.3">
      <c r="A463">
        <v>2020</v>
      </c>
      <c r="B463" t="s">
        <v>26</v>
      </c>
      <c r="C463" t="s">
        <v>17</v>
      </c>
      <c r="D463" t="s">
        <v>15</v>
      </c>
      <c r="E463">
        <v>28.32</v>
      </c>
      <c r="F463">
        <v>157.19999999999999</v>
      </c>
      <c r="G463">
        <v>3.43</v>
      </c>
    </row>
    <row r="464" spans="1:7" x14ac:dyDescent="0.3">
      <c r="A464">
        <v>2020</v>
      </c>
      <c r="B464" t="s">
        <v>27</v>
      </c>
      <c r="C464" t="s">
        <v>8</v>
      </c>
      <c r="D464" t="s">
        <v>9</v>
      </c>
      <c r="E464">
        <v>100</v>
      </c>
      <c r="F464">
        <v>144.4</v>
      </c>
      <c r="G464">
        <v>3.1</v>
      </c>
    </row>
    <row r="465" spans="1:7" x14ac:dyDescent="0.3">
      <c r="A465">
        <v>2020</v>
      </c>
      <c r="B465" t="s">
        <v>27</v>
      </c>
      <c r="C465" t="s">
        <v>8</v>
      </c>
      <c r="D465" t="s">
        <v>10</v>
      </c>
      <c r="E465">
        <v>45.86</v>
      </c>
      <c r="F465">
        <v>146.4</v>
      </c>
      <c r="G465">
        <v>3.18</v>
      </c>
    </row>
    <row r="466" spans="1:7" x14ac:dyDescent="0.3">
      <c r="A466">
        <v>2020</v>
      </c>
      <c r="B466" t="s">
        <v>27</v>
      </c>
      <c r="C466" t="s">
        <v>8</v>
      </c>
      <c r="D466" t="s">
        <v>11</v>
      </c>
      <c r="E466">
        <v>2.38</v>
      </c>
      <c r="F466">
        <v>148.4</v>
      </c>
      <c r="G466">
        <v>3.26</v>
      </c>
    </row>
    <row r="467" spans="1:7" x14ac:dyDescent="0.3">
      <c r="A467">
        <v>2020</v>
      </c>
      <c r="B467" t="s">
        <v>27</v>
      </c>
      <c r="C467" t="s">
        <v>8</v>
      </c>
      <c r="D467" t="s">
        <v>12</v>
      </c>
      <c r="E467">
        <v>6.53</v>
      </c>
      <c r="F467">
        <v>150.4</v>
      </c>
      <c r="G467">
        <v>3.34</v>
      </c>
    </row>
    <row r="468" spans="1:7" x14ac:dyDescent="0.3">
      <c r="A468">
        <v>2020</v>
      </c>
      <c r="B468" t="s">
        <v>27</v>
      </c>
      <c r="C468" t="s">
        <v>8</v>
      </c>
      <c r="D468" t="s">
        <v>13</v>
      </c>
      <c r="E468">
        <v>10.07</v>
      </c>
      <c r="F468">
        <v>152.4</v>
      </c>
      <c r="G468">
        <v>3.42</v>
      </c>
    </row>
    <row r="469" spans="1:7" x14ac:dyDescent="0.3">
      <c r="A469">
        <v>2020</v>
      </c>
      <c r="B469" t="s">
        <v>27</v>
      </c>
      <c r="C469" t="s">
        <v>8</v>
      </c>
      <c r="D469" t="s">
        <v>14</v>
      </c>
      <c r="E469">
        <v>6.84</v>
      </c>
      <c r="F469">
        <v>154.4</v>
      </c>
      <c r="G469">
        <v>3.5</v>
      </c>
    </row>
    <row r="470" spans="1:7" x14ac:dyDescent="0.3">
      <c r="A470">
        <v>2020</v>
      </c>
      <c r="B470" t="s">
        <v>27</v>
      </c>
      <c r="C470" t="s">
        <v>8</v>
      </c>
      <c r="D470" t="s">
        <v>15</v>
      </c>
      <c r="E470">
        <v>28.32</v>
      </c>
      <c r="F470">
        <v>156.4</v>
      </c>
      <c r="G470">
        <v>3.58</v>
      </c>
    </row>
    <row r="471" spans="1:7" x14ac:dyDescent="0.3">
      <c r="A471">
        <v>2020</v>
      </c>
      <c r="B471" t="s">
        <v>27</v>
      </c>
      <c r="C471" t="s">
        <v>16</v>
      </c>
      <c r="D471" t="s">
        <v>9</v>
      </c>
      <c r="E471">
        <v>100</v>
      </c>
      <c r="F471">
        <v>145</v>
      </c>
      <c r="G471">
        <v>3.1</v>
      </c>
    </row>
    <row r="472" spans="1:7" x14ac:dyDescent="0.3">
      <c r="A472">
        <v>2020</v>
      </c>
      <c r="B472" t="s">
        <v>27</v>
      </c>
      <c r="C472" t="s">
        <v>16</v>
      </c>
      <c r="D472" t="s">
        <v>10</v>
      </c>
      <c r="E472">
        <v>45.86</v>
      </c>
      <c r="F472">
        <v>147</v>
      </c>
      <c r="G472">
        <v>3.18</v>
      </c>
    </row>
    <row r="473" spans="1:7" x14ac:dyDescent="0.3">
      <c r="A473">
        <v>2020</v>
      </c>
      <c r="B473" t="s">
        <v>27</v>
      </c>
      <c r="C473" t="s">
        <v>16</v>
      </c>
      <c r="D473" t="s">
        <v>11</v>
      </c>
      <c r="E473">
        <v>2.38</v>
      </c>
      <c r="F473">
        <v>149</v>
      </c>
      <c r="G473">
        <v>3.26</v>
      </c>
    </row>
    <row r="474" spans="1:7" x14ac:dyDescent="0.3">
      <c r="A474">
        <v>2020</v>
      </c>
      <c r="B474" t="s">
        <v>27</v>
      </c>
      <c r="C474" t="s">
        <v>16</v>
      </c>
      <c r="D474" t="s">
        <v>12</v>
      </c>
      <c r="E474">
        <v>6.53</v>
      </c>
      <c r="F474">
        <v>151</v>
      </c>
      <c r="G474">
        <v>3.34</v>
      </c>
    </row>
    <row r="475" spans="1:7" x14ac:dyDescent="0.3">
      <c r="A475">
        <v>2020</v>
      </c>
      <c r="B475" t="s">
        <v>27</v>
      </c>
      <c r="C475" t="s">
        <v>16</v>
      </c>
      <c r="D475" t="s">
        <v>13</v>
      </c>
      <c r="E475">
        <v>10.07</v>
      </c>
      <c r="F475">
        <v>153</v>
      </c>
      <c r="G475">
        <v>3.42</v>
      </c>
    </row>
    <row r="476" spans="1:7" x14ac:dyDescent="0.3">
      <c r="A476">
        <v>2020</v>
      </c>
      <c r="B476" t="s">
        <v>27</v>
      </c>
      <c r="C476" t="s">
        <v>16</v>
      </c>
      <c r="D476" t="s">
        <v>14</v>
      </c>
      <c r="E476">
        <v>6.84</v>
      </c>
      <c r="F476">
        <v>155</v>
      </c>
      <c r="G476">
        <v>3.5</v>
      </c>
    </row>
    <row r="477" spans="1:7" x14ac:dyDescent="0.3">
      <c r="A477">
        <v>2020</v>
      </c>
      <c r="B477" t="s">
        <v>27</v>
      </c>
      <c r="C477" t="s">
        <v>16</v>
      </c>
      <c r="D477" t="s">
        <v>15</v>
      </c>
      <c r="E477">
        <v>28.32</v>
      </c>
      <c r="F477">
        <v>157</v>
      </c>
      <c r="G477">
        <v>3.58</v>
      </c>
    </row>
    <row r="478" spans="1:7" x14ac:dyDescent="0.3">
      <c r="A478">
        <v>2020</v>
      </c>
      <c r="B478" t="s">
        <v>27</v>
      </c>
      <c r="C478" t="s">
        <v>17</v>
      </c>
      <c r="D478" t="s">
        <v>9</v>
      </c>
      <c r="E478">
        <v>100</v>
      </c>
      <c r="F478">
        <v>145.6</v>
      </c>
      <c r="G478">
        <v>3.1</v>
      </c>
    </row>
    <row r="479" spans="1:7" x14ac:dyDescent="0.3">
      <c r="A479">
        <v>2020</v>
      </c>
      <c r="B479" t="s">
        <v>27</v>
      </c>
      <c r="C479" t="s">
        <v>17</v>
      </c>
      <c r="D479" t="s">
        <v>10</v>
      </c>
      <c r="E479">
        <v>45.86</v>
      </c>
      <c r="F479">
        <v>147.6</v>
      </c>
      <c r="G479">
        <v>3.18</v>
      </c>
    </row>
    <row r="480" spans="1:7" x14ac:dyDescent="0.3">
      <c r="A480">
        <v>2020</v>
      </c>
      <c r="B480" t="s">
        <v>27</v>
      </c>
      <c r="C480" t="s">
        <v>17</v>
      </c>
      <c r="D480" t="s">
        <v>11</v>
      </c>
      <c r="E480">
        <v>2.38</v>
      </c>
      <c r="F480">
        <v>149.6</v>
      </c>
      <c r="G480">
        <v>3.26</v>
      </c>
    </row>
    <row r="481" spans="1:7" x14ac:dyDescent="0.3">
      <c r="A481">
        <v>2020</v>
      </c>
      <c r="B481" t="s">
        <v>27</v>
      </c>
      <c r="C481" t="s">
        <v>17</v>
      </c>
      <c r="D481" t="s">
        <v>12</v>
      </c>
      <c r="E481">
        <v>6.53</v>
      </c>
      <c r="F481">
        <v>151.6</v>
      </c>
      <c r="G481">
        <v>3.34</v>
      </c>
    </row>
    <row r="482" spans="1:7" x14ac:dyDescent="0.3">
      <c r="A482">
        <v>2020</v>
      </c>
      <c r="B482" t="s">
        <v>27</v>
      </c>
      <c r="C482" t="s">
        <v>17</v>
      </c>
      <c r="D482" t="s">
        <v>13</v>
      </c>
      <c r="E482">
        <v>10.07</v>
      </c>
      <c r="F482">
        <v>153.6</v>
      </c>
      <c r="G482">
        <v>3.42</v>
      </c>
    </row>
    <row r="483" spans="1:7" x14ac:dyDescent="0.3">
      <c r="A483">
        <v>2020</v>
      </c>
      <c r="B483" t="s">
        <v>27</v>
      </c>
      <c r="C483" t="s">
        <v>17</v>
      </c>
      <c r="D483" t="s">
        <v>14</v>
      </c>
      <c r="E483">
        <v>6.84</v>
      </c>
      <c r="F483">
        <v>155.6</v>
      </c>
      <c r="G483">
        <v>3.5</v>
      </c>
    </row>
    <row r="484" spans="1:7" x14ac:dyDescent="0.3">
      <c r="A484">
        <v>2020</v>
      </c>
      <c r="B484" t="s">
        <v>27</v>
      </c>
      <c r="C484" t="s">
        <v>17</v>
      </c>
      <c r="D484" t="s">
        <v>15</v>
      </c>
      <c r="E484">
        <v>28.32</v>
      </c>
      <c r="F484">
        <v>157.6</v>
      </c>
      <c r="G484">
        <v>3.58</v>
      </c>
    </row>
    <row r="485" spans="1:7" x14ac:dyDescent="0.3">
      <c r="A485">
        <v>2020</v>
      </c>
      <c r="B485" t="s">
        <v>28</v>
      </c>
      <c r="C485" t="s">
        <v>8</v>
      </c>
      <c r="D485" t="s">
        <v>9</v>
      </c>
      <c r="E485">
        <v>100</v>
      </c>
      <c r="F485">
        <v>144.80000000000001</v>
      </c>
      <c r="G485">
        <v>2.35</v>
      </c>
    </row>
    <row r="486" spans="1:7" x14ac:dyDescent="0.3">
      <c r="A486">
        <v>2020</v>
      </c>
      <c r="B486" t="s">
        <v>28</v>
      </c>
      <c r="C486" t="s">
        <v>8</v>
      </c>
      <c r="D486" t="s">
        <v>10</v>
      </c>
      <c r="E486">
        <v>45.86</v>
      </c>
      <c r="F486">
        <v>146.80000000000001</v>
      </c>
      <c r="G486">
        <v>2.4300000000000002</v>
      </c>
    </row>
    <row r="487" spans="1:7" x14ac:dyDescent="0.3">
      <c r="A487">
        <v>2020</v>
      </c>
      <c r="B487" t="s">
        <v>28</v>
      </c>
      <c r="C487" t="s">
        <v>8</v>
      </c>
      <c r="D487" t="s">
        <v>11</v>
      </c>
      <c r="E487">
        <v>2.38</v>
      </c>
      <c r="F487">
        <v>148.80000000000001</v>
      </c>
      <c r="G487">
        <v>2.5099999999999998</v>
      </c>
    </row>
    <row r="488" spans="1:7" x14ac:dyDescent="0.3">
      <c r="A488">
        <v>2020</v>
      </c>
      <c r="B488" t="s">
        <v>28</v>
      </c>
      <c r="C488" t="s">
        <v>8</v>
      </c>
      <c r="D488" t="s">
        <v>12</v>
      </c>
      <c r="E488">
        <v>6.53</v>
      </c>
      <c r="F488">
        <v>150.80000000000001</v>
      </c>
      <c r="G488">
        <v>2.59</v>
      </c>
    </row>
    <row r="489" spans="1:7" x14ac:dyDescent="0.3">
      <c r="A489">
        <v>2020</v>
      </c>
      <c r="B489" t="s">
        <v>28</v>
      </c>
      <c r="C489" t="s">
        <v>8</v>
      </c>
      <c r="D489" t="s">
        <v>13</v>
      </c>
      <c r="E489">
        <v>10.07</v>
      </c>
      <c r="F489">
        <v>152.80000000000001</v>
      </c>
      <c r="G489">
        <v>2.67</v>
      </c>
    </row>
    <row r="490" spans="1:7" x14ac:dyDescent="0.3">
      <c r="A490">
        <v>2020</v>
      </c>
      <c r="B490" t="s">
        <v>28</v>
      </c>
      <c r="C490" t="s">
        <v>8</v>
      </c>
      <c r="D490" t="s">
        <v>14</v>
      </c>
      <c r="E490">
        <v>6.84</v>
      </c>
      <c r="F490">
        <v>154.80000000000001</v>
      </c>
      <c r="G490">
        <v>2.75</v>
      </c>
    </row>
    <row r="491" spans="1:7" x14ac:dyDescent="0.3">
      <c r="A491">
        <v>2020</v>
      </c>
      <c r="B491" t="s">
        <v>28</v>
      </c>
      <c r="C491" t="s">
        <v>8</v>
      </c>
      <c r="D491" t="s">
        <v>15</v>
      </c>
      <c r="E491">
        <v>28.32</v>
      </c>
      <c r="F491">
        <v>156.80000000000001</v>
      </c>
      <c r="G491">
        <v>2.83</v>
      </c>
    </row>
    <row r="492" spans="1:7" x14ac:dyDescent="0.3">
      <c r="A492">
        <v>2020</v>
      </c>
      <c r="B492" t="s">
        <v>28</v>
      </c>
      <c r="C492" t="s">
        <v>16</v>
      </c>
      <c r="D492" t="s">
        <v>9</v>
      </c>
      <c r="E492">
        <v>100</v>
      </c>
      <c r="F492">
        <v>145.4</v>
      </c>
      <c r="G492">
        <v>2.35</v>
      </c>
    </row>
    <row r="493" spans="1:7" x14ac:dyDescent="0.3">
      <c r="A493">
        <v>2020</v>
      </c>
      <c r="B493" t="s">
        <v>28</v>
      </c>
      <c r="C493" t="s">
        <v>16</v>
      </c>
      <c r="D493" t="s">
        <v>10</v>
      </c>
      <c r="E493">
        <v>45.86</v>
      </c>
      <c r="F493">
        <v>147.4</v>
      </c>
      <c r="G493">
        <v>2.4300000000000002</v>
      </c>
    </row>
    <row r="494" spans="1:7" x14ac:dyDescent="0.3">
      <c r="A494">
        <v>2020</v>
      </c>
      <c r="B494" t="s">
        <v>28</v>
      </c>
      <c r="C494" t="s">
        <v>16</v>
      </c>
      <c r="D494" t="s">
        <v>11</v>
      </c>
      <c r="E494">
        <v>2.38</v>
      </c>
      <c r="F494">
        <v>149.4</v>
      </c>
      <c r="G494">
        <v>2.5099999999999998</v>
      </c>
    </row>
    <row r="495" spans="1:7" x14ac:dyDescent="0.3">
      <c r="A495">
        <v>2020</v>
      </c>
      <c r="B495" t="s">
        <v>28</v>
      </c>
      <c r="C495" t="s">
        <v>16</v>
      </c>
      <c r="D495" t="s">
        <v>12</v>
      </c>
      <c r="E495">
        <v>6.53</v>
      </c>
      <c r="F495">
        <v>151.4</v>
      </c>
      <c r="G495">
        <v>2.59</v>
      </c>
    </row>
    <row r="496" spans="1:7" x14ac:dyDescent="0.3">
      <c r="A496">
        <v>2020</v>
      </c>
      <c r="B496" t="s">
        <v>28</v>
      </c>
      <c r="C496" t="s">
        <v>16</v>
      </c>
      <c r="D496" t="s">
        <v>13</v>
      </c>
      <c r="E496">
        <v>10.07</v>
      </c>
      <c r="F496">
        <v>153.4</v>
      </c>
      <c r="G496">
        <v>2.67</v>
      </c>
    </row>
    <row r="497" spans="1:7" x14ac:dyDescent="0.3">
      <c r="A497">
        <v>2020</v>
      </c>
      <c r="B497" t="s">
        <v>28</v>
      </c>
      <c r="C497" t="s">
        <v>16</v>
      </c>
      <c r="D497" t="s">
        <v>14</v>
      </c>
      <c r="E497">
        <v>6.84</v>
      </c>
      <c r="F497">
        <v>155.4</v>
      </c>
      <c r="G497">
        <v>2.75</v>
      </c>
    </row>
    <row r="498" spans="1:7" x14ac:dyDescent="0.3">
      <c r="A498">
        <v>2020</v>
      </c>
      <c r="B498" t="s">
        <v>28</v>
      </c>
      <c r="C498" t="s">
        <v>16</v>
      </c>
      <c r="D498" t="s">
        <v>15</v>
      </c>
      <c r="E498">
        <v>28.32</v>
      </c>
      <c r="F498">
        <v>157.4</v>
      </c>
      <c r="G498">
        <v>2.83</v>
      </c>
    </row>
    <row r="499" spans="1:7" x14ac:dyDescent="0.3">
      <c r="A499">
        <v>2020</v>
      </c>
      <c r="B499" t="s">
        <v>28</v>
      </c>
      <c r="C499" t="s">
        <v>17</v>
      </c>
      <c r="D499" t="s">
        <v>9</v>
      </c>
      <c r="E499">
        <v>100</v>
      </c>
      <c r="F499">
        <v>146</v>
      </c>
      <c r="G499">
        <v>2.35</v>
      </c>
    </row>
    <row r="500" spans="1:7" x14ac:dyDescent="0.3">
      <c r="A500">
        <v>2020</v>
      </c>
      <c r="B500" t="s">
        <v>28</v>
      </c>
      <c r="C500" t="s">
        <v>17</v>
      </c>
      <c r="D500" t="s">
        <v>10</v>
      </c>
      <c r="E500">
        <v>45.86</v>
      </c>
      <c r="F500">
        <v>148</v>
      </c>
      <c r="G500">
        <v>2.4300000000000002</v>
      </c>
    </row>
    <row r="501" spans="1:7" x14ac:dyDescent="0.3">
      <c r="A501">
        <v>2020</v>
      </c>
      <c r="B501" t="s">
        <v>28</v>
      </c>
      <c r="C501" t="s">
        <v>17</v>
      </c>
      <c r="D501" t="s">
        <v>11</v>
      </c>
      <c r="E501">
        <v>2.38</v>
      </c>
      <c r="F501">
        <v>150</v>
      </c>
      <c r="G501">
        <v>2.5099999999999998</v>
      </c>
    </row>
    <row r="502" spans="1:7" x14ac:dyDescent="0.3">
      <c r="A502">
        <v>2020</v>
      </c>
      <c r="B502" t="s">
        <v>28</v>
      </c>
      <c r="C502" t="s">
        <v>17</v>
      </c>
      <c r="D502" t="s">
        <v>12</v>
      </c>
      <c r="E502">
        <v>6.53</v>
      </c>
      <c r="F502">
        <v>152</v>
      </c>
      <c r="G502">
        <v>2.59</v>
      </c>
    </row>
    <row r="503" spans="1:7" x14ac:dyDescent="0.3">
      <c r="A503">
        <v>2020</v>
      </c>
      <c r="B503" t="s">
        <v>28</v>
      </c>
      <c r="C503" t="s">
        <v>17</v>
      </c>
      <c r="D503" t="s">
        <v>13</v>
      </c>
      <c r="E503">
        <v>10.07</v>
      </c>
      <c r="F503">
        <v>154</v>
      </c>
      <c r="G503">
        <v>2.67</v>
      </c>
    </row>
    <row r="504" spans="1:7" x14ac:dyDescent="0.3">
      <c r="A504">
        <v>2020</v>
      </c>
      <c r="B504" t="s">
        <v>28</v>
      </c>
      <c r="C504" t="s">
        <v>17</v>
      </c>
      <c r="D504" t="s">
        <v>14</v>
      </c>
      <c r="E504">
        <v>6.84</v>
      </c>
      <c r="F504">
        <v>156</v>
      </c>
      <c r="G504">
        <v>2.75</v>
      </c>
    </row>
    <row r="505" spans="1:7" x14ac:dyDescent="0.3">
      <c r="A505">
        <v>2020</v>
      </c>
      <c r="B505" t="s">
        <v>28</v>
      </c>
      <c r="C505" t="s">
        <v>17</v>
      </c>
      <c r="D505" t="s">
        <v>15</v>
      </c>
      <c r="E505">
        <v>28.32</v>
      </c>
      <c r="F505">
        <v>158</v>
      </c>
      <c r="G505">
        <v>2.83</v>
      </c>
    </row>
    <row r="506" spans="1:7" x14ac:dyDescent="0.3">
      <c r="A506">
        <v>2021</v>
      </c>
      <c r="B506" t="s">
        <v>7</v>
      </c>
      <c r="C506" t="s">
        <v>8</v>
      </c>
      <c r="D506" t="s">
        <v>9</v>
      </c>
      <c r="E506">
        <v>100</v>
      </c>
      <c r="F506">
        <v>145.4</v>
      </c>
      <c r="G506">
        <v>2.85</v>
      </c>
    </row>
    <row r="507" spans="1:7" x14ac:dyDescent="0.3">
      <c r="A507">
        <v>2021</v>
      </c>
      <c r="B507" t="s">
        <v>7</v>
      </c>
      <c r="C507" t="s">
        <v>8</v>
      </c>
      <c r="D507" t="s">
        <v>10</v>
      </c>
      <c r="E507">
        <v>45.86</v>
      </c>
      <c r="F507">
        <v>147.4</v>
      </c>
      <c r="G507">
        <v>2.93</v>
      </c>
    </row>
    <row r="508" spans="1:7" x14ac:dyDescent="0.3">
      <c r="A508">
        <v>2021</v>
      </c>
      <c r="B508" t="s">
        <v>7</v>
      </c>
      <c r="C508" t="s">
        <v>8</v>
      </c>
      <c r="D508" t="s">
        <v>11</v>
      </c>
      <c r="E508">
        <v>2.38</v>
      </c>
      <c r="F508">
        <v>149.4</v>
      </c>
      <c r="G508">
        <v>3.01</v>
      </c>
    </row>
    <row r="509" spans="1:7" x14ac:dyDescent="0.3">
      <c r="A509">
        <v>2021</v>
      </c>
      <c r="B509" t="s">
        <v>7</v>
      </c>
      <c r="C509" t="s">
        <v>8</v>
      </c>
      <c r="D509" t="s">
        <v>12</v>
      </c>
      <c r="E509">
        <v>6.53</v>
      </c>
      <c r="F509">
        <v>151.4</v>
      </c>
      <c r="G509">
        <v>3.09</v>
      </c>
    </row>
    <row r="510" spans="1:7" x14ac:dyDescent="0.3">
      <c r="A510">
        <v>2021</v>
      </c>
      <c r="B510" t="s">
        <v>7</v>
      </c>
      <c r="C510" t="s">
        <v>8</v>
      </c>
      <c r="D510" t="s">
        <v>13</v>
      </c>
      <c r="E510">
        <v>10.07</v>
      </c>
      <c r="F510">
        <v>153.4</v>
      </c>
      <c r="G510">
        <v>3.17</v>
      </c>
    </row>
    <row r="511" spans="1:7" x14ac:dyDescent="0.3">
      <c r="A511">
        <v>2021</v>
      </c>
      <c r="B511" t="s">
        <v>7</v>
      </c>
      <c r="C511" t="s">
        <v>8</v>
      </c>
      <c r="D511" t="s">
        <v>14</v>
      </c>
      <c r="E511">
        <v>6.84</v>
      </c>
      <c r="F511">
        <v>155.4</v>
      </c>
      <c r="G511">
        <v>3.25</v>
      </c>
    </row>
    <row r="512" spans="1:7" x14ac:dyDescent="0.3">
      <c r="A512">
        <v>2021</v>
      </c>
      <c r="B512" t="s">
        <v>7</v>
      </c>
      <c r="C512" t="s">
        <v>8</v>
      </c>
      <c r="D512" t="s">
        <v>15</v>
      </c>
      <c r="E512">
        <v>28.32</v>
      </c>
      <c r="F512">
        <v>157.4</v>
      </c>
      <c r="G512">
        <v>3.33</v>
      </c>
    </row>
    <row r="513" spans="1:7" x14ac:dyDescent="0.3">
      <c r="A513">
        <v>2021</v>
      </c>
      <c r="B513" t="s">
        <v>7</v>
      </c>
      <c r="C513" t="s">
        <v>16</v>
      </c>
      <c r="D513" t="s">
        <v>9</v>
      </c>
      <c r="E513">
        <v>100</v>
      </c>
      <c r="F513">
        <v>146</v>
      </c>
      <c r="G513">
        <v>2.85</v>
      </c>
    </row>
    <row r="514" spans="1:7" x14ac:dyDescent="0.3">
      <c r="A514">
        <v>2021</v>
      </c>
      <c r="B514" t="s">
        <v>7</v>
      </c>
      <c r="C514" t="s">
        <v>16</v>
      </c>
      <c r="D514" t="s">
        <v>10</v>
      </c>
      <c r="E514">
        <v>45.86</v>
      </c>
      <c r="F514">
        <v>148</v>
      </c>
      <c r="G514">
        <v>2.93</v>
      </c>
    </row>
    <row r="515" spans="1:7" x14ac:dyDescent="0.3">
      <c r="A515">
        <v>2021</v>
      </c>
      <c r="B515" t="s">
        <v>7</v>
      </c>
      <c r="C515" t="s">
        <v>16</v>
      </c>
      <c r="D515" t="s">
        <v>11</v>
      </c>
      <c r="E515">
        <v>2.38</v>
      </c>
      <c r="F515">
        <v>150</v>
      </c>
      <c r="G515">
        <v>3.01</v>
      </c>
    </row>
    <row r="516" spans="1:7" x14ac:dyDescent="0.3">
      <c r="A516">
        <v>2021</v>
      </c>
      <c r="B516" t="s">
        <v>7</v>
      </c>
      <c r="C516" t="s">
        <v>16</v>
      </c>
      <c r="D516" t="s">
        <v>12</v>
      </c>
      <c r="E516">
        <v>6.53</v>
      </c>
      <c r="F516">
        <v>152</v>
      </c>
      <c r="G516">
        <v>3.09</v>
      </c>
    </row>
    <row r="517" spans="1:7" x14ac:dyDescent="0.3">
      <c r="A517">
        <v>2021</v>
      </c>
      <c r="B517" t="s">
        <v>7</v>
      </c>
      <c r="C517" t="s">
        <v>16</v>
      </c>
      <c r="D517" t="s">
        <v>13</v>
      </c>
      <c r="E517">
        <v>10.07</v>
      </c>
      <c r="F517">
        <v>154</v>
      </c>
      <c r="G517">
        <v>3.17</v>
      </c>
    </row>
    <row r="518" spans="1:7" x14ac:dyDescent="0.3">
      <c r="A518">
        <v>2021</v>
      </c>
      <c r="B518" t="s">
        <v>7</v>
      </c>
      <c r="C518" t="s">
        <v>16</v>
      </c>
      <c r="D518" t="s">
        <v>14</v>
      </c>
      <c r="E518">
        <v>6.84</v>
      </c>
      <c r="F518">
        <v>156</v>
      </c>
      <c r="G518">
        <v>3.25</v>
      </c>
    </row>
    <row r="519" spans="1:7" x14ac:dyDescent="0.3">
      <c r="A519">
        <v>2021</v>
      </c>
      <c r="B519" t="s">
        <v>7</v>
      </c>
      <c r="C519" t="s">
        <v>16</v>
      </c>
      <c r="D519" t="s">
        <v>15</v>
      </c>
      <c r="E519">
        <v>28.32</v>
      </c>
      <c r="F519">
        <v>158</v>
      </c>
      <c r="G519">
        <v>3.33</v>
      </c>
    </row>
    <row r="520" spans="1:7" x14ac:dyDescent="0.3">
      <c r="A520">
        <v>2021</v>
      </c>
      <c r="B520" t="s">
        <v>7</v>
      </c>
      <c r="C520" t="s">
        <v>17</v>
      </c>
      <c r="D520" t="s">
        <v>9</v>
      </c>
      <c r="E520">
        <v>100</v>
      </c>
      <c r="F520">
        <v>146.6</v>
      </c>
      <c r="G520">
        <v>2.85</v>
      </c>
    </row>
    <row r="521" spans="1:7" x14ac:dyDescent="0.3">
      <c r="A521">
        <v>2021</v>
      </c>
      <c r="B521" t="s">
        <v>7</v>
      </c>
      <c r="C521" t="s">
        <v>17</v>
      </c>
      <c r="D521" t="s">
        <v>10</v>
      </c>
      <c r="E521">
        <v>45.86</v>
      </c>
      <c r="F521">
        <v>148.6</v>
      </c>
      <c r="G521">
        <v>2.93</v>
      </c>
    </row>
    <row r="522" spans="1:7" x14ac:dyDescent="0.3">
      <c r="A522">
        <v>2021</v>
      </c>
      <c r="B522" t="s">
        <v>7</v>
      </c>
      <c r="C522" t="s">
        <v>17</v>
      </c>
      <c r="D522" t="s">
        <v>11</v>
      </c>
      <c r="E522">
        <v>2.38</v>
      </c>
      <c r="F522">
        <v>150.6</v>
      </c>
      <c r="G522">
        <v>3.01</v>
      </c>
    </row>
    <row r="523" spans="1:7" x14ac:dyDescent="0.3">
      <c r="A523">
        <v>2021</v>
      </c>
      <c r="B523" t="s">
        <v>7</v>
      </c>
      <c r="C523" t="s">
        <v>17</v>
      </c>
      <c r="D523" t="s">
        <v>12</v>
      </c>
      <c r="E523">
        <v>6.53</v>
      </c>
      <c r="F523">
        <v>152.6</v>
      </c>
      <c r="G523">
        <v>3.09</v>
      </c>
    </row>
    <row r="524" spans="1:7" x14ac:dyDescent="0.3">
      <c r="A524">
        <v>2021</v>
      </c>
      <c r="B524" t="s">
        <v>7</v>
      </c>
      <c r="C524" t="s">
        <v>17</v>
      </c>
      <c r="D524" t="s">
        <v>13</v>
      </c>
      <c r="E524">
        <v>10.07</v>
      </c>
      <c r="F524">
        <v>154.6</v>
      </c>
      <c r="G524">
        <v>3.17</v>
      </c>
    </row>
    <row r="525" spans="1:7" x14ac:dyDescent="0.3">
      <c r="A525">
        <v>2021</v>
      </c>
      <c r="B525" t="s">
        <v>7</v>
      </c>
      <c r="C525" t="s">
        <v>17</v>
      </c>
      <c r="D525" t="s">
        <v>14</v>
      </c>
      <c r="E525">
        <v>6.84</v>
      </c>
      <c r="F525">
        <v>156.6</v>
      </c>
      <c r="G525">
        <v>3.25</v>
      </c>
    </row>
    <row r="526" spans="1:7" x14ac:dyDescent="0.3">
      <c r="A526">
        <v>2021</v>
      </c>
      <c r="B526" t="s">
        <v>7</v>
      </c>
      <c r="C526" t="s">
        <v>17</v>
      </c>
      <c r="D526" t="s">
        <v>15</v>
      </c>
      <c r="E526">
        <v>28.32</v>
      </c>
      <c r="F526">
        <v>158.6</v>
      </c>
      <c r="G526">
        <v>3.33</v>
      </c>
    </row>
    <row r="527" spans="1:7" x14ac:dyDescent="0.3">
      <c r="A527">
        <v>2021</v>
      </c>
      <c r="B527" t="s">
        <v>18</v>
      </c>
      <c r="C527" t="s">
        <v>8</v>
      </c>
      <c r="D527" t="s">
        <v>9</v>
      </c>
      <c r="E527">
        <v>100</v>
      </c>
      <c r="F527">
        <v>145.80000000000001</v>
      </c>
      <c r="G527">
        <v>3</v>
      </c>
    </row>
    <row r="528" spans="1:7" x14ac:dyDescent="0.3">
      <c r="A528">
        <v>2021</v>
      </c>
      <c r="B528" t="s">
        <v>18</v>
      </c>
      <c r="C528" t="s">
        <v>8</v>
      </c>
      <c r="D528" t="s">
        <v>10</v>
      </c>
      <c r="E528">
        <v>45.86</v>
      </c>
      <c r="F528">
        <v>147.80000000000001</v>
      </c>
      <c r="G528">
        <v>3.08</v>
      </c>
    </row>
    <row r="529" spans="1:7" x14ac:dyDescent="0.3">
      <c r="A529">
        <v>2021</v>
      </c>
      <c r="B529" t="s">
        <v>18</v>
      </c>
      <c r="C529" t="s">
        <v>8</v>
      </c>
      <c r="D529" t="s">
        <v>11</v>
      </c>
      <c r="E529">
        <v>2.38</v>
      </c>
      <c r="F529">
        <v>149.80000000000001</v>
      </c>
      <c r="G529">
        <v>3.16</v>
      </c>
    </row>
    <row r="530" spans="1:7" x14ac:dyDescent="0.3">
      <c r="A530">
        <v>2021</v>
      </c>
      <c r="B530" t="s">
        <v>18</v>
      </c>
      <c r="C530" t="s">
        <v>8</v>
      </c>
      <c r="D530" t="s">
        <v>12</v>
      </c>
      <c r="E530">
        <v>6.53</v>
      </c>
      <c r="F530">
        <v>151.80000000000001</v>
      </c>
      <c r="G530">
        <v>3.24</v>
      </c>
    </row>
    <row r="531" spans="1:7" x14ac:dyDescent="0.3">
      <c r="A531">
        <v>2021</v>
      </c>
      <c r="B531" t="s">
        <v>18</v>
      </c>
      <c r="C531" t="s">
        <v>8</v>
      </c>
      <c r="D531" t="s">
        <v>13</v>
      </c>
      <c r="E531">
        <v>10.07</v>
      </c>
      <c r="F531">
        <v>153.80000000000001</v>
      </c>
      <c r="G531">
        <v>3.32</v>
      </c>
    </row>
    <row r="532" spans="1:7" x14ac:dyDescent="0.3">
      <c r="A532">
        <v>2021</v>
      </c>
      <c r="B532" t="s">
        <v>18</v>
      </c>
      <c r="C532" t="s">
        <v>8</v>
      </c>
      <c r="D532" t="s">
        <v>14</v>
      </c>
      <c r="E532">
        <v>6.84</v>
      </c>
      <c r="F532">
        <v>155.80000000000001</v>
      </c>
      <c r="G532">
        <v>3.4</v>
      </c>
    </row>
    <row r="533" spans="1:7" x14ac:dyDescent="0.3">
      <c r="A533">
        <v>2021</v>
      </c>
      <c r="B533" t="s">
        <v>18</v>
      </c>
      <c r="C533" t="s">
        <v>8</v>
      </c>
      <c r="D533" t="s">
        <v>15</v>
      </c>
      <c r="E533">
        <v>28.32</v>
      </c>
      <c r="F533">
        <v>157.80000000000001</v>
      </c>
      <c r="G533">
        <v>3.48</v>
      </c>
    </row>
    <row r="534" spans="1:7" x14ac:dyDescent="0.3">
      <c r="A534">
        <v>2021</v>
      </c>
      <c r="B534" t="s">
        <v>18</v>
      </c>
      <c r="C534" t="s">
        <v>16</v>
      </c>
      <c r="D534" t="s">
        <v>9</v>
      </c>
      <c r="E534">
        <v>100</v>
      </c>
      <c r="F534">
        <v>146.4</v>
      </c>
      <c r="G534">
        <v>3</v>
      </c>
    </row>
    <row r="535" spans="1:7" x14ac:dyDescent="0.3">
      <c r="A535">
        <v>2021</v>
      </c>
      <c r="B535" t="s">
        <v>18</v>
      </c>
      <c r="C535" t="s">
        <v>16</v>
      </c>
      <c r="D535" t="s">
        <v>10</v>
      </c>
      <c r="E535">
        <v>45.86</v>
      </c>
      <c r="F535">
        <v>148.4</v>
      </c>
      <c r="G535">
        <v>3.08</v>
      </c>
    </row>
    <row r="536" spans="1:7" x14ac:dyDescent="0.3">
      <c r="A536">
        <v>2021</v>
      </c>
      <c r="B536" t="s">
        <v>18</v>
      </c>
      <c r="C536" t="s">
        <v>16</v>
      </c>
      <c r="D536" t="s">
        <v>11</v>
      </c>
      <c r="E536">
        <v>2.38</v>
      </c>
      <c r="F536">
        <v>150.4</v>
      </c>
      <c r="G536">
        <v>3.16</v>
      </c>
    </row>
    <row r="537" spans="1:7" x14ac:dyDescent="0.3">
      <c r="A537">
        <v>2021</v>
      </c>
      <c r="B537" t="s">
        <v>18</v>
      </c>
      <c r="C537" t="s">
        <v>16</v>
      </c>
      <c r="D537" t="s">
        <v>12</v>
      </c>
      <c r="E537">
        <v>6.53</v>
      </c>
      <c r="F537">
        <v>152.4</v>
      </c>
      <c r="G537">
        <v>3.24</v>
      </c>
    </row>
    <row r="538" spans="1:7" x14ac:dyDescent="0.3">
      <c r="A538">
        <v>2021</v>
      </c>
      <c r="B538" t="s">
        <v>18</v>
      </c>
      <c r="C538" t="s">
        <v>16</v>
      </c>
      <c r="D538" t="s">
        <v>13</v>
      </c>
      <c r="E538">
        <v>10.07</v>
      </c>
      <c r="F538">
        <v>154.4</v>
      </c>
      <c r="G538">
        <v>3.32</v>
      </c>
    </row>
    <row r="539" spans="1:7" x14ac:dyDescent="0.3">
      <c r="A539">
        <v>2021</v>
      </c>
      <c r="B539" t="s">
        <v>18</v>
      </c>
      <c r="C539" t="s">
        <v>16</v>
      </c>
      <c r="D539" t="s">
        <v>14</v>
      </c>
      <c r="E539">
        <v>6.84</v>
      </c>
      <c r="F539">
        <v>156.4</v>
      </c>
      <c r="G539">
        <v>3.4</v>
      </c>
    </row>
    <row r="540" spans="1:7" x14ac:dyDescent="0.3">
      <c r="A540">
        <v>2021</v>
      </c>
      <c r="B540" t="s">
        <v>18</v>
      </c>
      <c r="C540" t="s">
        <v>16</v>
      </c>
      <c r="D540" t="s">
        <v>15</v>
      </c>
      <c r="E540">
        <v>28.32</v>
      </c>
      <c r="F540">
        <v>158.4</v>
      </c>
      <c r="G540">
        <v>3.48</v>
      </c>
    </row>
    <row r="541" spans="1:7" x14ac:dyDescent="0.3">
      <c r="A541">
        <v>2021</v>
      </c>
      <c r="B541" t="s">
        <v>18</v>
      </c>
      <c r="C541" t="s">
        <v>17</v>
      </c>
      <c r="D541" t="s">
        <v>9</v>
      </c>
      <c r="E541">
        <v>100</v>
      </c>
      <c r="F541">
        <v>147</v>
      </c>
      <c r="G541">
        <v>3</v>
      </c>
    </row>
    <row r="542" spans="1:7" x14ac:dyDescent="0.3">
      <c r="A542">
        <v>2021</v>
      </c>
      <c r="B542" t="s">
        <v>18</v>
      </c>
      <c r="C542" t="s">
        <v>17</v>
      </c>
      <c r="D542" t="s">
        <v>10</v>
      </c>
      <c r="E542">
        <v>45.86</v>
      </c>
      <c r="F542">
        <v>149</v>
      </c>
      <c r="G542">
        <v>3.08</v>
      </c>
    </row>
    <row r="543" spans="1:7" x14ac:dyDescent="0.3">
      <c r="A543">
        <v>2021</v>
      </c>
      <c r="B543" t="s">
        <v>18</v>
      </c>
      <c r="C543" t="s">
        <v>17</v>
      </c>
      <c r="D543" t="s">
        <v>11</v>
      </c>
      <c r="E543">
        <v>2.38</v>
      </c>
      <c r="F543">
        <v>151</v>
      </c>
      <c r="G543">
        <v>3.16</v>
      </c>
    </row>
    <row r="544" spans="1:7" x14ac:dyDescent="0.3">
      <c r="A544">
        <v>2021</v>
      </c>
      <c r="B544" t="s">
        <v>18</v>
      </c>
      <c r="C544" t="s">
        <v>17</v>
      </c>
      <c r="D544" t="s">
        <v>12</v>
      </c>
      <c r="E544">
        <v>6.53</v>
      </c>
      <c r="F544">
        <v>153</v>
      </c>
      <c r="G544">
        <v>3.24</v>
      </c>
    </row>
    <row r="545" spans="1:7" x14ac:dyDescent="0.3">
      <c r="A545">
        <v>2021</v>
      </c>
      <c r="B545" t="s">
        <v>18</v>
      </c>
      <c r="C545" t="s">
        <v>17</v>
      </c>
      <c r="D545" t="s">
        <v>13</v>
      </c>
      <c r="E545">
        <v>10.07</v>
      </c>
      <c r="F545">
        <v>155</v>
      </c>
      <c r="G545">
        <v>3.32</v>
      </c>
    </row>
    <row r="546" spans="1:7" x14ac:dyDescent="0.3">
      <c r="A546">
        <v>2021</v>
      </c>
      <c r="B546" t="s">
        <v>18</v>
      </c>
      <c r="C546" t="s">
        <v>17</v>
      </c>
      <c r="D546" t="s">
        <v>14</v>
      </c>
      <c r="E546">
        <v>6.84</v>
      </c>
      <c r="F546">
        <v>157</v>
      </c>
      <c r="G546">
        <v>3.4</v>
      </c>
    </row>
    <row r="547" spans="1:7" x14ac:dyDescent="0.3">
      <c r="A547">
        <v>2021</v>
      </c>
      <c r="B547" t="s">
        <v>18</v>
      </c>
      <c r="C547" t="s">
        <v>17</v>
      </c>
      <c r="D547" t="s">
        <v>15</v>
      </c>
      <c r="E547">
        <v>28.32</v>
      </c>
      <c r="F547">
        <v>159</v>
      </c>
      <c r="G547">
        <v>3.48</v>
      </c>
    </row>
    <row r="548" spans="1:7" x14ac:dyDescent="0.3">
      <c r="A548">
        <v>2021</v>
      </c>
      <c r="B548" t="s">
        <v>19</v>
      </c>
      <c r="C548" t="s">
        <v>8</v>
      </c>
      <c r="D548" t="s">
        <v>9</v>
      </c>
      <c r="E548">
        <v>100</v>
      </c>
      <c r="F548">
        <v>146.19999999999999</v>
      </c>
      <c r="G548">
        <v>3.15</v>
      </c>
    </row>
    <row r="549" spans="1:7" x14ac:dyDescent="0.3">
      <c r="A549">
        <v>2021</v>
      </c>
      <c r="B549" t="s">
        <v>19</v>
      </c>
      <c r="C549" t="s">
        <v>8</v>
      </c>
      <c r="D549" t="s">
        <v>10</v>
      </c>
      <c r="E549">
        <v>45.86</v>
      </c>
      <c r="F549">
        <v>148.19999999999999</v>
      </c>
      <c r="G549">
        <v>3.23</v>
      </c>
    </row>
    <row r="550" spans="1:7" x14ac:dyDescent="0.3">
      <c r="A550">
        <v>2021</v>
      </c>
      <c r="B550" t="s">
        <v>19</v>
      </c>
      <c r="C550" t="s">
        <v>8</v>
      </c>
      <c r="D550" t="s">
        <v>11</v>
      </c>
      <c r="E550">
        <v>2.38</v>
      </c>
      <c r="F550">
        <v>150.19999999999999</v>
      </c>
      <c r="G550">
        <v>3.31</v>
      </c>
    </row>
    <row r="551" spans="1:7" x14ac:dyDescent="0.3">
      <c r="A551">
        <v>2021</v>
      </c>
      <c r="B551" t="s">
        <v>19</v>
      </c>
      <c r="C551" t="s">
        <v>8</v>
      </c>
      <c r="D551" t="s">
        <v>12</v>
      </c>
      <c r="E551">
        <v>6.53</v>
      </c>
      <c r="F551">
        <v>152.19999999999999</v>
      </c>
      <c r="G551">
        <v>3.39</v>
      </c>
    </row>
    <row r="552" spans="1:7" x14ac:dyDescent="0.3">
      <c r="A552">
        <v>2021</v>
      </c>
      <c r="B552" t="s">
        <v>19</v>
      </c>
      <c r="C552" t="s">
        <v>8</v>
      </c>
      <c r="D552" t="s">
        <v>13</v>
      </c>
      <c r="E552">
        <v>10.07</v>
      </c>
      <c r="F552">
        <v>154.19999999999999</v>
      </c>
      <c r="G552">
        <v>3.47</v>
      </c>
    </row>
    <row r="553" spans="1:7" x14ac:dyDescent="0.3">
      <c r="A553">
        <v>2021</v>
      </c>
      <c r="B553" t="s">
        <v>19</v>
      </c>
      <c r="C553" t="s">
        <v>8</v>
      </c>
      <c r="D553" t="s">
        <v>14</v>
      </c>
      <c r="E553">
        <v>6.84</v>
      </c>
      <c r="F553">
        <v>156.19999999999999</v>
      </c>
      <c r="G553">
        <v>3.55</v>
      </c>
    </row>
    <row r="554" spans="1:7" x14ac:dyDescent="0.3">
      <c r="A554">
        <v>2021</v>
      </c>
      <c r="B554" t="s">
        <v>19</v>
      </c>
      <c r="C554" t="s">
        <v>8</v>
      </c>
      <c r="D554" t="s">
        <v>15</v>
      </c>
      <c r="E554">
        <v>28.32</v>
      </c>
      <c r="F554">
        <v>158.19999999999999</v>
      </c>
      <c r="G554">
        <v>3.63</v>
      </c>
    </row>
    <row r="555" spans="1:7" x14ac:dyDescent="0.3">
      <c r="A555">
        <v>2021</v>
      </c>
      <c r="B555" t="s">
        <v>19</v>
      </c>
      <c r="C555" t="s">
        <v>16</v>
      </c>
      <c r="D555" t="s">
        <v>9</v>
      </c>
      <c r="E555">
        <v>100</v>
      </c>
      <c r="F555">
        <v>146.80000000000001</v>
      </c>
      <c r="G555">
        <v>3.15</v>
      </c>
    </row>
    <row r="556" spans="1:7" x14ac:dyDescent="0.3">
      <c r="A556">
        <v>2021</v>
      </c>
      <c r="B556" t="s">
        <v>19</v>
      </c>
      <c r="C556" t="s">
        <v>16</v>
      </c>
      <c r="D556" t="s">
        <v>10</v>
      </c>
      <c r="E556">
        <v>45.86</v>
      </c>
      <c r="F556">
        <v>148.80000000000001</v>
      </c>
      <c r="G556">
        <v>3.23</v>
      </c>
    </row>
    <row r="557" spans="1:7" x14ac:dyDescent="0.3">
      <c r="A557">
        <v>2021</v>
      </c>
      <c r="B557" t="s">
        <v>19</v>
      </c>
      <c r="C557" t="s">
        <v>16</v>
      </c>
      <c r="D557" t="s">
        <v>11</v>
      </c>
      <c r="E557">
        <v>2.38</v>
      </c>
      <c r="F557">
        <v>150.80000000000001</v>
      </c>
      <c r="G557">
        <v>3.31</v>
      </c>
    </row>
    <row r="558" spans="1:7" x14ac:dyDescent="0.3">
      <c r="A558">
        <v>2021</v>
      </c>
      <c r="B558" t="s">
        <v>19</v>
      </c>
      <c r="C558" t="s">
        <v>16</v>
      </c>
      <c r="D558" t="s">
        <v>12</v>
      </c>
      <c r="E558">
        <v>6.53</v>
      </c>
      <c r="F558">
        <v>152.80000000000001</v>
      </c>
      <c r="G558">
        <v>3.39</v>
      </c>
    </row>
    <row r="559" spans="1:7" x14ac:dyDescent="0.3">
      <c r="A559">
        <v>2021</v>
      </c>
      <c r="B559" t="s">
        <v>19</v>
      </c>
      <c r="C559" t="s">
        <v>16</v>
      </c>
      <c r="D559" t="s">
        <v>13</v>
      </c>
      <c r="E559">
        <v>10.07</v>
      </c>
      <c r="F559">
        <v>154.80000000000001</v>
      </c>
      <c r="G559">
        <v>3.47</v>
      </c>
    </row>
    <row r="560" spans="1:7" x14ac:dyDescent="0.3">
      <c r="A560">
        <v>2021</v>
      </c>
      <c r="B560" t="s">
        <v>19</v>
      </c>
      <c r="C560" t="s">
        <v>16</v>
      </c>
      <c r="D560" t="s">
        <v>14</v>
      </c>
      <c r="E560">
        <v>6.84</v>
      </c>
      <c r="F560">
        <v>156.80000000000001</v>
      </c>
      <c r="G560">
        <v>3.55</v>
      </c>
    </row>
    <row r="561" spans="1:7" x14ac:dyDescent="0.3">
      <c r="A561">
        <v>2021</v>
      </c>
      <c r="B561" t="s">
        <v>19</v>
      </c>
      <c r="C561" t="s">
        <v>16</v>
      </c>
      <c r="D561" t="s">
        <v>15</v>
      </c>
      <c r="E561">
        <v>28.32</v>
      </c>
      <c r="F561">
        <v>158.80000000000001</v>
      </c>
      <c r="G561">
        <v>3.63</v>
      </c>
    </row>
    <row r="562" spans="1:7" x14ac:dyDescent="0.3">
      <c r="A562">
        <v>2021</v>
      </c>
      <c r="B562" t="s">
        <v>19</v>
      </c>
      <c r="C562" t="s">
        <v>17</v>
      </c>
      <c r="D562" t="s">
        <v>9</v>
      </c>
      <c r="E562">
        <v>100</v>
      </c>
      <c r="F562">
        <v>147.4</v>
      </c>
      <c r="G562">
        <v>3.15</v>
      </c>
    </row>
    <row r="563" spans="1:7" x14ac:dyDescent="0.3">
      <c r="A563">
        <v>2021</v>
      </c>
      <c r="B563" t="s">
        <v>19</v>
      </c>
      <c r="C563" t="s">
        <v>17</v>
      </c>
      <c r="D563" t="s">
        <v>10</v>
      </c>
      <c r="E563">
        <v>45.86</v>
      </c>
      <c r="F563">
        <v>149.4</v>
      </c>
      <c r="G563">
        <v>3.23</v>
      </c>
    </row>
    <row r="564" spans="1:7" x14ac:dyDescent="0.3">
      <c r="A564">
        <v>2021</v>
      </c>
      <c r="B564" t="s">
        <v>19</v>
      </c>
      <c r="C564" t="s">
        <v>17</v>
      </c>
      <c r="D564" t="s">
        <v>11</v>
      </c>
      <c r="E564">
        <v>2.38</v>
      </c>
      <c r="F564">
        <v>151.4</v>
      </c>
      <c r="G564">
        <v>3.31</v>
      </c>
    </row>
    <row r="565" spans="1:7" x14ac:dyDescent="0.3">
      <c r="A565">
        <v>2021</v>
      </c>
      <c r="B565" t="s">
        <v>19</v>
      </c>
      <c r="C565" t="s">
        <v>17</v>
      </c>
      <c r="D565" t="s">
        <v>12</v>
      </c>
      <c r="E565">
        <v>6.53</v>
      </c>
      <c r="F565">
        <v>153.4</v>
      </c>
      <c r="G565">
        <v>3.39</v>
      </c>
    </row>
    <row r="566" spans="1:7" x14ac:dyDescent="0.3">
      <c r="A566">
        <v>2021</v>
      </c>
      <c r="B566" t="s">
        <v>19</v>
      </c>
      <c r="C566" t="s">
        <v>17</v>
      </c>
      <c r="D566" t="s">
        <v>13</v>
      </c>
      <c r="E566">
        <v>10.07</v>
      </c>
      <c r="F566">
        <v>155.4</v>
      </c>
      <c r="G566">
        <v>3.47</v>
      </c>
    </row>
    <row r="567" spans="1:7" x14ac:dyDescent="0.3">
      <c r="A567">
        <v>2021</v>
      </c>
      <c r="B567" t="s">
        <v>19</v>
      </c>
      <c r="C567" t="s">
        <v>17</v>
      </c>
      <c r="D567" t="s">
        <v>14</v>
      </c>
      <c r="E567">
        <v>6.84</v>
      </c>
      <c r="F567">
        <v>157.4</v>
      </c>
      <c r="G567">
        <v>3.55</v>
      </c>
    </row>
    <row r="568" spans="1:7" x14ac:dyDescent="0.3">
      <c r="A568">
        <v>2021</v>
      </c>
      <c r="B568" t="s">
        <v>19</v>
      </c>
      <c r="C568" t="s">
        <v>17</v>
      </c>
      <c r="D568" t="s">
        <v>15</v>
      </c>
      <c r="E568">
        <v>28.32</v>
      </c>
      <c r="F568">
        <v>159.4</v>
      </c>
      <c r="G568">
        <v>3.63</v>
      </c>
    </row>
    <row r="569" spans="1:7" x14ac:dyDescent="0.3">
      <c r="A569">
        <v>2021</v>
      </c>
      <c r="B569" t="s">
        <v>20</v>
      </c>
      <c r="C569" t="s">
        <v>8</v>
      </c>
      <c r="D569" t="s">
        <v>9</v>
      </c>
      <c r="E569">
        <v>100</v>
      </c>
      <c r="F569">
        <v>146.6</v>
      </c>
      <c r="G569">
        <v>3.3</v>
      </c>
    </row>
    <row r="570" spans="1:7" x14ac:dyDescent="0.3">
      <c r="A570">
        <v>2021</v>
      </c>
      <c r="B570" t="s">
        <v>20</v>
      </c>
      <c r="C570" t="s">
        <v>8</v>
      </c>
      <c r="D570" t="s">
        <v>10</v>
      </c>
      <c r="E570">
        <v>45.86</v>
      </c>
      <c r="F570">
        <v>148.6</v>
      </c>
      <c r="G570">
        <v>3.38</v>
      </c>
    </row>
    <row r="571" spans="1:7" x14ac:dyDescent="0.3">
      <c r="A571">
        <v>2021</v>
      </c>
      <c r="B571" t="s">
        <v>20</v>
      </c>
      <c r="C571" t="s">
        <v>8</v>
      </c>
      <c r="D571" t="s">
        <v>11</v>
      </c>
      <c r="E571">
        <v>2.38</v>
      </c>
      <c r="F571">
        <v>150.6</v>
      </c>
      <c r="G571">
        <v>3.46</v>
      </c>
    </row>
    <row r="572" spans="1:7" x14ac:dyDescent="0.3">
      <c r="A572">
        <v>2021</v>
      </c>
      <c r="B572" t="s">
        <v>20</v>
      </c>
      <c r="C572" t="s">
        <v>8</v>
      </c>
      <c r="D572" t="s">
        <v>12</v>
      </c>
      <c r="E572">
        <v>6.53</v>
      </c>
      <c r="F572">
        <v>152.6</v>
      </c>
      <c r="G572">
        <v>3.54</v>
      </c>
    </row>
    <row r="573" spans="1:7" x14ac:dyDescent="0.3">
      <c r="A573">
        <v>2021</v>
      </c>
      <c r="B573" t="s">
        <v>20</v>
      </c>
      <c r="C573" t="s">
        <v>8</v>
      </c>
      <c r="D573" t="s">
        <v>13</v>
      </c>
      <c r="E573">
        <v>10.07</v>
      </c>
      <c r="F573">
        <v>154.6</v>
      </c>
      <c r="G573">
        <v>3.62</v>
      </c>
    </row>
    <row r="574" spans="1:7" x14ac:dyDescent="0.3">
      <c r="A574">
        <v>2021</v>
      </c>
      <c r="B574" t="s">
        <v>20</v>
      </c>
      <c r="C574" t="s">
        <v>8</v>
      </c>
      <c r="D574" t="s">
        <v>14</v>
      </c>
      <c r="E574">
        <v>6.84</v>
      </c>
      <c r="F574">
        <v>156.6</v>
      </c>
      <c r="G574">
        <v>3.7</v>
      </c>
    </row>
    <row r="575" spans="1:7" x14ac:dyDescent="0.3">
      <c r="A575">
        <v>2021</v>
      </c>
      <c r="B575" t="s">
        <v>20</v>
      </c>
      <c r="C575" t="s">
        <v>8</v>
      </c>
      <c r="D575" t="s">
        <v>15</v>
      </c>
      <c r="E575">
        <v>28.32</v>
      </c>
      <c r="F575">
        <v>158.6</v>
      </c>
      <c r="G575">
        <v>3.78</v>
      </c>
    </row>
    <row r="576" spans="1:7" x14ac:dyDescent="0.3">
      <c r="A576">
        <v>2021</v>
      </c>
      <c r="B576" t="s">
        <v>20</v>
      </c>
      <c r="C576" t="s">
        <v>16</v>
      </c>
      <c r="D576" t="s">
        <v>9</v>
      </c>
      <c r="E576">
        <v>100</v>
      </c>
      <c r="F576">
        <v>147.19999999999999</v>
      </c>
      <c r="G576">
        <v>3.3</v>
      </c>
    </row>
    <row r="577" spans="1:7" x14ac:dyDescent="0.3">
      <c r="A577">
        <v>2021</v>
      </c>
      <c r="B577" t="s">
        <v>20</v>
      </c>
      <c r="C577" t="s">
        <v>16</v>
      </c>
      <c r="D577" t="s">
        <v>10</v>
      </c>
      <c r="E577">
        <v>45.86</v>
      </c>
      <c r="F577">
        <v>149.19999999999999</v>
      </c>
      <c r="G577">
        <v>3.38</v>
      </c>
    </row>
    <row r="578" spans="1:7" x14ac:dyDescent="0.3">
      <c r="A578">
        <v>2021</v>
      </c>
      <c r="B578" t="s">
        <v>20</v>
      </c>
      <c r="C578" t="s">
        <v>16</v>
      </c>
      <c r="D578" t="s">
        <v>11</v>
      </c>
      <c r="E578">
        <v>2.38</v>
      </c>
      <c r="F578">
        <v>151.19999999999999</v>
      </c>
      <c r="G578">
        <v>3.46</v>
      </c>
    </row>
    <row r="579" spans="1:7" x14ac:dyDescent="0.3">
      <c r="A579">
        <v>2021</v>
      </c>
      <c r="B579" t="s">
        <v>20</v>
      </c>
      <c r="C579" t="s">
        <v>16</v>
      </c>
      <c r="D579" t="s">
        <v>12</v>
      </c>
      <c r="E579">
        <v>6.53</v>
      </c>
      <c r="F579">
        <v>153.19999999999999</v>
      </c>
      <c r="G579">
        <v>3.54</v>
      </c>
    </row>
    <row r="580" spans="1:7" x14ac:dyDescent="0.3">
      <c r="A580">
        <v>2021</v>
      </c>
      <c r="B580" t="s">
        <v>20</v>
      </c>
      <c r="C580" t="s">
        <v>16</v>
      </c>
      <c r="D580" t="s">
        <v>13</v>
      </c>
      <c r="E580">
        <v>10.07</v>
      </c>
      <c r="F580">
        <v>155.19999999999999</v>
      </c>
      <c r="G580">
        <v>3.62</v>
      </c>
    </row>
    <row r="581" spans="1:7" x14ac:dyDescent="0.3">
      <c r="A581">
        <v>2021</v>
      </c>
      <c r="B581" t="s">
        <v>20</v>
      </c>
      <c r="C581" t="s">
        <v>16</v>
      </c>
      <c r="D581" t="s">
        <v>14</v>
      </c>
      <c r="E581">
        <v>6.84</v>
      </c>
      <c r="F581">
        <v>157.19999999999999</v>
      </c>
      <c r="G581">
        <v>3.7</v>
      </c>
    </row>
    <row r="582" spans="1:7" x14ac:dyDescent="0.3">
      <c r="A582">
        <v>2021</v>
      </c>
      <c r="B582" t="s">
        <v>20</v>
      </c>
      <c r="C582" t="s">
        <v>16</v>
      </c>
      <c r="D582" t="s">
        <v>15</v>
      </c>
      <c r="E582">
        <v>28.32</v>
      </c>
      <c r="F582">
        <v>159.19999999999999</v>
      </c>
      <c r="G582">
        <v>3.78</v>
      </c>
    </row>
    <row r="583" spans="1:7" x14ac:dyDescent="0.3">
      <c r="A583">
        <v>2021</v>
      </c>
      <c r="B583" t="s">
        <v>20</v>
      </c>
      <c r="C583" t="s">
        <v>17</v>
      </c>
      <c r="D583" t="s">
        <v>9</v>
      </c>
      <c r="E583">
        <v>100</v>
      </c>
      <c r="F583">
        <v>147.80000000000001</v>
      </c>
      <c r="G583">
        <v>3.3</v>
      </c>
    </row>
    <row r="584" spans="1:7" x14ac:dyDescent="0.3">
      <c r="A584">
        <v>2021</v>
      </c>
      <c r="B584" t="s">
        <v>20</v>
      </c>
      <c r="C584" t="s">
        <v>17</v>
      </c>
      <c r="D584" t="s">
        <v>10</v>
      </c>
      <c r="E584">
        <v>45.86</v>
      </c>
      <c r="F584">
        <v>149.80000000000001</v>
      </c>
      <c r="G584">
        <v>3.38</v>
      </c>
    </row>
    <row r="585" spans="1:7" x14ac:dyDescent="0.3">
      <c r="A585">
        <v>2021</v>
      </c>
      <c r="B585" t="s">
        <v>20</v>
      </c>
      <c r="C585" t="s">
        <v>17</v>
      </c>
      <c r="D585" t="s">
        <v>11</v>
      </c>
      <c r="E585">
        <v>2.38</v>
      </c>
      <c r="F585">
        <v>151.80000000000001</v>
      </c>
      <c r="G585">
        <v>3.46</v>
      </c>
    </row>
    <row r="586" spans="1:7" x14ac:dyDescent="0.3">
      <c r="A586">
        <v>2021</v>
      </c>
      <c r="B586" t="s">
        <v>20</v>
      </c>
      <c r="C586" t="s">
        <v>17</v>
      </c>
      <c r="D586" t="s">
        <v>12</v>
      </c>
      <c r="E586">
        <v>6.53</v>
      </c>
      <c r="F586">
        <v>153.80000000000001</v>
      </c>
      <c r="G586">
        <v>3.54</v>
      </c>
    </row>
    <row r="587" spans="1:7" x14ac:dyDescent="0.3">
      <c r="A587">
        <v>2021</v>
      </c>
      <c r="B587" t="s">
        <v>20</v>
      </c>
      <c r="C587" t="s">
        <v>17</v>
      </c>
      <c r="D587" t="s">
        <v>13</v>
      </c>
      <c r="E587">
        <v>10.07</v>
      </c>
      <c r="F587">
        <v>155.80000000000001</v>
      </c>
      <c r="G587">
        <v>3.62</v>
      </c>
    </row>
    <row r="588" spans="1:7" x14ac:dyDescent="0.3">
      <c r="A588">
        <v>2021</v>
      </c>
      <c r="B588" t="s">
        <v>20</v>
      </c>
      <c r="C588" t="s">
        <v>17</v>
      </c>
      <c r="D588" t="s">
        <v>14</v>
      </c>
      <c r="E588">
        <v>6.84</v>
      </c>
      <c r="F588">
        <v>157.80000000000001</v>
      </c>
      <c r="G588">
        <v>3.7</v>
      </c>
    </row>
    <row r="589" spans="1:7" x14ac:dyDescent="0.3">
      <c r="A589">
        <v>2021</v>
      </c>
      <c r="B589" t="s">
        <v>20</v>
      </c>
      <c r="C589" t="s">
        <v>17</v>
      </c>
      <c r="D589" t="s">
        <v>15</v>
      </c>
      <c r="E589">
        <v>28.32</v>
      </c>
      <c r="F589">
        <v>159.80000000000001</v>
      </c>
      <c r="G589">
        <v>3.78</v>
      </c>
    </row>
    <row r="590" spans="1:7" x14ac:dyDescent="0.3">
      <c r="A590">
        <v>2021</v>
      </c>
      <c r="B590" t="s">
        <v>21</v>
      </c>
      <c r="C590" t="s">
        <v>8</v>
      </c>
      <c r="D590" t="s">
        <v>9</v>
      </c>
      <c r="E590">
        <v>100</v>
      </c>
      <c r="F590">
        <v>147</v>
      </c>
      <c r="G590">
        <v>3.45</v>
      </c>
    </row>
    <row r="591" spans="1:7" x14ac:dyDescent="0.3">
      <c r="A591">
        <v>2021</v>
      </c>
      <c r="B591" t="s">
        <v>21</v>
      </c>
      <c r="C591" t="s">
        <v>8</v>
      </c>
      <c r="D591" t="s">
        <v>10</v>
      </c>
      <c r="E591">
        <v>45.86</v>
      </c>
      <c r="F591">
        <v>149</v>
      </c>
      <c r="G591">
        <v>3.53</v>
      </c>
    </row>
    <row r="592" spans="1:7" x14ac:dyDescent="0.3">
      <c r="A592">
        <v>2021</v>
      </c>
      <c r="B592" t="s">
        <v>21</v>
      </c>
      <c r="C592" t="s">
        <v>8</v>
      </c>
      <c r="D592" t="s">
        <v>11</v>
      </c>
      <c r="E592">
        <v>2.38</v>
      </c>
      <c r="F592">
        <v>151</v>
      </c>
      <c r="G592">
        <v>3.61</v>
      </c>
    </row>
    <row r="593" spans="1:7" x14ac:dyDescent="0.3">
      <c r="A593">
        <v>2021</v>
      </c>
      <c r="B593" t="s">
        <v>21</v>
      </c>
      <c r="C593" t="s">
        <v>8</v>
      </c>
      <c r="D593" t="s">
        <v>12</v>
      </c>
      <c r="E593">
        <v>6.53</v>
      </c>
      <c r="F593">
        <v>153</v>
      </c>
      <c r="G593">
        <v>3.69</v>
      </c>
    </row>
    <row r="594" spans="1:7" x14ac:dyDescent="0.3">
      <c r="A594">
        <v>2021</v>
      </c>
      <c r="B594" t="s">
        <v>21</v>
      </c>
      <c r="C594" t="s">
        <v>8</v>
      </c>
      <c r="D594" t="s">
        <v>13</v>
      </c>
      <c r="E594">
        <v>10.07</v>
      </c>
      <c r="F594">
        <v>155</v>
      </c>
      <c r="G594">
        <v>3.77</v>
      </c>
    </row>
    <row r="595" spans="1:7" x14ac:dyDescent="0.3">
      <c r="A595">
        <v>2021</v>
      </c>
      <c r="B595" t="s">
        <v>21</v>
      </c>
      <c r="C595" t="s">
        <v>8</v>
      </c>
      <c r="D595" t="s">
        <v>14</v>
      </c>
      <c r="E595">
        <v>6.84</v>
      </c>
      <c r="F595">
        <v>157</v>
      </c>
      <c r="G595">
        <v>3.85</v>
      </c>
    </row>
    <row r="596" spans="1:7" x14ac:dyDescent="0.3">
      <c r="A596">
        <v>2021</v>
      </c>
      <c r="B596" t="s">
        <v>21</v>
      </c>
      <c r="C596" t="s">
        <v>8</v>
      </c>
      <c r="D596" t="s">
        <v>15</v>
      </c>
      <c r="E596">
        <v>28.32</v>
      </c>
      <c r="F596">
        <v>159</v>
      </c>
      <c r="G596">
        <v>3.93</v>
      </c>
    </row>
    <row r="597" spans="1:7" x14ac:dyDescent="0.3">
      <c r="A597">
        <v>2021</v>
      </c>
      <c r="B597" t="s">
        <v>21</v>
      </c>
      <c r="C597" t="s">
        <v>16</v>
      </c>
      <c r="D597" t="s">
        <v>9</v>
      </c>
      <c r="E597">
        <v>100</v>
      </c>
      <c r="F597">
        <v>147.6</v>
      </c>
      <c r="G597">
        <v>3.45</v>
      </c>
    </row>
    <row r="598" spans="1:7" x14ac:dyDescent="0.3">
      <c r="A598">
        <v>2021</v>
      </c>
      <c r="B598" t="s">
        <v>21</v>
      </c>
      <c r="C598" t="s">
        <v>16</v>
      </c>
      <c r="D598" t="s">
        <v>10</v>
      </c>
      <c r="E598">
        <v>45.86</v>
      </c>
      <c r="F598">
        <v>149.6</v>
      </c>
      <c r="G598">
        <v>3.53</v>
      </c>
    </row>
    <row r="599" spans="1:7" x14ac:dyDescent="0.3">
      <c r="A599">
        <v>2021</v>
      </c>
      <c r="B599" t="s">
        <v>21</v>
      </c>
      <c r="C599" t="s">
        <v>16</v>
      </c>
      <c r="D599" t="s">
        <v>11</v>
      </c>
      <c r="E599">
        <v>2.38</v>
      </c>
      <c r="F599">
        <v>151.6</v>
      </c>
      <c r="G599">
        <v>3.61</v>
      </c>
    </row>
    <row r="600" spans="1:7" x14ac:dyDescent="0.3">
      <c r="A600">
        <v>2021</v>
      </c>
      <c r="B600" t="s">
        <v>21</v>
      </c>
      <c r="C600" t="s">
        <v>16</v>
      </c>
      <c r="D600" t="s">
        <v>12</v>
      </c>
      <c r="E600">
        <v>6.53</v>
      </c>
      <c r="F600">
        <v>153.6</v>
      </c>
      <c r="G600">
        <v>3.69</v>
      </c>
    </row>
    <row r="601" spans="1:7" x14ac:dyDescent="0.3">
      <c r="A601">
        <v>2021</v>
      </c>
      <c r="B601" t="s">
        <v>21</v>
      </c>
      <c r="C601" t="s">
        <v>16</v>
      </c>
      <c r="D601" t="s">
        <v>13</v>
      </c>
      <c r="E601">
        <v>10.07</v>
      </c>
      <c r="F601">
        <v>155.6</v>
      </c>
      <c r="G601">
        <v>3.77</v>
      </c>
    </row>
    <row r="602" spans="1:7" x14ac:dyDescent="0.3">
      <c r="A602">
        <v>2021</v>
      </c>
      <c r="B602" t="s">
        <v>21</v>
      </c>
      <c r="C602" t="s">
        <v>16</v>
      </c>
      <c r="D602" t="s">
        <v>14</v>
      </c>
      <c r="E602">
        <v>6.84</v>
      </c>
      <c r="F602">
        <v>157.6</v>
      </c>
      <c r="G602">
        <v>3.85</v>
      </c>
    </row>
    <row r="603" spans="1:7" x14ac:dyDescent="0.3">
      <c r="A603">
        <v>2021</v>
      </c>
      <c r="B603" t="s">
        <v>21</v>
      </c>
      <c r="C603" t="s">
        <v>16</v>
      </c>
      <c r="D603" t="s">
        <v>15</v>
      </c>
      <c r="E603">
        <v>28.32</v>
      </c>
      <c r="F603">
        <v>159.6</v>
      </c>
      <c r="G603">
        <v>3.93</v>
      </c>
    </row>
    <row r="604" spans="1:7" x14ac:dyDescent="0.3">
      <c r="A604">
        <v>2021</v>
      </c>
      <c r="B604" t="s">
        <v>21</v>
      </c>
      <c r="C604" t="s">
        <v>17</v>
      </c>
      <c r="D604" t="s">
        <v>9</v>
      </c>
      <c r="E604">
        <v>100</v>
      </c>
      <c r="F604">
        <v>148.19999999999999</v>
      </c>
      <c r="G604">
        <v>3.45</v>
      </c>
    </row>
    <row r="605" spans="1:7" x14ac:dyDescent="0.3">
      <c r="A605">
        <v>2021</v>
      </c>
      <c r="B605" t="s">
        <v>21</v>
      </c>
      <c r="C605" t="s">
        <v>17</v>
      </c>
      <c r="D605" t="s">
        <v>10</v>
      </c>
      <c r="E605">
        <v>45.86</v>
      </c>
      <c r="F605">
        <v>150.19999999999999</v>
      </c>
      <c r="G605">
        <v>3.53</v>
      </c>
    </row>
    <row r="606" spans="1:7" x14ac:dyDescent="0.3">
      <c r="A606">
        <v>2021</v>
      </c>
      <c r="B606" t="s">
        <v>21</v>
      </c>
      <c r="C606" t="s">
        <v>17</v>
      </c>
      <c r="D606" t="s">
        <v>11</v>
      </c>
      <c r="E606">
        <v>2.38</v>
      </c>
      <c r="F606">
        <v>152.19999999999999</v>
      </c>
      <c r="G606">
        <v>3.61</v>
      </c>
    </row>
    <row r="607" spans="1:7" x14ac:dyDescent="0.3">
      <c r="A607">
        <v>2021</v>
      </c>
      <c r="B607" t="s">
        <v>21</v>
      </c>
      <c r="C607" t="s">
        <v>17</v>
      </c>
      <c r="D607" t="s">
        <v>12</v>
      </c>
      <c r="E607">
        <v>6.53</v>
      </c>
      <c r="F607">
        <v>154.19999999999999</v>
      </c>
      <c r="G607">
        <v>3.69</v>
      </c>
    </row>
    <row r="608" spans="1:7" x14ac:dyDescent="0.3">
      <c r="A608">
        <v>2021</v>
      </c>
      <c r="B608" t="s">
        <v>21</v>
      </c>
      <c r="C608" t="s">
        <v>17</v>
      </c>
      <c r="D608" t="s">
        <v>13</v>
      </c>
      <c r="E608">
        <v>10.07</v>
      </c>
      <c r="F608">
        <v>156.19999999999999</v>
      </c>
      <c r="G608">
        <v>3.77</v>
      </c>
    </row>
    <row r="609" spans="1:7" x14ac:dyDescent="0.3">
      <c r="A609">
        <v>2021</v>
      </c>
      <c r="B609" t="s">
        <v>21</v>
      </c>
      <c r="C609" t="s">
        <v>17</v>
      </c>
      <c r="D609" t="s">
        <v>14</v>
      </c>
      <c r="E609">
        <v>6.84</v>
      </c>
      <c r="F609">
        <v>158.19999999999999</v>
      </c>
      <c r="G609">
        <v>3.85</v>
      </c>
    </row>
    <row r="610" spans="1:7" x14ac:dyDescent="0.3">
      <c r="A610">
        <v>2021</v>
      </c>
      <c r="B610" t="s">
        <v>21</v>
      </c>
      <c r="C610" t="s">
        <v>17</v>
      </c>
      <c r="D610" t="s">
        <v>15</v>
      </c>
      <c r="E610">
        <v>28.32</v>
      </c>
      <c r="F610">
        <v>160.19999999999999</v>
      </c>
      <c r="G610">
        <v>3.93</v>
      </c>
    </row>
    <row r="611" spans="1:7" x14ac:dyDescent="0.3">
      <c r="A611">
        <v>2021</v>
      </c>
      <c r="B611" t="s">
        <v>22</v>
      </c>
      <c r="C611" t="s">
        <v>8</v>
      </c>
      <c r="D611" t="s">
        <v>9</v>
      </c>
      <c r="E611">
        <v>100</v>
      </c>
      <c r="F611">
        <v>147.4</v>
      </c>
      <c r="G611">
        <v>2.7</v>
      </c>
    </row>
    <row r="612" spans="1:7" x14ac:dyDescent="0.3">
      <c r="A612">
        <v>2021</v>
      </c>
      <c r="B612" t="s">
        <v>22</v>
      </c>
      <c r="C612" t="s">
        <v>8</v>
      </c>
      <c r="D612" t="s">
        <v>10</v>
      </c>
      <c r="E612">
        <v>45.86</v>
      </c>
      <c r="F612">
        <v>149.4</v>
      </c>
      <c r="G612">
        <v>2.78</v>
      </c>
    </row>
    <row r="613" spans="1:7" x14ac:dyDescent="0.3">
      <c r="A613">
        <v>2021</v>
      </c>
      <c r="B613" t="s">
        <v>22</v>
      </c>
      <c r="C613" t="s">
        <v>8</v>
      </c>
      <c r="D613" t="s">
        <v>11</v>
      </c>
      <c r="E613">
        <v>2.38</v>
      </c>
      <c r="F613">
        <v>151.4</v>
      </c>
      <c r="G613">
        <v>2.86</v>
      </c>
    </row>
    <row r="614" spans="1:7" x14ac:dyDescent="0.3">
      <c r="A614">
        <v>2021</v>
      </c>
      <c r="B614" t="s">
        <v>22</v>
      </c>
      <c r="C614" t="s">
        <v>8</v>
      </c>
      <c r="D614" t="s">
        <v>12</v>
      </c>
      <c r="E614">
        <v>6.53</v>
      </c>
      <c r="F614">
        <v>153.4</v>
      </c>
      <c r="G614">
        <v>2.94</v>
      </c>
    </row>
    <row r="615" spans="1:7" x14ac:dyDescent="0.3">
      <c r="A615">
        <v>2021</v>
      </c>
      <c r="B615" t="s">
        <v>22</v>
      </c>
      <c r="C615" t="s">
        <v>8</v>
      </c>
      <c r="D615" t="s">
        <v>13</v>
      </c>
      <c r="E615">
        <v>10.07</v>
      </c>
      <c r="F615">
        <v>155.4</v>
      </c>
      <c r="G615">
        <v>3.02</v>
      </c>
    </row>
    <row r="616" spans="1:7" x14ac:dyDescent="0.3">
      <c r="A616">
        <v>2021</v>
      </c>
      <c r="B616" t="s">
        <v>22</v>
      </c>
      <c r="C616" t="s">
        <v>8</v>
      </c>
      <c r="D616" t="s">
        <v>14</v>
      </c>
      <c r="E616">
        <v>6.84</v>
      </c>
      <c r="F616">
        <v>157.4</v>
      </c>
      <c r="G616">
        <v>3.1</v>
      </c>
    </row>
    <row r="617" spans="1:7" x14ac:dyDescent="0.3">
      <c r="A617">
        <v>2021</v>
      </c>
      <c r="B617" t="s">
        <v>22</v>
      </c>
      <c r="C617" t="s">
        <v>8</v>
      </c>
      <c r="D617" t="s">
        <v>15</v>
      </c>
      <c r="E617">
        <v>28.32</v>
      </c>
      <c r="F617">
        <v>159.4</v>
      </c>
      <c r="G617">
        <v>3.18</v>
      </c>
    </row>
    <row r="618" spans="1:7" x14ac:dyDescent="0.3">
      <c r="A618">
        <v>2021</v>
      </c>
      <c r="B618" t="s">
        <v>22</v>
      </c>
      <c r="C618" t="s">
        <v>16</v>
      </c>
      <c r="D618" t="s">
        <v>9</v>
      </c>
      <c r="E618">
        <v>100</v>
      </c>
      <c r="F618">
        <v>148</v>
      </c>
      <c r="G618">
        <v>2.7</v>
      </c>
    </row>
    <row r="619" spans="1:7" x14ac:dyDescent="0.3">
      <c r="A619">
        <v>2021</v>
      </c>
      <c r="B619" t="s">
        <v>22</v>
      </c>
      <c r="C619" t="s">
        <v>16</v>
      </c>
      <c r="D619" t="s">
        <v>10</v>
      </c>
      <c r="E619">
        <v>45.86</v>
      </c>
      <c r="F619">
        <v>150</v>
      </c>
      <c r="G619">
        <v>2.78</v>
      </c>
    </row>
    <row r="620" spans="1:7" x14ac:dyDescent="0.3">
      <c r="A620">
        <v>2021</v>
      </c>
      <c r="B620" t="s">
        <v>22</v>
      </c>
      <c r="C620" t="s">
        <v>16</v>
      </c>
      <c r="D620" t="s">
        <v>11</v>
      </c>
      <c r="E620">
        <v>2.38</v>
      </c>
      <c r="F620">
        <v>152</v>
      </c>
      <c r="G620">
        <v>2.86</v>
      </c>
    </row>
    <row r="621" spans="1:7" x14ac:dyDescent="0.3">
      <c r="A621">
        <v>2021</v>
      </c>
      <c r="B621" t="s">
        <v>22</v>
      </c>
      <c r="C621" t="s">
        <v>16</v>
      </c>
      <c r="D621" t="s">
        <v>12</v>
      </c>
      <c r="E621">
        <v>6.53</v>
      </c>
      <c r="F621">
        <v>154</v>
      </c>
      <c r="G621">
        <v>2.94</v>
      </c>
    </row>
    <row r="622" spans="1:7" x14ac:dyDescent="0.3">
      <c r="A622">
        <v>2021</v>
      </c>
      <c r="B622" t="s">
        <v>22</v>
      </c>
      <c r="C622" t="s">
        <v>16</v>
      </c>
      <c r="D622" t="s">
        <v>13</v>
      </c>
      <c r="E622">
        <v>10.07</v>
      </c>
      <c r="F622">
        <v>156</v>
      </c>
      <c r="G622">
        <v>3.02</v>
      </c>
    </row>
    <row r="623" spans="1:7" x14ac:dyDescent="0.3">
      <c r="A623">
        <v>2021</v>
      </c>
      <c r="B623" t="s">
        <v>22</v>
      </c>
      <c r="C623" t="s">
        <v>16</v>
      </c>
      <c r="D623" t="s">
        <v>14</v>
      </c>
      <c r="E623">
        <v>6.84</v>
      </c>
      <c r="F623">
        <v>158</v>
      </c>
      <c r="G623">
        <v>3.1</v>
      </c>
    </row>
    <row r="624" spans="1:7" x14ac:dyDescent="0.3">
      <c r="A624">
        <v>2021</v>
      </c>
      <c r="B624" t="s">
        <v>22</v>
      </c>
      <c r="C624" t="s">
        <v>16</v>
      </c>
      <c r="D624" t="s">
        <v>15</v>
      </c>
      <c r="E624">
        <v>28.32</v>
      </c>
      <c r="F624">
        <v>160</v>
      </c>
      <c r="G624">
        <v>3.18</v>
      </c>
    </row>
    <row r="625" spans="1:7" x14ac:dyDescent="0.3">
      <c r="A625">
        <v>2021</v>
      </c>
      <c r="B625" t="s">
        <v>22</v>
      </c>
      <c r="C625" t="s">
        <v>17</v>
      </c>
      <c r="D625" t="s">
        <v>9</v>
      </c>
      <c r="E625">
        <v>100</v>
      </c>
      <c r="F625">
        <v>148.6</v>
      </c>
      <c r="G625">
        <v>2.7</v>
      </c>
    </row>
    <row r="626" spans="1:7" x14ac:dyDescent="0.3">
      <c r="A626">
        <v>2021</v>
      </c>
      <c r="B626" t="s">
        <v>22</v>
      </c>
      <c r="C626" t="s">
        <v>17</v>
      </c>
      <c r="D626" t="s">
        <v>10</v>
      </c>
      <c r="E626">
        <v>45.86</v>
      </c>
      <c r="F626">
        <v>150.6</v>
      </c>
      <c r="G626">
        <v>2.78</v>
      </c>
    </row>
    <row r="627" spans="1:7" x14ac:dyDescent="0.3">
      <c r="A627">
        <v>2021</v>
      </c>
      <c r="B627" t="s">
        <v>22</v>
      </c>
      <c r="C627" t="s">
        <v>17</v>
      </c>
      <c r="D627" t="s">
        <v>11</v>
      </c>
      <c r="E627">
        <v>2.38</v>
      </c>
      <c r="F627">
        <v>152.6</v>
      </c>
      <c r="G627">
        <v>2.86</v>
      </c>
    </row>
    <row r="628" spans="1:7" x14ac:dyDescent="0.3">
      <c r="A628">
        <v>2021</v>
      </c>
      <c r="B628" t="s">
        <v>22</v>
      </c>
      <c r="C628" t="s">
        <v>17</v>
      </c>
      <c r="D628" t="s">
        <v>12</v>
      </c>
      <c r="E628">
        <v>6.53</v>
      </c>
      <c r="F628">
        <v>154.6</v>
      </c>
      <c r="G628">
        <v>2.94</v>
      </c>
    </row>
    <row r="629" spans="1:7" x14ac:dyDescent="0.3">
      <c r="A629">
        <v>2021</v>
      </c>
      <c r="B629" t="s">
        <v>22</v>
      </c>
      <c r="C629" t="s">
        <v>17</v>
      </c>
      <c r="D629" t="s">
        <v>13</v>
      </c>
      <c r="E629">
        <v>10.07</v>
      </c>
      <c r="F629">
        <v>156.6</v>
      </c>
      <c r="G629">
        <v>3.02</v>
      </c>
    </row>
    <row r="630" spans="1:7" x14ac:dyDescent="0.3">
      <c r="A630">
        <v>2021</v>
      </c>
      <c r="B630" t="s">
        <v>22</v>
      </c>
      <c r="C630" t="s">
        <v>17</v>
      </c>
      <c r="D630" t="s">
        <v>14</v>
      </c>
      <c r="E630">
        <v>6.84</v>
      </c>
      <c r="F630">
        <v>158.6</v>
      </c>
      <c r="G630">
        <v>3.1</v>
      </c>
    </row>
    <row r="631" spans="1:7" x14ac:dyDescent="0.3">
      <c r="A631">
        <v>2021</v>
      </c>
      <c r="B631" t="s">
        <v>22</v>
      </c>
      <c r="C631" t="s">
        <v>17</v>
      </c>
      <c r="D631" t="s">
        <v>15</v>
      </c>
      <c r="E631">
        <v>28.32</v>
      </c>
      <c r="F631">
        <v>160.6</v>
      </c>
      <c r="G631">
        <v>3.18</v>
      </c>
    </row>
    <row r="632" spans="1:7" x14ac:dyDescent="0.3">
      <c r="A632">
        <v>2021</v>
      </c>
      <c r="B632" t="s">
        <v>23</v>
      </c>
      <c r="C632" t="s">
        <v>8</v>
      </c>
      <c r="D632" t="s">
        <v>9</v>
      </c>
      <c r="E632">
        <v>100</v>
      </c>
      <c r="F632">
        <v>147.80000000000001</v>
      </c>
      <c r="G632">
        <v>2.85</v>
      </c>
    </row>
    <row r="633" spans="1:7" x14ac:dyDescent="0.3">
      <c r="A633">
        <v>2021</v>
      </c>
      <c r="B633" t="s">
        <v>23</v>
      </c>
      <c r="C633" t="s">
        <v>8</v>
      </c>
      <c r="D633" t="s">
        <v>10</v>
      </c>
      <c r="E633">
        <v>45.86</v>
      </c>
      <c r="F633">
        <v>149.80000000000001</v>
      </c>
      <c r="G633">
        <v>2.93</v>
      </c>
    </row>
    <row r="634" spans="1:7" x14ac:dyDescent="0.3">
      <c r="A634">
        <v>2021</v>
      </c>
      <c r="B634" t="s">
        <v>23</v>
      </c>
      <c r="C634" t="s">
        <v>8</v>
      </c>
      <c r="D634" t="s">
        <v>11</v>
      </c>
      <c r="E634">
        <v>2.38</v>
      </c>
      <c r="F634">
        <v>151.80000000000001</v>
      </c>
      <c r="G634">
        <v>3.01</v>
      </c>
    </row>
    <row r="635" spans="1:7" x14ac:dyDescent="0.3">
      <c r="A635">
        <v>2021</v>
      </c>
      <c r="B635" t="s">
        <v>23</v>
      </c>
      <c r="C635" t="s">
        <v>8</v>
      </c>
      <c r="D635" t="s">
        <v>12</v>
      </c>
      <c r="E635">
        <v>6.53</v>
      </c>
      <c r="F635">
        <v>153.80000000000001</v>
      </c>
      <c r="G635">
        <v>3.09</v>
      </c>
    </row>
    <row r="636" spans="1:7" x14ac:dyDescent="0.3">
      <c r="A636">
        <v>2021</v>
      </c>
      <c r="B636" t="s">
        <v>23</v>
      </c>
      <c r="C636" t="s">
        <v>8</v>
      </c>
      <c r="D636" t="s">
        <v>13</v>
      </c>
      <c r="E636">
        <v>10.07</v>
      </c>
      <c r="F636">
        <v>155.80000000000001</v>
      </c>
      <c r="G636">
        <v>3.17</v>
      </c>
    </row>
    <row r="637" spans="1:7" x14ac:dyDescent="0.3">
      <c r="A637">
        <v>2021</v>
      </c>
      <c r="B637" t="s">
        <v>23</v>
      </c>
      <c r="C637" t="s">
        <v>8</v>
      </c>
      <c r="D637" t="s">
        <v>14</v>
      </c>
      <c r="E637">
        <v>6.84</v>
      </c>
      <c r="F637">
        <v>157.80000000000001</v>
      </c>
      <c r="G637">
        <v>3.25</v>
      </c>
    </row>
    <row r="638" spans="1:7" x14ac:dyDescent="0.3">
      <c r="A638">
        <v>2021</v>
      </c>
      <c r="B638" t="s">
        <v>23</v>
      </c>
      <c r="C638" t="s">
        <v>8</v>
      </c>
      <c r="D638" t="s">
        <v>15</v>
      </c>
      <c r="E638">
        <v>28.32</v>
      </c>
      <c r="F638">
        <v>159.80000000000001</v>
      </c>
      <c r="G638">
        <v>3.33</v>
      </c>
    </row>
    <row r="639" spans="1:7" x14ac:dyDescent="0.3">
      <c r="A639">
        <v>2021</v>
      </c>
      <c r="B639" t="s">
        <v>23</v>
      </c>
      <c r="C639" t="s">
        <v>16</v>
      </c>
      <c r="D639" t="s">
        <v>9</v>
      </c>
      <c r="E639">
        <v>100</v>
      </c>
      <c r="F639">
        <v>148.4</v>
      </c>
      <c r="G639">
        <v>2.85</v>
      </c>
    </row>
    <row r="640" spans="1:7" x14ac:dyDescent="0.3">
      <c r="A640">
        <v>2021</v>
      </c>
      <c r="B640" t="s">
        <v>23</v>
      </c>
      <c r="C640" t="s">
        <v>16</v>
      </c>
      <c r="D640" t="s">
        <v>10</v>
      </c>
      <c r="E640">
        <v>45.86</v>
      </c>
      <c r="F640">
        <v>150.4</v>
      </c>
      <c r="G640">
        <v>2.93</v>
      </c>
    </row>
    <row r="641" spans="1:7" x14ac:dyDescent="0.3">
      <c r="A641">
        <v>2021</v>
      </c>
      <c r="B641" t="s">
        <v>23</v>
      </c>
      <c r="C641" t="s">
        <v>16</v>
      </c>
      <c r="D641" t="s">
        <v>11</v>
      </c>
      <c r="E641">
        <v>2.38</v>
      </c>
      <c r="F641">
        <v>152.4</v>
      </c>
      <c r="G641">
        <v>3.01</v>
      </c>
    </row>
    <row r="642" spans="1:7" x14ac:dyDescent="0.3">
      <c r="A642">
        <v>2021</v>
      </c>
      <c r="B642" t="s">
        <v>23</v>
      </c>
      <c r="C642" t="s">
        <v>16</v>
      </c>
      <c r="D642" t="s">
        <v>12</v>
      </c>
      <c r="E642">
        <v>6.53</v>
      </c>
      <c r="F642">
        <v>154.4</v>
      </c>
      <c r="G642">
        <v>3.09</v>
      </c>
    </row>
    <row r="643" spans="1:7" x14ac:dyDescent="0.3">
      <c r="A643">
        <v>2021</v>
      </c>
      <c r="B643" t="s">
        <v>23</v>
      </c>
      <c r="C643" t="s">
        <v>16</v>
      </c>
      <c r="D643" t="s">
        <v>13</v>
      </c>
      <c r="E643">
        <v>10.07</v>
      </c>
      <c r="F643">
        <v>156.4</v>
      </c>
      <c r="G643">
        <v>3.17</v>
      </c>
    </row>
    <row r="644" spans="1:7" x14ac:dyDescent="0.3">
      <c r="A644">
        <v>2021</v>
      </c>
      <c r="B644" t="s">
        <v>23</v>
      </c>
      <c r="C644" t="s">
        <v>16</v>
      </c>
      <c r="D644" t="s">
        <v>14</v>
      </c>
      <c r="E644">
        <v>6.84</v>
      </c>
      <c r="F644">
        <v>158.4</v>
      </c>
      <c r="G644">
        <v>3.25</v>
      </c>
    </row>
    <row r="645" spans="1:7" x14ac:dyDescent="0.3">
      <c r="A645">
        <v>2021</v>
      </c>
      <c r="B645" t="s">
        <v>23</v>
      </c>
      <c r="C645" t="s">
        <v>16</v>
      </c>
      <c r="D645" t="s">
        <v>15</v>
      </c>
      <c r="E645">
        <v>28.32</v>
      </c>
      <c r="F645">
        <v>160.4</v>
      </c>
      <c r="G645">
        <v>3.33</v>
      </c>
    </row>
    <row r="646" spans="1:7" x14ac:dyDescent="0.3">
      <c r="A646">
        <v>2021</v>
      </c>
      <c r="B646" t="s">
        <v>23</v>
      </c>
      <c r="C646" t="s">
        <v>17</v>
      </c>
      <c r="D646" t="s">
        <v>9</v>
      </c>
      <c r="E646">
        <v>100</v>
      </c>
      <c r="F646">
        <v>149</v>
      </c>
      <c r="G646">
        <v>2.85</v>
      </c>
    </row>
    <row r="647" spans="1:7" x14ac:dyDescent="0.3">
      <c r="A647">
        <v>2021</v>
      </c>
      <c r="B647" t="s">
        <v>23</v>
      </c>
      <c r="C647" t="s">
        <v>17</v>
      </c>
      <c r="D647" t="s">
        <v>10</v>
      </c>
      <c r="E647">
        <v>45.86</v>
      </c>
      <c r="F647">
        <v>151</v>
      </c>
      <c r="G647">
        <v>2.93</v>
      </c>
    </row>
    <row r="648" spans="1:7" x14ac:dyDescent="0.3">
      <c r="A648">
        <v>2021</v>
      </c>
      <c r="B648" t="s">
        <v>23</v>
      </c>
      <c r="C648" t="s">
        <v>17</v>
      </c>
      <c r="D648" t="s">
        <v>11</v>
      </c>
      <c r="E648">
        <v>2.38</v>
      </c>
      <c r="F648">
        <v>153</v>
      </c>
      <c r="G648">
        <v>3.01</v>
      </c>
    </row>
    <row r="649" spans="1:7" x14ac:dyDescent="0.3">
      <c r="A649">
        <v>2021</v>
      </c>
      <c r="B649" t="s">
        <v>23</v>
      </c>
      <c r="C649" t="s">
        <v>17</v>
      </c>
      <c r="D649" t="s">
        <v>12</v>
      </c>
      <c r="E649">
        <v>6.53</v>
      </c>
      <c r="F649">
        <v>155</v>
      </c>
      <c r="G649">
        <v>3.09</v>
      </c>
    </row>
    <row r="650" spans="1:7" x14ac:dyDescent="0.3">
      <c r="A650">
        <v>2021</v>
      </c>
      <c r="B650" t="s">
        <v>23</v>
      </c>
      <c r="C650" t="s">
        <v>17</v>
      </c>
      <c r="D650" t="s">
        <v>13</v>
      </c>
      <c r="E650">
        <v>10.07</v>
      </c>
      <c r="F650">
        <v>157</v>
      </c>
      <c r="G650">
        <v>3.17</v>
      </c>
    </row>
    <row r="651" spans="1:7" x14ac:dyDescent="0.3">
      <c r="A651">
        <v>2021</v>
      </c>
      <c r="B651" t="s">
        <v>23</v>
      </c>
      <c r="C651" t="s">
        <v>17</v>
      </c>
      <c r="D651" t="s">
        <v>14</v>
      </c>
      <c r="E651">
        <v>6.84</v>
      </c>
      <c r="F651">
        <v>159</v>
      </c>
      <c r="G651">
        <v>3.25</v>
      </c>
    </row>
    <row r="652" spans="1:7" x14ac:dyDescent="0.3">
      <c r="A652">
        <v>2021</v>
      </c>
      <c r="B652" t="s">
        <v>23</v>
      </c>
      <c r="C652" t="s">
        <v>17</v>
      </c>
      <c r="D652" t="s">
        <v>15</v>
      </c>
      <c r="E652">
        <v>28.32</v>
      </c>
      <c r="F652">
        <v>161</v>
      </c>
      <c r="G652">
        <v>3.33</v>
      </c>
    </row>
    <row r="653" spans="1:7" x14ac:dyDescent="0.3">
      <c r="A653">
        <v>2021</v>
      </c>
      <c r="B653" t="s">
        <v>24</v>
      </c>
      <c r="C653" t="s">
        <v>8</v>
      </c>
      <c r="D653" t="s">
        <v>9</v>
      </c>
      <c r="E653">
        <v>100</v>
      </c>
      <c r="F653">
        <v>148.19999999999999</v>
      </c>
      <c r="G653">
        <v>3</v>
      </c>
    </row>
    <row r="654" spans="1:7" x14ac:dyDescent="0.3">
      <c r="A654">
        <v>2021</v>
      </c>
      <c r="B654" t="s">
        <v>24</v>
      </c>
      <c r="C654" t="s">
        <v>8</v>
      </c>
      <c r="D654" t="s">
        <v>10</v>
      </c>
      <c r="E654">
        <v>45.86</v>
      </c>
      <c r="F654">
        <v>150.19999999999999</v>
      </c>
      <c r="G654">
        <v>3.08</v>
      </c>
    </row>
    <row r="655" spans="1:7" x14ac:dyDescent="0.3">
      <c r="A655">
        <v>2021</v>
      </c>
      <c r="B655" t="s">
        <v>24</v>
      </c>
      <c r="C655" t="s">
        <v>8</v>
      </c>
      <c r="D655" t="s">
        <v>11</v>
      </c>
      <c r="E655">
        <v>2.38</v>
      </c>
      <c r="F655">
        <v>152.19999999999999</v>
      </c>
      <c r="G655">
        <v>3.16</v>
      </c>
    </row>
    <row r="656" spans="1:7" x14ac:dyDescent="0.3">
      <c r="A656">
        <v>2021</v>
      </c>
      <c r="B656" t="s">
        <v>24</v>
      </c>
      <c r="C656" t="s">
        <v>8</v>
      </c>
      <c r="D656" t="s">
        <v>12</v>
      </c>
      <c r="E656">
        <v>6.53</v>
      </c>
      <c r="F656">
        <v>154.19999999999999</v>
      </c>
      <c r="G656">
        <v>3.24</v>
      </c>
    </row>
    <row r="657" spans="1:7" x14ac:dyDescent="0.3">
      <c r="A657">
        <v>2021</v>
      </c>
      <c r="B657" t="s">
        <v>24</v>
      </c>
      <c r="C657" t="s">
        <v>8</v>
      </c>
      <c r="D657" t="s">
        <v>13</v>
      </c>
      <c r="E657">
        <v>10.07</v>
      </c>
      <c r="F657">
        <v>156.19999999999999</v>
      </c>
      <c r="G657">
        <v>3.32</v>
      </c>
    </row>
    <row r="658" spans="1:7" x14ac:dyDescent="0.3">
      <c r="A658">
        <v>2021</v>
      </c>
      <c r="B658" t="s">
        <v>24</v>
      </c>
      <c r="C658" t="s">
        <v>8</v>
      </c>
      <c r="D658" t="s">
        <v>14</v>
      </c>
      <c r="E658">
        <v>6.84</v>
      </c>
      <c r="F658">
        <v>158.19999999999999</v>
      </c>
      <c r="G658">
        <v>3.4</v>
      </c>
    </row>
    <row r="659" spans="1:7" x14ac:dyDescent="0.3">
      <c r="A659">
        <v>2021</v>
      </c>
      <c r="B659" t="s">
        <v>24</v>
      </c>
      <c r="C659" t="s">
        <v>8</v>
      </c>
      <c r="D659" t="s">
        <v>15</v>
      </c>
      <c r="E659">
        <v>28.32</v>
      </c>
      <c r="F659">
        <v>160.19999999999999</v>
      </c>
      <c r="G659">
        <v>3.48</v>
      </c>
    </row>
    <row r="660" spans="1:7" x14ac:dyDescent="0.3">
      <c r="A660">
        <v>2021</v>
      </c>
      <c r="B660" t="s">
        <v>24</v>
      </c>
      <c r="C660" t="s">
        <v>16</v>
      </c>
      <c r="D660" t="s">
        <v>9</v>
      </c>
      <c r="E660">
        <v>100</v>
      </c>
      <c r="F660">
        <v>148.80000000000001</v>
      </c>
      <c r="G660">
        <v>3</v>
      </c>
    </row>
    <row r="661" spans="1:7" x14ac:dyDescent="0.3">
      <c r="A661">
        <v>2021</v>
      </c>
      <c r="B661" t="s">
        <v>24</v>
      </c>
      <c r="C661" t="s">
        <v>16</v>
      </c>
      <c r="D661" t="s">
        <v>10</v>
      </c>
      <c r="E661">
        <v>45.86</v>
      </c>
      <c r="F661">
        <v>150.80000000000001</v>
      </c>
      <c r="G661">
        <v>3.08</v>
      </c>
    </row>
    <row r="662" spans="1:7" x14ac:dyDescent="0.3">
      <c r="A662">
        <v>2021</v>
      </c>
      <c r="B662" t="s">
        <v>24</v>
      </c>
      <c r="C662" t="s">
        <v>16</v>
      </c>
      <c r="D662" t="s">
        <v>11</v>
      </c>
      <c r="E662">
        <v>2.38</v>
      </c>
      <c r="F662">
        <v>152.80000000000001</v>
      </c>
      <c r="G662">
        <v>3.16</v>
      </c>
    </row>
    <row r="663" spans="1:7" x14ac:dyDescent="0.3">
      <c r="A663">
        <v>2021</v>
      </c>
      <c r="B663" t="s">
        <v>24</v>
      </c>
      <c r="C663" t="s">
        <v>16</v>
      </c>
      <c r="D663" t="s">
        <v>12</v>
      </c>
      <c r="E663">
        <v>6.53</v>
      </c>
      <c r="F663">
        <v>154.80000000000001</v>
      </c>
      <c r="G663">
        <v>3.24</v>
      </c>
    </row>
    <row r="664" spans="1:7" x14ac:dyDescent="0.3">
      <c r="A664">
        <v>2021</v>
      </c>
      <c r="B664" t="s">
        <v>24</v>
      </c>
      <c r="C664" t="s">
        <v>16</v>
      </c>
      <c r="D664" t="s">
        <v>13</v>
      </c>
      <c r="E664">
        <v>10.07</v>
      </c>
      <c r="F664">
        <v>156.80000000000001</v>
      </c>
      <c r="G664">
        <v>3.32</v>
      </c>
    </row>
    <row r="665" spans="1:7" x14ac:dyDescent="0.3">
      <c r="A665">
        <v>2021</v>
      </c>
      <c r="B665" t="s">
        <v>24</v>
      </c>
      <c r="C665" t="s">
        <v>16</v>
      </c>
      <c r="D665" t="s">
        <v>14</v>
      </c>
      <c r="E665">
        <v>6.84</v>
      </c>
      <c r="F665">
        <v>158.80000000000001</v>
      </c>
      <c r="G665">
        <v>3.4</v>
      </c>
    </row>
    <row r="666" spans="1:7" x14ac:dyDescent="0.3">
      <c r="A666">
        <v>2021</v>
      </c>
      <c r="B666" t="s">
        <v>24</v>
      </c>
      <c r="C666" t="s">
        <v>16</v>
      </c>
      <c r="D666" t="s">
        <v>15</v>
      </c>
      <c r="E666">
        <v>28.32</v>
      </c>
      <c r="F666">
        <v>160.80000000000001</v>
      </c>
      <c r="G666">
        <v>3.48</v>
      </c>
    </row>
    <row r="667" spans="1:7" x14ac:dyDescent="0.3">
      <c r="A667">
        <v>2021</v>
      </c>
      <c r="B667" t="s">
        <v>24</v>
      </c>
      <c r="C667" t="s">
        <v>17</v>
      </c>
      <c r="D667" t="s">
        <v>9</v>
      </c>
      <c r="E667">
        <v>100</v>
      </c>
      <c r="F667">
        <v>149.4</v>
      </c>
      <c r="G667">
        <v>3</v>
      </c>
    </row>
    <row r="668" spans="1:7" x14ac:dyDescent="0.3">
      <c r="A668">
        <v>2021</v>
      </c>
      <c r="B668" t="s">
        <v>24</v>
      </c>
      <c r="C668" t="s">
        <v>17</v>
      </c>
      <c r="D668" t="s">
        <v>10</v>
      </c>
      <c r="E668">
        <v>45.86</v>
      </c>
      <c r="F668">
        <v>151.4</v>
      </c>
      <c r="G668">
        <v>3.08</v>
      </c>
    </row>
    <row r="669" spans="1:7" x14ac:dyDescent="0.3">
      <c r="A669">
        <v>2021</v>
      </c>
      <c r="B669" t="s">
        <v>24</v>
      </c>
      <c r="C669" t="s">
        <v>17</v>
      </c>
      <c r="D669" t="s">
        <v>11</v>
      </c>
      <c r="E669">
        <v>2.38</v>
      </c>
      <c r="F669">
        <v>153.4</v>
      </c>
      <c r="G669">
        <v>3.16</v>
      </c>
    </row>
    <row r="670" spans="1:7" x14ac:dyDescent="0.3">
      <c r="A670">
        <v>2021</v>
      </c>
      <c r="B670" t="s">
        <v>24</v>
      </c>
      <c r="C670" t="s">
        <v>17</v>
      </c>
      <c r="D670" t="s">
        <v>12</v>
      </c>
      <c r="E670">
        <v>6.53</v>
      </c>
      <c r="F670">
        <v>155.4</v>
      </c>
      <c r="G670">
        <v>3.24</v>
      </c>
    </row>
    <row r="671" spans="1:7" x14ac:dyDescent="0.3">
      <c r="A671">
        <v>2021</v>
      </c>
      <c r="B671" t="s">
        <v>24</v>
      </c>
      <c r="C671" t="s">
        <v>17</v>
      </c>
      <c r="D671" t="s">
        <v>13</v>
      </c>
      <c r="E671">
        <v>10.07</v>
      </c>
      <c r="F671">
        <v>157.4</v>
      </c>
      <c r="G671">
        <v>3.32</v>
      </c>
    </row>
    <row r="672" spans="1:7" x14ac:dyDescent="0.3">
      <c r="A672">
        <v>2021</v>
      </c>
      <c r="B672" t="s">
        <v>24</v>
      </c>
      <c r="C672" t="s">
        <v>17</v>
      </c>
      <c r="D672" t="s">
        <v>14</v>
      </c>
      <c r="E672">
        <v>6.84</v>
      </c>
      <c r="F672">
        <v>159.4</v>
      </c>
      <c r="G672">
        <v>3.4</v>
      </c>
    </row>
    <row r="673" spans="1:7" x14ac:dyDescent="0.3">
      <c r="A673">
        <v>2021</v>
      </c>
      <c r="B673" t="s">
        <v>24</v>
      </c>
      <c r="C673" t="s">
        <v>17</v>
      </c>
      <c r="D673" t="s">
        <v>15</v>
      </c>
      <c r="E673">
        <v>28.32</v>
      </c>
      <c r="F673">
        <v>161.4</v>
      </c>
      <c r="G673">
        <v>3.48</v>
      </c>
    </row>
    <row r="674" spans="1:7" x14ac:dyDescent="0.3">
      <c r="A674">
        <v>2021</v>
      </c>
      <c r="B674" t="s">
        <v>25</v>
      </c>
      <c r="C674" t="s">
        <v>8</v>
      </c>
      <c r="D674" t="s">
        <v>9</v>
      </c>
      <c r="E674">
        <v>100</v>
      </c>
      <c r="F674">
        <v>148.6</v>
      </c>
      <c r="G674">
        <v>3.15</v>
      </c>
    </row>
    <row r="675" spans="1:7" x14ac:dyDescent="0.3">
      <c r="A675">
        <v>2021</v>
      </c>
      <c r="B675" t="s">
        <v>25</v>
      </c>
      <c r="C675" t="s">
        <v>8</v>
      </c>
      <c r="D675" t="s">
        <v>10</v>
      </c>
      <c r="E675">
        <v>45.86</v>
      </c>
      <c r="F675">
        <v>150.6</v>
      </c>
      <c r="G675">
        <v>3.23</v>
      </c>
    </row>
    <row r="676" spans="1:7" x14ac:dyDescent="0.3">
      <c r="A676">
        <v>2021</v>
      </c>
      <c r="B676" t="s">
        <v>25</v>
      </c>
      <c r="C676" t="s">
        <v>8</v>
      </c>
      <c r="D676" t="s">
        <v>11</v>
      </c>
      <c r="E676">
        <v>2.38</v>
      </c>
      <c r="F676">
        <v>152.6</v>
      </c>
      <c r="G676">
        <v>3.31</v>
      </c>
    </row>
    <row r="677" spans="1:7" x14ac:dyDescent="0.3">
      <c r="A677">
        <v>2021</v>
      </c>
      <c r="B677" t="s">
        <v>25</v>
      </c>
      <c r="C677" t="s">
        <v>8</v>
      </c>
      <c r="D677" t="s">
        <v>12</v>
      </c>
      <c r="E677">
        <v>6.53</v>
      </c>
      <c r="F677">
        <v>154.6</v>
      </c>
      <c r="G677">
        <v>3.39</v>
      </c>
    </row>
    <row r="678" spans="1:7" x14ac:dyDescent="0.3">
      <c r="A678">
        <v>2021</v>
      </c>
      <c r="B678" t="s">
        <v>25</v>
      </c>
      <c r="C678" t="s">
        <v>8</v>
      </c>
      <c r="D678" t="s">
        <v>13</v>
      </c>
      <c r="E678">
        <v>10.07</v>
      </c>
      <c r="F678">
        <v>156.6</v>
      </c>
      <c r="G678">
        <v>3.47</v>
      </c>
    </row>
    <row r="679" spans="1:7" x14ac:dyDescent="0.3">
      <c r="A679">
        <v>2021</v>
      </c>
      <c r="B679" t="s">
        <v>25</v>
      </c>
      <c r="C679" t="s">
        <v>8</v>
      </c>
      <c r="D679" t="s">
        <v>14</v>
      </c>
      <c r="E679">
        <v>6.84</v>
      </c>
      <c r="F679">
        <v>158.6</v>
      </c>
      <c r="G679">
        <v>3.55</v>
      </c>
    </row>
    <row r="680" spans="1:7" x14ac:dyDescent="0.3">
      <c r="A680">
        <v>2021</v>
      </c>
      <c r="B680" t="s">
        <v>25</v>
      </c>
      <c r="C680" t="s">
        <v>8</v>
      </c>
      <c r="D680" t="s">
        <v>15</v>
      </c>
      <c r="E680">
        <v>28.32</v>
      </c>
      <c r="F680">
        <v>160.6</v>
      </c>
      <c r="G680">
        <v>3.63</v>
      </c>
    </row>
    <row r="681" spans="1:7" x14ac:dyDescent="0.3">
      <c r="A681">
        <v>2021</v>
      </c>
      <c r="B681" t="s">
        <v>25</v>
      </c>
      <c r="C681" t="s">
        <v>16</v>
      </c>
      <c r="D681" t="s">
        <v>9</v>
      </c>
      <c r="E681">
        <v>100</v>
      </c>
      <c r="F681">
        <v>149.19999999999999</v>
      </c>
      <c r="G681">
        <v>3.15</v>
      </c>
    </row>
    <row r="682" spans="1:7" x14ac:dyDescent="0.3">
      <c r="A682">
        <v>2021</v>
      </c>
      <c r="B682" t="s">
        <v>25</v>
      </c>
      <c r="C682" t="s">
        <v>16</v>
      </c>
      <c r="D682" t="s">
        <v>10</v>
      </c>
      <c r="E682">
        <v>45.86</v>
      </c>
      <c r="F682">
        <v>151.19999999999999</v>
      </c>
      <c r="G682">
        <v>3.23</v>
      </c>
    </row>
    <row r="683" spans="1:7" x14ac:dyDescent="0.3">
      <c r="A683">
        <v>2021</v>
      </c>
      <c r="B683" t="s">
        <v>25</v>
      </c>
      <c r="C683" t="s">
        <v>16</v>
      </c>
      <c r="D683" t="s">
        <v>11</v>
      </c>
      <c r="E683">
        <v>2.38</v>
      </c>
      <c r="F683">
        <v>153.19999999999999</v>
      </c>
      <c r="G683">
        <v>3.31</v>
      </c>
    </row>
    <row r="684" spans="1:7" x14ac:dyDescent="0.3">
      <c r="A684">
        <v>2021</v>
      </c>
      <c r="B684" t="s">
        <v>25</v>
      </c>
      <c r="C684" t="s">
        <v>16</v>
      </c>
      <c r="D684" t="s">
        <v>12</v>
      </c>
      <c r="E684">
        <v>6.53</v>
      </c>
      <c r="F684">
        <v>155.19999999999999</v>
      </c>
      <c r="G684">
        <v>3.39</v>
      </c>
    </row>
    <row r="685" spans="1:7" x14ac:dyDescent="0.3">
      <c r="A685">
        <v>2021</v>
      </c>
      <c r="B685" t="s">
        <v>25</v>
      </c>
      <c r="C685" t="s">
        <v>16</v>
      </c>
      <c r="D685" t="s">
        <v>13</v>
      </c>
      <c r="E685">
        <v>10.07</v>
      </c>
      <c r="F685">
        <v>157.19999999999999</v>
      </c>
      <c r="G685">
        <v>3.47</v>
      </c>
    </row>
    <row r="686" spans="1:7" x14ac:dyDescent="0.3">
      <c r="A686">
        <v>2021</v>
      </c>
      <c r="B686" t="s">
        <v>25</v>
      </c>
      <c r="C686" t="s">
        <v>16</v>
      </c>
      <c r="D686" t="s">
        <v>14</v>
      </c>
      <c r="E686">
        <v>6.84</v>
      </c>
      <c r="F686">
        <v>159.19999999999999</v>
      </c>
      <c r="G686">
        <v>3.55</v>
      </c>
    </row>
    <row r="687" spans="1:7" x14ac:dyDescent="0.3">
      <c r="A687">
        <v>2021</v>
      </c>
      <c r="B687" t="s">
        <v>25</v>
      </c>
      <c r="C687" t="s">
        <v>16</v>
      </c>
      <c r="D687" t="s">
        <v>15</v>
      </c>
      <c r="E687">
        <v>28.32</v>
      </c>
      <c r="F687">
        <v>161.19999999999999</v>
      </c>
      <c r="G687">
        <v>3.63</v>
      </c>
    </row>
    <row r="688" spans="1:7" x14ac:dyDescent="0.3">
      <c r="A688">
        <v>2021</v>
      </c>
      <c r="B688" t="s">
        <v>25</v>
      </c>
      <c r="C688" t="s">
        <v>17</v>
      </c>
      <c r="D688" t="s">
        <v>9</v>
      </c>
      <c r="E688">
        <v>100</v>
      </c>
      <c r="F688">
        <v>149.80000000000001</v>
      </c>
      <c r="G688">
        <v>3.15</v>
      </c>
    </row>
    <row r="689" spans="1:7" x14ac:dyDescent="0.3">
      <c r="A689">
        <v>2021</v>
      </c>
      <c r="B689" t="s">
        <v>25</v>
      </c>
      <c r="C689" t="s">
        <v>17</v>
      </c>
      <c r="D689" t="s">
        <v>10</v>
      </c>
      <c r="E689">
        <v>45.86</v>
      </c>
      <c r="F689">
        <v>151.80000000000001</v>
      </c>
      <c r="G689">
        <v>3.23</v>
      </c>
    </row>
    <row r="690" spans="1:7" x14ac:dyDescent="0.3">
      <c r="A690">
        <v>2021</v>
      </c>
      <c r="B690" t="s">
        <v>25</v>
      </c>
      <c r="C690" t="s">
        <v>17</v>
      </c>
      <c r="D690" t="s">
        <v>11</v>
      </c>
      <c r="E690">
        <v>2.38</v>
      </c>
      <c r="F690">
        <v>153.80000000000001</v>
      </c>
      <c r="G690">
        <v>3.31</v>
      </c>
    </row>
    <row r="691" spans="1:7" x14ac:dyDescent="0.3">
      <c r="A691">
        <v>2021</v>
      </c>
      <c r="B691" t="s">
        <v>25</v>
      </c>
      <c r="C691" t="s">
        <v>17</v>
      </c>
      <c r="D691" t="s">
        <v>12</v>
      </c>
      <c r="E691">
        <v>6.53</v>
      </c>
      <c r="F691">
        <v>155.80000000000001</v>
      </c>
      <c r="G691">
        <v>3.39</v>
      </c>
    </row>
    <row r="692" spans="1:7" x14ac:dyDescent="0.3">
      <c r="A692">
        <v>2021</v>
      </c>
      <c r="B692" t="s">
        <v>25</v>
      </c>
      <c r="C692" t="s">
        <v>17</v>
      </c>
      <c r="D692" t="s">
        <v>13</v>
      </c>
      <c r="E692">
        <v>10.07</v>
      </c>
      <c r="F692">
        <v>157.80000000000001</v>
      </c>
      <c r="G692">
        <v>3.47</v>
      </c>
    </row>
    <row r="693" spans="1:7" x14ac:dyDescent="0.3">
      <c r="A693">
        <v>2021</v>
      </c>
      <c r="B693" t="s">
        <v>25</v>
      </c>
      <c r="C693" t="s">
        <v>17</v>
      </c>
      <c r="D693" t="s">
        <v>14</v>
      </c>
      <c r="E693">
        <v>6.84</v>
      </c>
      <c r="F693">
        <v>159.80000000000001</v>
      </c>
      <c r="G693">
        <v>3.55</v>
      </c>
    </row>
    <row r="694" spans="1:7" x14ac:dyDescent="0.3">
      <c r="A694">
        <v>2021</v>
      </c>
      <c r="B694" t="s">
        <v>25</v>
      </c>
      <c r="C694" t="s">
        <v>17</v>
      </c>
      <c r="D694" t="s">
        <v>15</v>
      </c>
      <c r="E694">
        <v>28.32</v>
      </c>
      <c r="F694">
        <v>161.80000000000001</v>
      </c>
      <c r="G694">
        <v>3.63</v>
      </c>
    </row>
    <row r="695" spans="1:7" x14ac:dyDescent="0.3">
      <c r="A695">
        <v>2021</v>
      </c>
      <c r="B695" t="s">
        <v>26</v>
      </c>
      <c r="C695" t="s">
        <v>8</v>
      </c>
      <c r="D695" t="s">
        <v>9</v>
      </c>
      <c r="E695">
        <v>100</v>
      </c>
      <c r="F695">
        <v>149</v>
      </c>
      <c r="G695">
        <v>3.3</v>
      </c>
    </row>
    <row r="696" spans="1:7" x14ac:dyDescent="0.3">
      <c r="A696">
        <v>2021</v>
      </c>
      <c r="B696" t="s">
        <v>26</v>
      </c>
      <c r="C696" t="s">
        <v>8</v>
      </c>
      <c r="D696" t="s">
        <v>10</v>
      </c>
      <c r="E696">
        <v>45.86</v>
      </c>
      <c r="F696">
        <v>151</v>
      </c>
      <c r="G696">
        <v>3.38</v>
      </c>
    </row>
    <row r="697" spans="1:7" x14ac:dyDescent="0.3">
      <c r="A697">
        <v>2021</v>
      </c>
      <c r="B697" t="s">
        <v>26</v>
      </c>
      <c r="C697" t="s">
        <v>8</v>
      </c>
      <c r="D697" t="s">
        <v>11</v>
      </c>
      <c r="E697">
        <v>2.38</v>
      </c>
      <c r="F697">
        <v>153</v>
      </c>
      <c r="G697">
        <v>3.46</v>
      </c>
    </row>
    <row r="698" spans="1:7" x14ac:dyDescent="0.3">
      <c r="A698">
        <v>2021</v>
      </c>
      <c r="B698" t="s">
        <v>26</v>
      </c>
      <c r="C698" t="s">
        <v>8</v>
      </c>
      <c r="D698" t="s">
        <v>12</v>
      </c>
      <c r="E698">
        <v>6.53</v>
      </c>
      <c r="F698">
        <v>155</v>
      </c>
      <c r="G698">
        <v>3.54</v>
      </c>
    </row>
    <row r="699" spans="1:7" x14ac:dyDescent="0.3">
      <c r="A699">
        <v>2021</v>
      </c>
      <c r="B699" t="s">
        <v>26</v>
      </c>
      <c r="C699" t="s">
        <v>8</v>
      </c>
      <c r="D699" t="s">
        <v>13</v>
      </c>
      <c r="E699">
        <v>10.07</v>
      </c>
      <c r="F699">
        <v>157</v>
      </c>
      <c r="G699">
        <v>3.62</v>
      </c>
    </row>
    <row r="700" spans="1:7" x14ac:dyDescent="0.3">
      <c r="A700">
        <v>2021</v>
      </c>
      <c r="B700" t="s">
        <v>26</v>
      </c>
      <c r="C700" t="s">
        <v>8</v>
      </c>
      <c r="D700" t="s">
        <v>14</v>
      </c>
      <c r="E700">
        <v>6.84</v>
      </c>
      <c r="F700">
        <v>159</v>
      </c>
      <c r="G700">
        <v>3.7</v>
      </c>
    </row>
    <row r="701" spans="1:7" x14ac:dyDescent="0.3">
      <c r="A701">
        <v>2021</v>
      </c>
      <c r="B701" t="s">
        <v>26</v>
      </c>
      <c r="C701" t="s">
        <v>8</v>
      </c>
      <c r="D701" t="s">
        <v>15</v>
      </c>
      <c r="E701">
        <v>28.32</v>
      </c>
      <c r="F701">
        <v>161</v>
      </c>
      <c r="G701">
        <v>3.78</v>
      </c>
    </row>
    <row r="702" spans="1:7" x14ac:dyDescent="0.3">
      <c r="A702">
        <v>2021</v>
      </c>
      <c r="B702" t="s">
        <v>26</v>
      </c>
      <c r="C702" t="s">
        <v>16</v>
      </c>
      <c r="D702" t="s">
        <v>9</v>
      </c>
      <c r="E702">
        <v>100</v>
      </c>
      <c r="F702">
        <v>149.6</v>
      </c>
      <c r="G702">
        <v>3.3</v>
      </c>
    </row>
    <row r="703" spans="1:7" x14ac:dyDescent="0.3">
      <c r="A703">
        <v>2021</v>
      </c>
      <c r="B703" t="s">
        <v>26</v>
      </c>
      <c r="C703" t="s">
        <v>16</v>
      </c>
      <c r="D703" t="s">
        <v>10</v>
      </c>
      <c r="E703">
        <v>45.86</v>
      </c>
      <c r="F703">
        <v>151.6</v>
      </c>
      <c r="G703">
        <v>3.38</v>
      </c>
    </row>
    <row r="704" spans="1:7" x14ac:dyDescent="0.3">
      <c r="A704">
        <v>2021</v>
      </c>
      <c r="B704" t="s">
        <v>26</v>
      </c>
      <c r="C704" t="s">
        <v>16</v>
      </c>
      <c r="D704" t="s">
        <v>11</v>
      </c>
      <c r="E704">
        <v>2.38</v>
      </c>
      <c r="F704">
        <v>153.6</v>
      </c>
      <c r="G704">
        <v>3.46</v>
      </c>
    </row>
    <row r="705" spans="1:7" x14ac:dyDescent="0.3">
      <c r="A705">
        <v>2021</v>
      </c>
      <c r="B705" t="s">
        <v>26</v>
      </c>
      <c r="C705" t="s">
        <v>16</v>
      </c>
      <c r="D705" t="s">
        <v>12</v>
      </c>
      <c r="E705">
        <v>6.53</v>
      </c>
      <c r="F705">
        <v>155.6</v>
      </c>
      <c r="G705">
        <v>3.54</v>
      </c>
    </row>
    <row r="706" spans="1:7" x14ac:dyDescent="0.3">
      <c r="A706">
        <v>2021</v>
      </c>
      <c r="B706" t="s">
        <v>26</v>
      </c>
      <c r="C706" t="s">
        <v>16</v>
      </c>
      <c r="D706" t="s">
        <v>13</v>
      </c>
      <c r="E706">
        <v>10.07</v>
      </c>
      <c r="F706">
        <v>157.6</v>
      </c>
      <c r="G706">
        <v>3.62</v>
      </c>
    </row>
    <row r="707" spans="1:7" x14ac:dyDescent="0.3">
      <c r="A707">
        <v>2021</v>
      </c>
      <c r="B707" t="s">
        <v>26</v>
      </c>
      <c r="C707" t="s">
        <v>16</v>
      </c>
      <c r="D707" t="s">
        <v>14</v>
      </c>
      <c r="E707">
        <v>6.84</v>
      </c>
      <c r="F707">
        <v>159.6</v>
      </c>
      <c r="G707">
        <v>3.7</v>
      </c>
    </row>
    <row r="708" spans="1:7" x14ac:dyDescent="0.3">
      <c r="A708">
        <v>2021</v>
      </c>
      <c r="B708" t="s">
        <v>26</v>
      </c>
      <c r="C708" t="s">
        <v>16</v>
      </c>
      <c r="D708" t="s">
        <v>15</v>
      </c>
      <c r="E708">
        <v>28.32</v>
      </c>
      <c r="F708">
        <v>161.6</v>
      </c>
      <c r="G708">
        <v>3.78</v>
      </c>
    </row>
    <row r="709" spans="1:7" x14ac:dyDescent="0.3">
      <c r="A709">
        <v>2021</v>
      </c>
      <c r="B709" t="s">
        <v>26</v>
      </c>
      <c r="C709" t="s">
        <v>17</v>
      </c>
      <c r="D709" t="s">
        <v>9</v>
      </c>
      <c r="E709">
        <v>100</v>
      </c>
      <c r="F709">
        <v>150.19999999999999</v>
      </c>
      <c r="G709">
        <v>3.3</v>
      </c>
    </row>
    <row r="710" spans="1:7" x14ac:dyDescent="0.3">
      <c r="A710">
        <v>2021</v>
      </c>
      <c r="B710" t="s">
        <v>26</v>
      </c>
      <c r="C710" t="s">
        <v>17</v>
      </c>
      <c r="D710" t="s">
        <v>10</v>
      </c>
      <c r="E710">
        <v>45.86</v>
      </c>
      <c r="F710">
        <v>152.19999999999999</v>
      </c>
      <c r="G710">
        <v>3.38</v>
      </c>
    </row>
    <row r="711" spans="1:7" x14ac:dyDescent="0.3">
      <c r="A711">
        <v>2021</v>
      </c>
      <c r="B711" t="s">
        <v>26</v>
      </c>
      <c r="C711" t="s">
        <v>17</v>
      </c>
      <c r="D711" t="s">
        <v>11</v>
      </c>
      <c r="E711">
        <v>2.38</v>
      </c>
      <c r="F711">
        <v>154.19999999999999</v>
      </c>
      <c r="G711">
        <v>3.46</v>
      </c>
    </row>
    <row r="712" spans="1:7" x14ac:dyDescent="0.3">
      <c r="A712">
        <v>2021</v>
      </c>
      <c r="B712" t="s">
        <v>26</v>
      </c>
      <c r="C712" t="s">
        <v>17</v>
      </c>
      <c r="D712" t="s">
        <v>12</v>
      </c>
      <c r="E712">
        <v>6.53</v>
      </c>
      <c r="F712">
        <v>156.19999999999999</v>
      </c>
      <c r="G712">
        <v>3.54</v>
      </c>
    </row>
    <row r="713" spans="1:7" x14ac:dyDescent="0.3">
      <c r="A713">
        <v>2021</v>
      </c>
      <c r="B713" t="s">
        <v>26</v>
      </c>
      <c r="C713" t="s">
        <v>17</v>
      </c>
      <c r="D713" t="s">
        <v>13</v>
      </c>
      <c r="E713">
        <v>10.07</v>
      </c>
      <c r="F713">
        <v>158.19999999999999</v>
      </c>
      <c r="G713">
        <v>3.62</v>
      </c>
    </row>
    <row r="714" spans="1:7" x14ac:dyDescent="0.3">
      <c r="A714">
        <v>2021</v>
      </c>
      <c r="B714" t="s">
        <v>26</v>
      </c>
      <c r="C714" t="s">
        <v>17</v>
      </c>
      <c r="D714" t="s">
        <v>14</v>
      </c>
      <c r="E714">
        <v>6.84</v>
      </c>
      <c r="F714">
        <v>160.19999999999999</v>
      </c>
      <c r="G714">
        <v>3.7</v>
      </c>
    </row>
    <row r="715" spans="1:7" x14ac:dyDescent="0.3">
      <c r="A715">
        <v>2021</v>
      </c>
      <c r="B715" t="s">
        <v>26</v>
      </c>
      <c r="C715" t="s">
        <v>17</v>
      </c>
      <c r="D715" t="s">
        <v>15</v>
      </c>
      <c r="E715">
        <v>28.32</v>
      </c>
      <c r="F715">
        <v>162.19999999999999</v>
      </c>
      <c r="G715">
        <v>3.78</v>
      </c>
    </row>
    <row r="716" spans="1:7" x14ac:dyDescent="0.3">
      <c r="A716">
        <v>2021</v>
      </c>
      <c r="B716" t="s">
        <v>27</v>
      </c>
      <c r="C716" t="s">
        <v>8</v>
      </c>
      <c r="D716" t="s">
        <v>9</v>
      </c>
      <c r="E716">
        <v>100</v>
      </c>
      <c r="F716">
        <v>149.4</v>
      </c>
      <c r="G716">
        <v>3.45</v>
      </c>
    </row>
    <row r="717" spans="1:7" x14ac:dyDescent="0.3">
      <c r="A717">
        <v>2021</v>
      </c>
      <c r="B717" t="s">
        <v>27</v>
      </c>
      <c r="C717" t="s">
        <v>8</v>
      </c>
      <c r="D717" t="s">
        <v>10</v>
      </c>
      <c r="E717">
        <v>45.86</v>
      </c>
      <c r="F717">
        <v>151.4</v>
      </c>
      <c r="G717">
        <v>3.53</v>
      </c>
    </row>
    <row r="718" spans="1:7" x14ac:dyDescent="0.3">
      <c r="A718">
        <v>2021</v>
      </c>
      <c r="B718" t="s">
        <v>27</v>
      </c>
      <c r="C718" t="s">
        <v>8</v>
      </c>
      <c r="D718" t="s">
        <v>11</v>
      </c>
      <c r="E718">
        <v>2.38</v>
      </c>
      <c r="F718">
        <v>153.4</v>
      </c>
      <c r="G718">
        <v>3.61</v>
      </c>
    </row>
    <row r="719" spans="1:7" x14ac:dyDescent="0.3">
      <c r="A719">
        <v>2021</v>
      </c>
      <c r="B719" t="s">
        <v>27</v>
      </c>
      <c r="C719" t="s">
        <v>8</v>
      </c>
      <c r="D719" t="s">
        <v>12</v>
      </c>
      <c r="E719">
        <v>6.53</v>
      </c>
      <c r="F719">
        <v>155.4</v>
      </c>
      <c r="G719">
        <v>3.69</v>
      </c>
    </row>
    <row r="720" spans="1:7" x14ac:dyDescent="0.3">
      <c r="A720">
        <v>2021</v>
      </c>
      <c r="B720" t="s">
        <v>27</v>
      </c>
      <c r="C720" t="s">
        <v>8</v>
      </c>
      <c r="D720" t="s">
        <v>13</v>
      </c>
      <c r="E720">
        <v>10.07</v>
      </c>
      <c r="F720">
        <v>157.4</v>
      </c>
      <c r="G720">
        <v>3.77</v>
      </c>
    </row>
    <row r="721" spans="1:7" x14ac:dyDescent="0.3">
      <c r="A721">
        <v>2021</v>
      </c>
      <c r="B721" t="s">
        <v>27</v>
      </c>
      <c r="C721" t="s">
        <v>8</v>
      </c>
      <c r="D721" t="s">
        <v>14</v>
      </c>
      <c r="E721">
        <v>6.84</v>
      </c>
      <c r="F721">
        <v>159.4</v>
      </c>
      <c r="G721">
        <v>3.85</v>
      </c>
    </row>
    <row r="722" spans="1:7" x14ac:dyDescent="0.3">
      <c r="A722">
        <v>2021</v>
      </c>
      <c r="B722" t="s">
        <v>27</v>
      </c>
      <c r="C722" t="s">
        <v>8</v>
      </c>
      <c r="D722" t="s">
        <v>15</v>
      </c>
      <c r="E722">
        <v>28.32</v>
      </c>
      <c r="F722">
        <v>161.4</v>
      </c>
      <c r="G722">
        <v>3.93</v>
      </c>
    </row>
    <row r="723" spans="1:7" x14ac:dyDescent="0.3">
      <c r="A723">
        <v>2021</v>
      </c>
      <c r="B723" t="s">
        <v>27</v>
      </c>
      <c r="C723" t="s">
        <v>16</v>
      </c>
      <c r="D723" t="s">
        <v>9</v>
      </c>
      <c r="E723">
        <v>100</v>
      </c>
      <c r="F723">
        <v>150</v>
      </c>
      <c r="G723">
        <v>3.45</v>
      </c>
    </row>
    <row r="724" spans="1:7" x14ac:dyDescent="0.3">
      <c r="A724">
        <v>2021</v>
      </c>
      <c r="B724" t="s">
        <v>27</v>
      </c>
      <c r="C724" t="s">
        <v>16</v>
      </c>
      <c r="D724" t="s">
        <v>10</v>
      </c>
      <c r="E724">
        <v>45.86</v>
      </c>
      <c r="F724">
        <v>152</v>
      </c>
      <c r="G724">
        <v>3.53</v>
      </c>
    </row>
    <row r="725" spans="1:7" x14ac:dyDescent="0.3">
      <c r="A725">
        <v>2021</v>
      </c>
      <c r="B725" t="s">
        <v>27</v>
      </c>
      <c r="C725" t="s">
        <v>16</v>
      </c>
      <c r="D725" t="s">
        <v>11</v>
      </c>
      <c r="E725">
        <v>2.38</v>
      </c>
      <c r="F725">
        <v>154</v>
      </c>
      <c r="G725">
        <v>3.61</v>
      </c>
    </row>
    <row r="726" spans="1:7" x14ac:dyDescent="0.3">
      <c r="A726">
        <v>2021</v>
      </c>
      <c r="B726" t="s">
        <v>27</v>
      </c>
      <c r="C726" t="s">
        <v>16</v>
      </c>
      <c r="D726" t="s">
        <v>12</v>
      </c>
      <c r="E726">
        <v>6.53</v>
      </c>
      <c r="F726">
        <v>156</v>
      </c>
      <c r="G726">
        <v>3.69</v>
      </c>
    </row>
    <row r="727" spans="1:7" x14ac:dyDescent="0.3">
      <c r="A727">
        <v>2021</v>
      </c>
      <c r="B727" t="s">
        <v>27</v>
      </c>
      <c r="C727" t="s">
        <v>16</v>
      </c>
      <c r="D727" t="s">
        <v>13</v>
      </c>
      <c r="E727">
        <v>10.07</v>
      </c>
      <c r="F727">
        <v>158</v>
      </c>
      <c r="G727">
        <v>3.77</v>
      </c>
    </row>
    <row r="728" spans="1:7" x14ac:dyDescent="0.3">
      <c r="A728">
        <v>2021</v>
      </c>
      <c r="B728" t="s">
        <v>27</v>
      </c>
      <c r="C728" t="s">
        <v>16</v>
      </c>
      <c r="D728" t="s">
        <v>14</v>
      </c>
      <c r="E728">
        <v>6.84</v>
      </c>
      <c r="F728">
        <v>160</v>
      </c>
      <c r="G728">
        <v>3.85</v>
      </c>
    </row>
    <row r="729" spans="1:7" x14ac:dyDescent="0.3">
      <c r="A729">
        <v>2021</v>
      </c>
      <c r="B729" t="s">
        <v>27</v>
      </c>
      <c r="C729" t="s">
        <v>16</v>
      </c>
      <c r="D729" t="s">
        <v>15</v>
      </c>
      <c r="E729">
        <v>28.32</v>
      </c>
      <c r="F729">
        <v>162</v>
      </c>
      <c r="G729">
        <v>3.93</v>
      </c>
    </row>
    <row r="730" spans="1:7" x14ac:dyDescent="0.3">
      <c r="A730">
        <v>2021</v>
      </c>
      <c r="B730" t="s">
        <v>27</v>
      </c>
      <c r="C730" t="s">
        <v>17</v>
      </c>
      <c r="D730" t="s">
        <v>9</v>
      </c>
      <c r="E730">
        <v>100</v>
      </c>
      <c r="F730">
        <v>150.6</v>
      </c>
      <c r="G730">
        <v>3.45</v>
      </c>
    </row>
    <row r="731" spans="1:7" x14ac:dyDescent="0.3">
      <c r="A731">
        <v>2021</v>
      </c>
      <c r="B731" t="s">
        <v>27</v>
      </c>
      <c r="C731" t="s">
        <v>17</v>
      </c>
      <c r="D731" t="s">
        <v>10</v>
      </c>
      <c r="E731">
        <v>45.86</v>
      </c>
      <c r="F731">
        <v>152.6</v>
      </c>
      <c r="G731">
        <v>3.53</v>
      </c>
    </row>
    <row r="732" spans="1:7" x14ac:dyDescent="0.3">
      <c r="A732">
        <v>2021</v>
      </c>
      <c r="B732" t="s">
        <v>27</v>
      </c>
      <c r="C732" t="s">
        <v>17</v>
      </c>
      <c r="D732" t="s">
        <v>11</v>
      </c>
      <c r="E732">
        <v>2.38</v>
      </c>
      <c r="F732">
        <v>154.6</v>
      </c>
      <c r="G732">
        <v>3.61</v>
      </c>
    </row>
    <row r="733" spans="1:7" x14ac:dyDescent="0.3">
      <c r="A733">
        <v>2021</v>
      </c>
      <c r="B733" t="s">
        <v>27</v>
      </c>
      <c r="C733" t="s">
        <v>17</v>
      </c>
      <c r="D733" t="s">
        <v>12</v>
      </c>
      <c r="E733">
        <v>6.53</v>
      </c>
      <c r="F733">
        <v>156.6</v>
      </c>
      <c r="G733">
        <v>3.69</v>
      </c>
    </row>
    <row r="734" spans="1:7" x14ac:dyDescent="0.3">
      <c r="A734">
        <v>2021</v>
      </c>
      <c r="B734" t="s">
        <v>27</v>
      </c>
      <c r="C734" t="s">
        <v>17</v>
      </c>
      <c r="D734" t="s">
        <v>13</v>
      </c>
      <c r="E734">
        <v>10.07</v>
      </c>
      <c r="F734">
        <v>158.6</v>
      </c>
      <c r="G734">
        <v>3.77</v>
      </c>
    </row>
    <row r="735" spans="1:7" x14ac:dyDescent="0.3">
      <c r="A735">
        <v>2021</v>
      </c>
      <c r="B735" t="s">
        <v>27</v>
      </c>
      <c r="C735" t="s">
        <v>17</v>
      </c>
      <c r="D735" t="s">
        <v>14</v>
      </c>
      <c r="E735">
        <v>6.84</v>
      </c>
      <c r="F735">
        <v>160.6</v>
      </c>
      <c r="G735">
        <v>3.85</v>
      </c>
    </row>
    <row r="736" spans="1:7" x14ac:dyDescent="0.3">
      <c r="A736">
        <v>2021</v>
      </c>
      <c r="B736" t="s">
        <v>27</v>
      </c>
      <c r="C736" t="s">
        <v>17</v>
      </c>
      <c r="D736" t="s">
        <v>15</v>
      </c>
      <c r="E736">
        <v>28.32</v>
      </c>
      <c r="F736">
        <v>162.6</v>
      </c>
      <c r="G736">
        <v>3.93</v>
      </c>
    </row>
    <row r="737" spans="1:7" x14ac:dyDescent="0.3">
      <c r="A737">
        <v>2021</v>
      </c>
      <c r="B737" t="s">
        <v>28</v>
      </c>
      <c r="C737" t="s">
        <v>8</v>
      </c>
      <c r="D737" t="s">
        <v>9</v>
      </c>
      <c r="E737">
        <v>100</v>
      </c>
      <c r="F737">
        <v>149.80000000000001</v>
      </c>
      <c r="G737">
        <v>2.7</v>
      </c>
    </row>
    <row r="738" spans="1:7" x14ac:dyDescent="0.3">
      <c r="A738">
        <v>2021</v>
      </c>
      <c r="B738" t="s">
        <v>28</v>
      </c>
      <c r="C738" t="s">
        <v>8</v>
      </c>
      <c r="D738" t="s">
        <v>10</v>
      </c>
      <c r="E738">
        <v>45.86</v>
      </c>
      <c r="F738">
        <v>151.80000000000001</v>
      </c>
      <c r="G738">
        <v>2.78</v>
      </c>
    </row>
    <row r="739" spans="1:7" x14ac:dyDescent="0.3">
      <c r="A739">
        <v>2021</v>
      </c>
      <c r="B739" t="s">
        <v>28</v>
      </c>
      <c r="C739" t="s">
        <v>8</v>
      </c>
      <c r="D739" t="s">
        <v>11</v>
      </c>
      <c r="E739">
        <v>2.38</v>
      </c>
      <c r="F739">
        <v>153.80000000000001</v>
      </c>
      <c r="G739">
        <v>2.86</v>
      </c>
    </row>
    <row r="740" spans="1:7" x14ac:dyDescent="0.3">
      <c r="A740">
        <v>2021</v>
      </c>
      <c r="B740" t="s">
        <v>28</v>
      </c>
      <c r="C740" t="s">
        <v>8</v>
      </c>
      <c r="D740" t="s">
        <v>12</v>
      </c>
      <c r="E740">
        <v>6.53</v>
      </c>
      <c r="F740">
        <v>155.80000000000001</v>
      </c>
      <c r="G740">
        <v>2.94</v>
      </c>
    </row>
    <row r="741" spans="1:7" x14ac:dyDescent="0.3">
      <c r="A741">
        <v>2021</v>
      </c>
      <c r="B741" t="s">
        <v>28</v>
      </c>
      <c r="C741" t="s">
        <v>8</v>
      </c>
      <c r="D741" t="s">
        <v>13</v>
      </c>
      <c r="E741">
        <v>10.07</v>
      </c>
      <c r="F741">
        <v>157.80000000000001</v>
      </c>
      <c r="G741">
        <v>3.02</v>
      </c>
    </row>
    <row r="742" spans="1:7" x14ac:dyDescent="0.3">
      <c r="A742">
        <v>2021</v>
      </c>
      <c r="B742" t="s">
        <v>28</v>
      </c>
      <c r="C742" t="s">
        <v>8</v>
      </c>
      <c r="D742" t="s">
        <v>14</v>
      </c>
      <c r="E742">
        <v>6.84</v>
      </c>
      <c r="F742">
        <v>159.80000000000001</v>
      </c>
      <c r="G742">
        <v>3.1</v>
      </c>
    </row>
    <row r="743" spans="1:7" x14ac:dyDescent="0.3">
      <c r="A743">
        <v>2021</v>
      </c>
      <c r="B743" t="s">
        <v>28</v>
      </c>
      <c r="C743" t="s">
        <v>8</v>
      </c>
      <c r="D743" t="s">
        <v>15</v>
      </c>
      <c r="E743">
        <v>28.32</v>
      </c>
      <c r="F743">
        <v>161.80000000000001</v>
      </c>
      <c r="G743">
        <v>3.18</v>
      </c>
    </row>
    <row r="744" spans="1:7" x14ac:dyDescent="0.3">
      <c r="A744">
        <v>2021</v>
      </c>
      <c r="B744" t="s">
        <v>28</v>
      </c>
      <c r="C744" t="s">
        <v>16</v>
      </c>
      <c r="D744" t="s">
        <v>9</v>
      </c>
      <c r="E744">
        <v>100</v>
      </c>
      <c r="F744">
        <v>150.4</v>
      </c>
      <c r="G744">
        <v>2.7</v>
      </c>
    </row>
    <row r="745" spans="1:7" x14ac:dyDescent="0.3">
      <c r="A745">
        <v>2021</v>
      </c>
      <c r="B745" t="s">
        <v>28</v>
      </c>
      <c r="C745" t="s">
        <v>16</v>
      </c>
      <c r="D745" t="s">
        <v>10</v>
      </c>
      <c r="E745">
        <v>45.86</v>
      </c>
      <c r="F745">
        <v>152.4</v>
      </c>
      <c r="G745">
        <v>2.78</v>
      </c>
    </row>
    <row r="746" spans="1:7" x14ac:dyDescent="0.3">
      <c r="A746">
        <v>2021</v>
      </c>
      <c r="B746" t="s">
        <v>28</v>
      </c>
      <c r="C746" t="s">
        <v>16</v>
      </c>
      <c r="D746" t="s">
        <v>11</v>
      </c>
      <c r="E746">
        <v>2.38</v>
      </c>
      <c r="F746">
        <v>154.4</v>
      </c>
      <c r="G746">
        <v>2.86</v>
      </c>
    </row>
    <row r="747" spans="1:7" x14ac:dyDescent="0.3">
      <c r="A747">
        <v>2021</v>
      </c>
      <c r="B747" t="s">
        <v>28</v>
      </c>
      <c r="C747" t="s">
        <v>16</v>
      </c>
      <c r="D747" t="s">
        <v>12</v>
      </c>
      <c r="E747">
        <v>6.53</v>
      </c>
      <c r="F747">
        <v>156.4</v>
      </c>
      <c r="G747">
        <v>2.94</v>
      </c>
    </row>
    <row r="748" spans="1:7" x14ac:dyDescent="0.3">
      <c r="A748">
        <v>2021</v>
      </c>
      <c r="B748" t="s">
        <v>28</v>
      </c>
      <c r="C748" t="s">
        <v>16</v>
      </c>
      <c r="D748" t="s">
        <v>13</v>
      </c>
      <c r="E748">
        <v>10.07</v>
      </c>
      <c r="F748">
        <v>158.4</v>
      </c>
      <c r="G748">
        <v>3.02</v>
      </c>
    </row>
    <row r="749" spans="1:7" x14ac:dyDescent="0.3">
      <c r="A749">
        <v>2021</v>
      </c>
      <c r="B749" t="s">
        <v>28</v>
      </c>
      <c r="C749" t="s">
        <v>16</v>
      </c>
      <c r="D749" t="s">
        <v>14</v>
      </c>
      <c r="E749">
        <v>6.84</v>
      </c>
      <c r="F749">
        <v>160.4</v>
      </c>
      <c r="G749">
        <v>3.1</v>
      </c>
    </row>
    <row r="750" spans="1:7" x14ac:dyDescent="0.3">
      <c r="A750">
        <v>2021</v>
      </c>
      <c r="B750" t="s">
        <v>28</v>
      </c>
      <c r="C750" t="s">
        <v>16</v>
      </c>
      <c r="D750" t="s">
        <v>15</v>
      </c>
      <c r="E750">
        <v>28.32</v>
      </c>
      <c r="F750">
        <v>162.4</v>
      </c>
      <c r="G750">
        <v>3.18</v>
      </c>
    </row>
    <row r="751" spans="1:7" x14ac:dyDescent="0.3">
      <c r="A751">
        <v>2021</v>
      </c>
      <c r="B751" t="s">
        <v>28</v>
      </c>
      <c r="C751" t="s">
        <v>17</v>
      </c>
      <c r="D751" t="s">
        <v>9</v>
      </c>
      <c r="E751">
        <v>100</v>
      </c>
      <c r="F751">
        <v>151</v>
      </c>
      <c r="G751">
        <v>2.7</v>
      </c>
    </row>
    <row r="752" spans="1:7" x14ac:dyDescent="0.3">
      <c r="A752">
        <v>2021</v>
      </c>
      <c r="B752" t="s">
        <v>28</v>
      </c>
      <c r="C752" t="s">
        <v>17</v>
      </c>
      <c r="D752" t="s">
        <v>10</v>
      </c>
      <c r="E752">
        <v>45.86</v>
      </c>
      <c r="F752">
        <v>153</v>
      </c>
      <c r="G752">
        <v>2.78</v>
      </c>
    </row>
    <row r="753" spans="1:7" x14ac:dyDescent="0.3">
      <c r="A753">
        <v>2021</v>
      </c>
      <c r="B753" t="s">
        <v>28</v>
      </c>
      <c r="C753" t="s">
        <v>17</v>
      </c>
      <c r="D753" t="s">
        <v>11</v>
      </c>
      <c r="E753">
        <v>2.38</v>
      </c>
      <c r="F753">
        <v>155</v>
      </c>
      <c r="G753">
        <v>2.86</v>
      </c>
    </row>
    <row r="754" spans="1:7" x14ac:dyDescent="0.3">
      <c r="A754">
        <v>2021</v>
      </c>
      <c r="B754" t="s">
        <v>28</v>
      </c>
      <c r="C754" t="s">
        <v>17</v>
      </c>
      <c r="D754" t="s">
        <v>12</v>
      </c>
      <c r="E754">
        <v>6.53</v>
      </c>
      <c r="F754">
        <v>157</v>
      </c>
      <c r="G754">
        <v>2.94</v>
      </c>
    </row>
    <row r="755" spans="1:7" x14ac:dyDescent="0.3">
      <c r="A755">
        <v>2021</v>
      </c>
      <c r="B755" t="s">
        <v>28</v>
      </c>
      <c r="C755" t="s">
        <v>17</v>
      </c>
      <c r="D755" t="s">
        <v>13</v>
      </c>
      <c r="E755">
        <v>10.07</v>
      </c>
      <c r="F755">
        <v>159</v>
      </c>
      <c r="G755">
        <v>3.02</v>
      </c>
    </row>
    <row r="756" spans="1:7" x14ac:dyDescent="0.3">
      <c r="A756">
        <v>2021</v>
      </c>
      <c r="B756" t="s">
        <v>28</v>
      </c>
      <c r="C756" t="s">
        <v>17</v>
      </c>
      <c r="D756" t="s">
        <v>14</v>
      </c>
      <c r="E756">
        <v>6.84</v>
      </c>
      <c r="F756">
        <v>161</v>
      </c>
      <c r="G756">
        <v>3.1</v>
      </c>
    </row>
    <row r="757" spans="1:7" x14ac:dyDescent="0.3">
      <c r="A757">
        <v>2021</v>
      </c>
      <c r="B757" t="s">
        <v>28</v>
      </c>
      <c r="C757" t="s">
        <v>17</v>
      </c>
      <c r="D757" t="s">
        <v>15</v>
      </c>
      <c r="E757">
        <v>28.32</v>
      </c>
      <c r="F757">
        <v>163</v>
      </c>
      <c r="G757">
        <v>3.18</v>
      </c>
    </row>
    <row r="758" spans="1:7" x14ac:dyDescent="0.3">
      <c r="A758">
        <v>2022</v>
      </c>
      <c r="B758" t="s">
        <v>7</v>
      </c>
      <c r="C758" t="s">
        <v>8</v>
      </c>
      <c r="D758" t="s">
        <v>9</v>
      </c>
      <c r="E758">
        <v>100</v>
      </c>
      <c r="F758">
        <v>150.4</v>
      </c>
      <c r="G758">
        <v>3.2</v>
      </c>
    </row>
    <row r="759" spans="1:7" x14ac:dyDescent="0.3">
      <c r="A759">
        <v>2022</v>
      </c>
      <c r="B759" t="s">
        <v>7</v>
      </c>
      <c r="C759" t="s">
        <v>8</v>
      </c>
      <c r="D759" t="s">
        <v>10</v>
      </c>
      <c r="E759">
        <v>45.86</v>
      </c>
      <c r="F759">
        <v>152.4</v>
      </c>
      <c r="G759">
        <v>3.28</v>
      </c>
    </row>
    <row r="760" spans="1:7" x14ac:dyDescent="0.3">
      <c r="A760">
        <v>2022</v>
      </c>
      <c r="B760" t="s">
        <v>7</v>
      </c>
      <c r="C760" t="s">
        <v>8</v>
      </c>
      <c r="D760" t="s">
        <v>11</v>
      </c>
      <c r="E760">
        <v>2.38</v>
      </c>
      <c r="F760">
        <v>154.4</v>
      </c>
      <c r="G760">
        <v>3.36</v>
      </c>
    </row>
    <row r="761" spans="1:7" x14ac:dyDescent="0.3">
      <c r="A761">
        <v>2022</v>
      </c>
      <c r="B761" t="s">
        <v>7</v>
      </c>
      <c r="C761" t="s">
        <v>8</v>
      </c>
      <c r="D761" t="s">
        <v>12</v>
      </c>
      <c r="E761">
        <v>6.53</v>
      </c>
      <c r="F761">
        <v>156.4</v>
      </c>
      <c r="G761">
        <v>3.44</v>
      </c>
    </row>
    <row r="762" spans="1:7" x14ac:dyDescent="0.3">
      <c r="A762">
        <v>2022</v>
      </c>
      <c r="B762" t="s">
        <v>7</v>
      </c>
      <c r="C762" t="s">
        <v>8</v>
      </c>
      <c r="D762" t="s">
        <v>13</v>
      </c>
      <c r="E762">
        <v>10.07</v>
      </c>
      <c r="F762">
        <v>158.4</v>
      </c>
      <c r="G762">
        <v>3.52</v>
      </c>
    </row>
    <row r="763" spans="1:7" x14ac:dyDescent="0.3">
      <c r="A763">
        <v>2022</v>
      </c>
      <c r="B763" t="s">
        <v>7</v>
      </c>
      <c r="C763" t="s">
        <v>8</v>
      </c>
      <c r="D763" t="s">
        <v>14</v>
      </c>
      <c r="E763">
        <v>6.84</v>
      </c>
      <c r="F763">
        <v>160.4</v>
      </c>
      <c r="G763">
        <v>3.6</v>
      </c>
    </row>
    <row r="764" spans="1:7" x14ac:dyDescent="0.3">
      <c r="A764">
        <v>2022</v>
      </c>
      <c r="B764" t="s">
        <v>7</v>
      </c>
      <c r="C764" t="s">
        <v>8</v>
      </c>
      <c r="D764" t="s">
        <v>15</v>
      </c>
      <c r="E764">
        <v>28.32</v>
      </c>
      <c r="F764">
        <v>162.4</v>
      </c>
      <c r="G764">
        <v>3.68</v>
      </c>
    </row>
    <row r="765" spans="1:7" x14ac:dyDescent="0.3">
      <c r="A765">
        <v>2022</v>
      </c>
      <c r="B765" t="s">
        <v>7</v>
      </c>
      <c r="C765" t="s">
        <v>16</v>
      </c>
      <c r="D765" t="s">
        <v>9</v>
      </c>
      <c r="E765">
        <v>100</v>
      </c>
      <c r="F765">
        <v>151</v>
      </c>
      <c r="G765">
        <v>3.2</v>
      </c>
    </row>
    <row r="766" spans="1:7" x14ac:dyDescent="0.3">
      <c r="A766">
        <v>2022</v>
      </c>
      <c r="B766" t="s">
        <v>7</v>
      </c>
      <c r="C766" t="s">
        <v>16</v>
      </c>
      <c r="D766" t="s">
        <v>10</v>
      </c>
      <c r="E766">
        <v>45.86</v>
      </c>
      <c r="F766">
        <v>153</v>
      </c>
      <c r="G766">
        <v>3.28</v>
      </c>
    </row>
    <row r="767" spans="1:7" x14ac:dyDescent="0.3">
      <c r="A767">
        <v>2022</v>
      </c>
      <c r="B767" t="s">
        <v>7</v>
      </c>
      <c r="C767" t="s">
        <v>16</v>
      </c>
      <c r="D767" t="s">
        <v>11</v>
      </c>
      <c r="E767">
        <v>2.38</v>
      </c>
      <c r="F767">
        <v>155</v>
      </c>
      <c r="G767">
        <v>3.36</v>
      </c>
    </row>
    <row r="768" spans="1:7" x14ac:dyDescent="0.3">
      <c r="A768">
        <v>2022</v>
      </c>
      <c r="B768" t="s">
        <v>7</v>
      </c>
      <c r="C768" t="s">
        <v>16</v>
      </c>
      <c r="D768" t="s">
        <v>12</v>
      </c>
      <c r="E768">
        <v>6.53</v>
      </c>
      <c r="F768">
        <v>157</v>
      </c>
      <c r="G768">
        <v>3.44</v>
      </c>
    </row>
    <row r="769" spans="1:7" x14ac:dyDescent="0.3">
      <c r="A769">
        <v>2022</v>
      </c>
      <c r="B769" t="s">
        <v>7</v>
      </c>
      <c r="C769" t="s">
        <v>16</v>
      </c>
      <c r="D769" t="s">
        <v>13</v>
      </c>
      <c r="E769">
        <v>10.07</v>
      </c>
      <c r="F769">
        <v>159</v>
      </c>
      <c r="G769">
        <v>3.52</v>
      </c>
    </row>
    <row r="770" spans="1:7" x14ac:dyDescent="0.3">
      <c r="A770">
        <v>2022</v>
      </c>
      <c r="B770" t="s">
        <v>7</v>
      </c>
      <c r="C770" t="s">
        <v>16</v>
      </c>
      <c r="D770" t="s">
        <v>14</v>
      </c>
      <c r="E770">
        <v>6.84</v>
      </c>
      <c r="F770">
        <v>161</v>
      </c>
      <c r="G770">
        <v>3.6</v>
      </c>
    </row>
    <row r="771" spans="1:7" x14ac:dyDescent="0.3">
      <c r="A771">
        <v>2022</v>
      </c>
      <c r="B771" t="s">
        <v>7</v>
      </c>
      <c r="C771" t="s">
        <v>16</v>
      </c>
      <c r="D771" t="s">
        <v>15</v>
      </c>
      <c r="E771">
        <v>28.32</v>
      </c>
      <c r="F771">
        <v>163</v>
      </c>
      <c r="G771">
        <v>3.68</v>
      </c>
    </row>
    <row r="772" spans="1:7" x14ac:dyDescent="0.3">
      <c r="A772">
        <v>2022</v>
      </c>
      <c r="B772" t="s">
        <v>7</v>
      </c>
      <c r="C772" t="s">
        <v>17</v>
      </c>
      <c r="D772" t="s">
        <v>9</v>
      </c>
      <c r="E772">
        <v>100</v>
      </c>
      <c r="F772">
        <v>151.6</v>
      </c>
      <c r="G772">
        <v>3.2</v>
      </c>
    </row>
    <row r="773" spans="1:7" x14ac:dyDescent="0.3">
      <c r="A773">
        <v>2022</v>
      </c>
      <c r="B773" t="s">
        <v>7</v>
      </c>
      <c r="C773" t="s">
        <v>17</v>
      </c>
      <c r="D773" t="s">
        <v>10</v>
      </c>
      <c r="E773">
        <v>45.86</v>
      </c>
      <c r="F773">
        <v>153.6</v>
      </c>
      <c r="G773">
        <v>3.28</v>
      </c>
    </row>
    <row r="774" spans="1:7" x14ac:dyDescent="0.3">
      <c r="A774">
        <v>2022</v>
      </c>
      <c r="B774" t="s">
        <v>7</v>
      </c>
      <c r="C774" t="s">
        <v>17</v>
      </c>
      <c r="D774" t="s">
        <v>11</v>
      </c>
      <c r="E774">
        <v>2.38</v>
      </c>
      <c r="F774">
        <v>155.6</v>
      </c>
      <c r="G774">
        <v>3.36</v>
      </c>
    </row>
    <row r="775" spans="1:7" x14ac:dyDescent="0.3">
      <c r="A775">
        <v>2022</v>
      </c>
      <c r="B775" t="s">
        <v>7</v>
      </c>
      <c r="C775" t="s">
        <v>17</v>
      </c>
      <c r="D775" t="s">
        <v>12</v>
      </c>
      <c r="E775">
        <v>6.53</v>
      </c>
      <c r="F775">
        <v>157.6</v>
      </c>
      <c r="G775">
        <v>3.44</v>
      </c>
    </row>
    <row r="776" spans="1:7" x14ac:dyDescent="0.3">
      <c r="A776">
        <v>2022</v>
      </c>
      <c r="B776" t="s">
        <v>7</v>
      </c>
      <c r="C776" t="s">
        <v>17</v>
      </c>
      <c r="D776" t="s">
        <v>13</v>
      </c>
      <c r="E776">
        <v>10.07</v>
      </c>
      <c r="F776">
        <v>159.6</v>
      </c>
      <c r="G776">
        <v>3.52</v>
      </c>
    </row>
    <row r="777" spans="1:7" x14ac:dyDescent="0.3">
      <c r="A777">
        <v>2022</v>
      </c>
      <c r="B777" t="s">
        <v>7</v>
      </c>
      <c r="C777" t="s">
        <v>17</v>
      </c>
      <c r="D777" t="s">
        <v>14</v>
      </c>
      <c r="E777">
        <v>6.84</v>
      </c>
      <c r="F777">
        <v>161.6</v>
      </c>
      <c r="G777">
        <v>3.6</v>
      </c>
    </row>
    <row r="778" spans="1:7" x14ac:dyDescent="0.3">
      <c r="A778">
        <v>2022</v>
      </c>
      <c r="B778" t="s">
        <v>7</v>
      </c>
      <c r="C778" t="s">
        <v>17</v>
      </c>
      <c r="D778" t="s">
        <v>15</v>
      </c>
      <c r="E778">
        <v>28.32</v>
      </c>
      <c r="F778">
        <v>163.6</v>
      </c>
      <c r="G778">
        <v>3.68</v>
      </c>
    </row>
    <row r="779" spans="1:7" x14ac:dyDescent="0.3">
      <c r="A779">
        <v>2022</v>
      </c>
      <c r="B779" t="s">
        <v>18</v>
      </c>
      <c r="C779" t="s">
        <v>8</v>
      </c>
      <c r="D779" t="s">
        <v>9</v>
      </c>
      <c r="E779">
        <v>100</v>
      </c>
      <c r="F779">
        <v>150.80000000000001</v>
      </c>
      <c r="G779">
        <v>3.35</v>
      </c>
    </row>
    <row r="780" spans="1:7" x14ac:dyDescent="0.3">
      <c r="A780">
        <v>2022</v>
      </c>
      <c r="B780" t="s">
        <v>18</v>
      </c>
      <c r="C780" t="s">
        <v>8</v>
      </c>
      <c r="D780" t="s">
        <v>10</v>
      </c>
      <c r="E780">
        <v>45.86</v>
      </c>
      <c r="F780">
        <v>152.80000000000001</v>
      </c>
      <c r="G780">
        <v>3.43</v>
      </c>
    </row>
    <row r="781" spans="1:7" x14ac:dyDescent="0.3">
      <c r="A781">
        <v>2022</v>
      </c>
      <c r="B781" t="s">
        <v>18</v>
      </c>
      <c r="C781" t="s">
        <v>8</v>
      </c>
      <c r="D781" t="s">
        <v>11</v>
      </c>
      <c r="E781">
        <v>2.38</v>
      </c>
      <c r="F781">
        <v>154.80000000000001</v>
      </c>
      <c r="G781">
        <v>3.51</v>
      </c>
    </row>
    <row r="782" spans="1:7" x14ac:dyDescent="0.3">
      <c r="A782">
        <v>2022</v>
      </c>
      <c r="B782" t="s">
        <v>18</v>
      </c>
      <c r="C782" t="s">
        <v>8</v>
      </c>
      <c r="D782" t="s">
        <v>12</v>
      </c>
      <c r="E782">
        <v>6.53</v>
      </c>
      <c r="F782">
        <v>156.80000000000001</v>
      </c>
      <c r="G782">
        <v>3.59</v>
      </c>
    </row>
    <row r="783" spans="1:7" x14ac:dyDescent="0.3">
      <c r="A783">
        <v>2022</v>
      </c>
      <c r="B783" t="s">
        <v>18</v>
      </c>
      <c r="C783" t="s">
        <v>8</v>
      </c>
      <c r="D783" t="s">
        <v>13</v>
      </c>
      <c r="E783">
        <v>10.07</v>
      </c>
      <c r="F783">
        <v>158.80000000000001</v>
      </c>
      <c r="G783">
        <v>3.67</v>
      </c>
    </row>
    <row r="784" spans="1:7" x14ac:dyDescent="0.3">
      <c r="A784">
        <v>2022</v>
      </c>
      <c r="B784" t="s">
        <v>18</v>
      </c>
      <c r="C784" t="s">
        <v>8</v>
      </c>
      <c r="D784" t="s">
        <v>14</v>
      </c>
      <c r="E784">
        <v>6.84</v>
      </c>
      <c r="F784">
        <v>160.80000000000001</v>
      </c>
      <c r="G784">
        <v>3.75</v>
      </c>
    </row>
    <row r="785" spans="1:7" x14ac:dyDescent="0.3">
      <c r="A785">
        <v>2022</v>
      </c>
      <c r="B785" t="s">
        <v>18</v>
      </c>
      <c r="C785" t="s">
        <v>8</v>
      </c>
      <c r="D785" t="s">
        <v>15</v>
      </c>
      <c r="E785">
        <v>28.32</v>
      </c>
      <c r="F785">
        <v>162.80000000000001</v>
      </c>
      <c r="G785">
        <v>3.83</v>
      </c>
    </row>
    <row r="786" spans="1:7" x14ac:dyDescent="0.3">
      <c r="A786">
        <v>2022</v>
      </c>
      <c r="B786" t="s">
        <v>18</v>
      </c>
      <c r="C786" t="s">
        <v>16</v>
      </c>
      <c r="D786" t="s">
        <v>9</v>
      </c>
      <c r="E786">
        <v>100</v>
      </c>
      <c r="F786">
        <v>151.4</v>
      </c>
      <c r="G786">
        <v>3.35</v>
      </c>
    </row>
    <row r="787" spans="1:7" x14ac:dyDescent="0.3">
      <c r="A787">
        <v>2022</v>
      </c>
      <c r="B787" t="s">
        <v>18</v>
      </c>
      <c r="C787" t="s">
        <v>16</v>
      </c>
      <c r="D787" t="s">
        <v>10</v>
      </c>
      <c r="E787">
        <v>45.86</v>
      </c>
      <c r="F787">
        <v>153.4</v>
      </c>
      <c r="G787">
        <v>3.43</v>
      </c>
    </row>
    <row r="788" spans="1:7" x14ac:dyDescent="0.3">
      <c r="A788">
        <v>2022</v>
      </c>
      <c r="B788" t="s">
        <v>18</v>
      </c>
      <c r="C788" t="s">
        <v>16</v>
      </c>
      <c r="D788" t="s">
        <v>11</v>
      </c>
      <c r="E788">
        <v>2.38</v>
      </c>
      <c r="F788">
        <v>155.4</v>
      </c>
      <c r="G788">
        <v>3.51</v>
      </c>
    </row>
    <row r="789" spans="1:7" x14ac:dyDescent="0.3">
      <c r="A789">
        <v>2022</v>
      </c>
      <c r="B789" t="s">
        <v>18</v>
      </c>
      <c r="C789" t="s">
        <v>16</v>
      </c>
      <c r="D789" t="s">
        <v>12</v>
      </c>
      <c r="E789">
        <v>6.53</v>
      </c>
      <c r="F789">
        <v>157.4</v>
      </c>
      <c r="G789">
        <v>3.59</v>
      </c>
    </row>
    <row r="790" spans="1:7" x14ac:dyDescent="0.3">
      <c r="A790">
        <v>2022</v>
      </c>
      <c r="B790" t="s">
        <v>18</v>
      </c>
      <c r="C790" t="s">
        <v>16</v>
      </c>
      <c r="D790" t="s">
        <v>13</v>
      </c>
      <c r="E790">
        <v>10.07</v>
      </c>
      <c r="F790">
        <v>159.4</v>
      </c>
      <c r="G790">
        <v>3.67</v>
      </c>
    </row>
    <row r="791" spans="1:7" x14ac:dyDescent="0.3">
      <c r="A791">
        <v>2022</v>
      </c>
      <c r="B791" t="s">
        <v>18</v>
      </c>
      <c r="C791" t="s">
        <v>16</v>
      </c>
      <c r="D791" t="s">
        <v>14</v>
      </c>
      <c r="E791">
        <v>6.84</v>
      </c>
      <c r="F791">
        <v>161.4</v>
      </c>
      <c r="G791">
        <v>3.75</v>
      </c>
    </row>
    <row r="792" spans="1:7" x14ac:dyDescent="0.3">
      <c r="A792">
        <v>2022</v>
      </c>
      <c r="B792" t="s">
        <v>18</v>
      </c>
      <c r="C792" t="s">
        <v>16</v>
      </c>
      <c r="D792" t="s">
        <v>15</v>
      </c>
      <c r="E792">
        <v>28.32</v>
      </c>
      <c r="F792">
        <v>163.4</v>
      </c>
      <c r="G792">
        <v>3.83</v>
      </c>
    </row>
    <row r="793" spans="1:7" x14ac:dyDescent="0.3">
      <c r="A793">
        <v>2022</v>
      </c>
      <c r="B793" t="s">
        <v>18</v>
      </c>
      <c r="C793" t="s">
        <v>17</v>
      </c>
      <c r="D793" t="s">
        <v>9</v>
      </c>
      <c r="E793">
        <v>100</v>
      </c>
      <c r="F793">
        <v>152</v>
      </c>
      <c r="G793">
        <v>3.35</v>
      </c>
    </row>
    <row r="794" spans="1:7" x14ac:dyDescent="0.3">
      <c r="A794">
        <v>2022</v>
      </c>
      <c r="B794" t="s">
        <v>18</v>
      </c>
      <c r="C794" t="s">
        <v>17</v>
      </c>
      <c r="D794" t="s">
        <v>10</v>
      </c>
      <c r="E794">
        <v>45.86</v>
      </c>
      <c r="F794">
        <v>154</v>
      </c>
      <c r="G794">
        <v>3.43</v>
      </c>
    </row>
    <row r="795" spans="1:7" x14ac:dyDescent="0.3">
      <c r="A795">
        <v>2022</v>
      </c>
      <c r="B795" t="s">
        <v>18</v>
      </c>
      <c r="C795" t="s">
        <v>17</v>
      </c>
      <c r="D795" t="s">
        <v>11</v>
      </c>
      <c r="E795">
        <v>2.38</v>
      </c>
      <c r="F795">
        <v>156</v>
      </c>
      <c r="G795">
        <v>3.51</v>
      </c>
    </row>
    <row r="796" spans="1:7" x14ac:dyDescent="0.3">
      <c r="A796">
        <v>2022</v>
      </c>
      <c r="B796" t="s">
        <v>18</v>
      </c>
      <c r="C796" t="s">
        <v>17</v>
      </c>
      <c r="D796" t="s">
        <v>12</v>
      </c>
      <c r="E796">
        <v>6.53</v>
      </c>
      <c r="F796">
        <v>158</v>
      </c>
      <c r="G796">
        <v>3.59</v>
      </c>
    </row>
    <row r="797" spans="1:7" x14ac:dyDescent="0.3">
      <c r="A797">
        <v>2022</v>
      </c>
      <c r="B797" t="s">
        <v>18</v>
      </c>
      <c r="C797" t="s">
        <v>17</v>
      </c>
      <c r="D797" t="s">
        <v>13</v>
      </c>
      <c r="E797">
        <v>10.07</v>
      </c>
      <c r="F797">
        <v>160</v>
      </c>
      <c r="G797">
        <v>3.67</v>
      </c>
    </row>
    <row r="798" spans="1:7" x14ac:dyDescent="0.3">
      <c r="A798">
        <v>2022</v>
      </c>
      <c r="B798" t="s">
        <v>18</v>
      </c>
      <c r="C798" t="s">
        <v>17</v>
      </c>
      <c r="D798" t="s">
        <v>14</v>
      </c>
      <c r="E798">
        <v>6.84</v>
      </c>
      <c r="F798">
        <v>162</v>
      </c>
      <c r="G798">
        <v>3.75</v>
      </c>
    </row>
    <row r="799" spans="1:7" x14ac:dyDescent="0.3">
      <c r="A799">
        <v>2022</v>
      </c>
      <c r="B799" t="s">
        <v>18</v>
      </c>
      <c r="C799" t="s">
        <v>17</v>
      </c>
      <c r="D799" t="s">
        <v>15</v>
      </c>
      <c r="E799">
        <v>28.32</v>
      </c>
      <c r="F799">
        <v>164</v>
      </c>
      <c r="G799">
        <v>3.83</v>
      </c>
    </row>
    <row r="800" spans="1:7" x14ac:dyDescent="0.3">
      <c r="A800">
        <v>2022</v>
      </c>
      <c r="B800" t="s">
        <v>19</v>
      </c>
      <c r="C800" t="s">
        <v>8</v>
      </c>
      <c r="D800" t="s">
        <v>9</v>
      </c>
      <c r="E800">
        <v>100</v>
      </c>
      <c r="F800">
        <v>151.19999999999999</v>
      </c>
      <c r="G800">
        <v>3.5</v>
      </c>
    </row>
    <row r="801" spans="1:7" x14ac:dyDescent="0.3">
      <c r="A801">
        <v>2022</v>
      </c>
      <c r="B801" t="s">
        <v>19</v>
      </c>
      <c r="C801" t="s">
        <v>8</v>
      </c>
      <c r="D801" t="s">
        <v>10</v>
      </c>
      <c r="E801">
        <v>45.86</v>
      </c>
      <c r="F801">
        <v>153.19999999999999</v>
      </c>
      <c r="G801">
        <v>3.58</v>
      </c>
    </row>
    <row r="802" spans="1:7" x14ac:dyDescent="0.3">
      <c r="A802">
        <v>2022</v>
      </c>
      <c r="B802" t="s">
        <v>19</v>
      </c>
      <c r="C802" t="s">
        <v>8</v>
      </c>
      <c r="D802" t="s">
        <v>11</v>
      </c>
      <c r="E802">
        <v>2.38</v>
      </c>
      <c r="F802">
        <v>155.19999999999999</v>
      </c>
      <c r="G802">
        <v>3.66</v>
      </c>
    </row>
    <row r="803" spans="1:7" x14ac:dyDescent="0.3">
      <c r="A803">
        <v>2022</v>
      </c>
      <c r="B803" t="s">
        <v>19</v>
      </c>
      <c r="C803" t="s">
        <v>8</v>
      </c>
      <c r="D803" t="s">
        <v>12</v>
      </c>
      <c r="E803">
        <v>6.53</v>
      </c>
      <c r="F803">
        <v>157.19999999999999</v>
      </c>
      <c r="G803">
        <v>3.74</v>
      </c>
    </row>
    <row r="804" spans="1:7" x14ac:dyDescent="0.3">
      <c r="A804">
        <v>2022</v>
      </c>
      <c r="B804" t="s">
        <v>19</v>
      </c>
      <c r="C804" t="s">
        <v>8</v>
      </c>
      <c r="D804" t="s">
        <v>13</v>
      </c>
      <c r="E804">
        <v>10.07</v>
      </c>
      <c r="F804">
        <v>159.19999999999999</v>
      </c>
      <c r="G804">
        <v>3.82</v>
      </c>
    </row>
    <row r="805" spans="1:7" x14ac:dyDescent="0.3">
      <c r="A805">
        <v>2022</v>
      </c>
      <c r="B805" t="s">
        <v>19</v>
      </c>
      <c r="C805" t="s">
        <v>8</v>
      </c>
      <c r="D805" t="s">
        <v>14</v>
      </c>
      <c r="E805">
        <v>6.84</v>
      </c>
      <c r="F805">
        <v>161.19999999999999</v>
      </c>
      <c r="G805">
        <v>3.9</v>
      </c>
    </row>
    <row r="806" spans="1:7" x14ac:dyDescent="0.3">
      <c r="A806">
        <v>2022</v>
      </c>
      <c r="B806" t="s">
        <v>19</v>
      </c>
      <c r="C806" t="s">
        <v>8</v>
      </c>
      <c r="D806" t="s">
        <v>15</v>
      </c>
      <c r="E806">
        <v>28.32</v>
      </c>
      <c r="F806">
        <v>163.19999999999999</v>
      </c>
      <c r="G806">
        <v>3.98</v>
      </c>
    </row>
    <row r="807" spans="1:7" x14ac:dyDescent="0.3">
      <c r="A807">
        <v>2022</v>
      </c>
      <c r="B807" t="s">
        <v>19</v>
      </c>
      <c r="C807" t="s">
        <v>16</v>
      </c>
      <c r="D807" t="s">
        <v>9</v>
      </c>
      <c r="E807">
        <v>100</v>
      </c>
      <c r="F807">
        <v>151.80000000000001</v>
      </c>
      <c r="G807">
        <v>3.5</v>
      </c>
    </row>
    <row r="808" spans="1:7" x14ac:dyDescent="0.3">
      <c r="A808">
        <v>2022</v>
      </c>
      <c r="B808" t="s">
        <v>19</v>
      </c>
      <c r="C808" t="s">
        <v>16</v>
      </c>
      <c r="D808" t="s">
        <v>10</v>
      </c>
      <c r="E808">
        <v>45.86</v>
      </c>
      <c r="F808">
        <v>153.80000000000001</v>
      </c>
      <c r="G808">
        <v>3.58</v>
      </c>
    </row>
    <row r="809" spans="1:7" x14ac:dyDescent="0.3">
      <c r="A809">
        <v>2022</v>
      </c>
      <c r="B809" t="s">
        <v>19</v>
      </c>
      <c r="C809" t="s">
        <v>16</v>
      </c>
      <c r="D809" t="s">
        <v>11</v>
      </c>
      <c r="E809">
        <v>2.38</v>
      </c>
      <c r="F809">
        <v>155.80000000000001</v>
      </c>
      <c r="G809">
        <v>3.66</v>
      </c>
    </row>
    <row r="810" spans="1:7" x14ac:dyDescent="0.3">
      <c r="A810">
        <v>2022</v>
      </c>
      <c r="B810" t="s">
        <v>19</v>
      </c>
      <c r="C810" t="s">
        <v>16</v>
      </c>
      <c r="D810" t="s">
        <v>12</v>
      </c>
      <c r="E810">
        <v>6.53</v>
      </c>
      <c r="F810">
        <v>157.80000000000001</v>
      </c>
      <c r="G810">
        <v>3.74</v>
      </c>
    </row>
    <row r="811" spans="1:7" x14ac:dyDescent="0.3">
      <c r="A811">
        <v>2022</v>
      </c>
      <c r="B811" t="s">
        <v>19</v>
      </c>
      <c r="C811" t="s">
        <v>16</v>
      </c>
      <c r="D811" t="s">
        <v>13</v>
      </c>
      <c r="E811">
        <v>10.07</v>
      </c>
      <c r="F811">
        <v>159.80000000000001</v>
      </c>
      <c r="G811">
        <v>3.82</v>
      </c>
    </row>
    <row r="812" spans="1:7" x14ac:dyDescent="0.3">
      <c r="A812">
        <v>2022</v>
      </c>
      <c r="B812" t="s">
        <v>19</v>
      </c>
      <c r="C812" t="s">
        <v>16</v>
      </c>
      <c r="D812" t="s">
        <v>14</v>
      </c>
      <c r="E812">
        <v>6.84</v>
      </c>
      <c r="F812">
        <v>161.80000000000001</v>
      </c>
      <c r="G812">
        <v>3.9</v>
      </c>
    </row>
    <row r="813" spans="1:7" x14ac:dyDescent="0.3">
      <c r="A813">
        <v>2022</v>
      </c>
      <c r="B813" t="s">
        <v>19</v>
      </c>
      <c r="C813" t="s">
        <v>16</v>
      </c>
      <c r="D813" t="s">
        <v>15</v>
      </c>
      <c r="E813">
        <v>28.32</v>
      </c>
      <c r="F813">
        <v>163.80000000000001</v>
      </c>
      <c r="G813">
        <v>3.98</v>
      </c>
    </row>
    <row r="814" spans="1:7" x14ac:dyDescent="0.3">
      <c r="A814">
        <v>2022</v>
      </c>
      <c r="B814" t="s">
        <v>19</v>
      </c>
      <c r="C814" t="s">
        <v>17</v>
      </c>
      <c r="D814" t="s">
        <v>9</v>
      </c>
      <c r="E814">
        <v>100</v>
      </c>
      <c r="F814">
        <v>152.4</v>
      </c>
      <c r="G814">
        <v>3.5</v>
      </c>
    </row>
    <row r="815" spans="1:7" x14ac:dyDescent="0.3">
      <c r="A815">
        <v>2022</v>
      </c>
      <c r="B815" t="s">
        <v>19</v>
      </c>
      <c r="C815" t="s">
        <v>17</v>
      </c>
      <c r="D815" t="s">
        <v>10</v>
      </c>
      <c r="E815">
        <v>45.86</v>
      </c>
      <c r="F815">
        <v>154.4</v>
      </c>
      <c r="G815">
        <v>3.58</v>
      </c>
    </row>
    <row r="816" spans="1:7" x14ac:dyDescent="0.3">
      <c r="A816">
        <v>2022</v>
      </c>
      <c r="B816" t="s">
        <v>19</v>
      </c>
      <c r="C816" t="s">
        <v>17</v>
      </c>
      <c r="D816" t="s">
        <v>11</v>
      </c>
      <c r="E816">
        <v>2.38</v>
      </c>
      <c r="F816">
        <v>156.4</v>
      </c>
      <c r="G816">
        <v>3.66</v>
      </c>
    </row>
    <row r="817" spans="1:7" x14ac:dyDescent="0.3">
      <c r="A817">
        <v>2022</v>
      </c>
      <c r="B817" t="s">
        <v>19</v>
      </c>
      <c r="C817" t="s">
        <v>17</v>
      </c>
      <c r="D817" t="s">
        <v>12</v>
      </c>
      <c r="E817">
        <v>6.53</v>
      </c>
      <c r="F817">
        <v>158.4</v>
      </c>
      <c r="G817">
        <v>3.74</v>
      </c>
    </row>
    <row r="818" spans="1:7" x14ac:dyDescent="0.3">
      <c r="A818">
        <v>2022</v>
      </c>
      <c r="B818" t="s">
        <v>19</v>
      </c>
      <c r="C818" t="s">
        <v>17</v>
      </c>
      <c r="D818" t="s">
        <v>13</v>
      </c>
      <c r="E818">
        <v>10.07</v>
      </c>
      <c r="F818">
        <v>160.4</v>
      </c>
      <c r="G818">
        <v>3.82</v>
      </c>
    </row>
    <row r="819" spans="1:7" x14ac:dyDescent="0.3">
      <c r="A819">
        <v>2022</v>
      </c>
      <c r="B819" t="s">
        <v>19</v>
      </c>
      <c r="C819" t="s">
        <v>17</v>
      </c>
      <c r="D819" t="s">
        <v>14</v>
      </c>
      <c r="E819">
        <v>6.84</v>
      </c>
      <c r="F819">
        <v>162.4</v>
      </c>
      <c r="G819">
        <v>3.9</v>
      </c>
    </row>
    <row r="820" spans="1:7" x14ac:dyDescent="0.3">
      <c r="A820">
        <v>2022</v>
      </c>
      <c r="B820" t="s">
        <v>19</v>
      </c>
      <c r="C820" t="s">
        <v>17</v>
      </c>
      <c r="D820" t="s">
        <v>15</v>
      </c>
      <c r="E820">
        <v>28.32</v>
      </c>
      <c r="F820">
        <v>164.4</v>
      </c>
      <c r="G820">
        <v>3.98</v>
      </c>
    </row>
    <row r="821" spans="1:7" x14ac:dyDescent="0.3">
      <c r="A821">
        <v>2022</v>
      </c>
      <c r="B821" t="s">
        <v>20</v>
      </c>
      <c r="C821" t="s">
        <v>8</v>
      </c>
      <c r="D821" t="s">
        <v>9</v>
      </c>
      <c r="E821">
        <v>100</v>
      </c>
      <c r="F821">
        <v>151.6</v>
      </c>
      <c r="G821">
        <v>3.65</v>
      </c>
    </row>
    <row r="822" spans="1:7" x14ac:dyDescent="0.3">
      <c r="A822">
        <v>2022</v>
      </c>
      <c r="B822" t="s">
        <v>20</v>
      </c>
      <c r="C822" t="s">
        <v>8</v>
      </c>
      <c r="D822" t="s">
        <v>10</v>
      </c>
      <c r="E822">
        <v>45.86</v>
      </c>
      <c r="F822">
        <v>153.6</v>
      </c>
      <c r="G822">
        <v>3.73</v>
      </c>
    </row>
    <row r="823" spans="1:7" x14ac:dyDescent="0.3">
      <c r="A823">
        <v>2022</v>
      </c>
      <c r="B823" t="s">
        <v>20</v>
      </c>
      <c r="C823" t="s">
        <v>8</v>
      </c>
      <c r="D823" t="s">
        <v>11</v>
      </c>
      <c r="E823">
        <v>2.38</v>
      </c>
      <c r="F823">
        <v>155.6</v>
      </c>
      <c r="G823">
        <v>3.81</v>
      </c>
    </row>
    <row r="824" spans="1:7" x14ac:dyDescent="0.3">
      <c r="A824">
        <v>2022</v>
      </c>
      <c r="B824" t="s">
        <v>20</v>
      </c>
      <c r="C824" t="s">
        <v>8</v>
      </c>
      <c r="D824" t="s">
        <v>12</v>
      </c>
      <c r="E824">
        <v>6.53</v>
      </c>
      <c r="F824">
        <v>157.6</v>
      </c>
      <c r="G824">
        <v>3.89</v>
      </c>
    </row>
    <row r="825" spans="1:7" x14ac:dyDescent="0.3">
      <c r="A825">
        <v>2022</v>
      </c>
      <c r="B825" t="s">
        <v>20</v>
      </c>
      <c r="C825" t="s">
        <v>8</v>
      </c>
      <c r="D825" t="s">
        <v>13</v>
      </c>
      <c r="E825">
        <v>10.07</v>
      </c>
      <c r="F825">
        <v>159.6</v>
      </c>
      <c r="G825">
        <v>3.97</v>
      </c>
    </row>
    <row r="826" spans="1:7" x14ac:dyDescent="0.3">
      <c r="A826">
        <v>2022</v>
      </c>
      <c r="B826" t="s">
        <v>20</v>
      </c>
      <c r="C826" t="s">
        <v>8</v>
      </c>
      <c r="D826" t="s">
        <v>14</v>
      </c>
      <c r="E826">
        <v>6.84</v>
      </c>
      <c r="F826">
        <v>161.6</v>
      </c>
      <c r="G826">
        <v>4.05</v>
      </c>
    </row>
    <row r="827" spans="1:7" x14ac:dyDescent="0.3">
      <c r="A827">
        <v>2022</v>
      </c>
      <c r="B827" t="s">
        <v>20</v>
      </c>
      <c r="C827" t="s">
        <v>8</v>
      </c>
      <c r="D827" t="s">
        <v>15</v>
      </c>
      <c r="E827">
        <v>28.32</v>
      </c>
      <c r="F827">
        <v>163.6</v>
      </c>
      <c r="G827">
        <v>4.13</v>
      </c>
    </row>
    <row r="828" spans="1:7" x14ac:dyDescent="0.3">
      <c r="A828">
        <v>2022</v>
      </c>
      <c r="B828" t="s">
        <v>20</v>
      </c>
      <c r="C828" t="s">
        <v>16</v>
      </c>
      <c r="D828" t="s">
        <v>9</v>
      </c>
      <c r="E828">
        <v>100</v>
      </c>
      <c r="F828">
        <v>152.19999999999999</v>
      </c>
      <c r="G828">
        <v>3.65</v>
      </c>
    </row>
    <row r="829" spans="1:7" x14ac:dyDescent="0.3">
      <c r="A829">
        <v>2022</v>
      </c>
      <c r="B829" t="s">
        <v>20</v>
      </c>
      <c r="C829" t="s">
        <v>16</v>
      </c>
      <c r="D829" t="s">
        <v>10</v>
      </c>
      <c r="E829">
        <v>45.86</v>
      </c>
      <c r="F829">
        <v>154.19999999999999</v>
      </c>
      <c r="G829">
        <v>3.73</v>
      </c>
    </row>
    <row r="830" spans="1:7" x14ac:dyDescent="0.3">
      <c r="A830">
        <v>2022</v>
      </c>
      <c r="B830" t="s">
        <v>20</v>
      </c>
      <c r="C830" t="s">
        <v>16</v>
      </c>
      <c r="D830" t="s">
        <v>11</v>
      </c>
      <c r="E830">
        <v>2.38</v>
      </c>
      <c r="F830">
        <v>156.19999999999999</v>
      </c>
      <c r="G830">
        <v>3.81</v>
      </c>
    </row>
    <row r="831" spans="1:7" x14ac:dyDescent="0.3">
      <c r="A831">
        <v>2022</v>
      </c>
      <c r="B831" t="s">
        <v>20</v>
      </c>
      <c r="C831" t="s">
        <v>16</v>
      </c>
      <c r="D831" t="s">
        <v>12</v>
      </c>
      <c r="E831">
        <v>6.53</v>
      </c>
      <c r="F831">
        <v>158.19999999999999</v>
      </c>
      <c r="G831">
        <v>3.89</v>
      </c>
    </row>
    <row r="832" spans="1:7" x14ac:dyDescent="0.3">
      <c r="A832">
        <v>2022</v>
      </c>
      <c r="B832" t="s">
        <v>20</v>
      </c>
      <c r="C832" t="s">
        <v>16</v>
      </c>
      <c r="D832" t="s">
        <v>13</v>
      </c>
      <c r="E832">
        <v>10.07</v>
      </c>
      <c r="F832">
        <v>160.19999999999999</v>
      </c>
      <c r="G832">
        <v>3.97</v>
      </c>
    </row>
    <row r="833" spans="1:7" x14ac:dyDescent="0.3">
      <c r="A833">
        <v>2022</v>
      </c>
      <c r="B833" t="s">
        <v>20</v>
      </c>
      <c r="C833" t="s">
        <v>16</v>
      </c>
      <c r="D833" t="s">
        <v>14</v>
      </c>
      <c r="E833">
        <v>6.84</v>
      </c>
      <c r="F833">
        <v>162.19999999999999</v>
      </c>
      <c r="G833">
        <v>4.05</v>
      </c>
    </row>
    <row r="834" spans="1:7" x14ac:dyDescent="0.3">
      <c r="A834">
        <v>2022</v>
      </c>
      <c r="B834" t="s">
        <v>20</v>
      </c>
      <c r="C834" t="s">
        <v>16</v>
      </c>
      <c r="D834" t="s">
        <v>15</v>
      </c>
      <c r="E834">
        <v>28.32</v>
      </c>
      <c r="F834">
        <v>164.2</v>
      </c>
      <c r="G834">
        <v>4.13</v>
      </c>
    </row>
    <row r="835" spans="1:7" x14ac:dyDescent="0.3">
      <c r="A835">
        <v>2022</v>
      </c>
      <c r="B835" t="s">
        <v>20</v>
      </c>
      <c r="C835" t="s">
        <v>17</v>
      </c>
      <c r="D835" t="s">
        <v>9</v>
      </c>
      <c r="E835">
        <v>100</v>
      </c>
      <c r="F835">
        <v>152.80000000000001</v>
      </c>
      <c r="G835">
        <v>3.65</v>
      </c>
    </row>
    <row r="836" spans="1:7" x14ac:dyDescent="0.3">
      <c r="A836">
        <v>2022</v>
      </c>
      <c r="B836" t="s">
        <v>20</v>
      </c>
      <c r="C836" t="s">
        <v>17</v>
      </c>
      <c r="D836" t="s">
        <v>10</v>
      </c>
      <c r="E836">
        <v>45.86</v>
      </c>
      <c r="F836">
        <v>154.80000000000001</v>
      </c>
      <c r="G836">
        <v>3.73</v>
      </c>
    </row>
    <row r="837" spans="1:7" x14ac:dyDescent="0.3">
      <c r="A837">
        <v>2022</v>
      </c>
      <c r="B837" t="s">
        <v>20</v>
      </c>
      <c r="C837" t="s">
        <v>17</v>
      </c>
      <c r="D837" t="s">
        <v>11</v>
      </c>
      <c r="E837">
        <v>2.38</v>
      </c>
      <c r="F837">
        <v>156.80000000000001</v>
      </c>
      <c r="G837">
        <v>3.81</v>
      </c>
    </row>
    <row r="838" spans="1:7" x14ac:dyDescent="0.3">
      <c r="A838">
        <v>2022</v>
      </c>
      <c r="B838" t="s">
        <v>20</v>
      </c>
      <c r="C838" t="s">
        <v>17</v>
      </c>
      <c r="D838" t="s">
        <v>12</v>
      </c>
      <c r="E838">
        <v>6.53</v>
      </c>
      <c r="F838">
        <v>158.80000000000001</v>
      </c>
      <c r="G838">
        <v>3.89</v>
      </c>
    </row>
    <row r="839" spans="1:7" x14ac:dyDescent="0.3">
      <c r="A839">
        <v>2022</v>
      </c>
      <c r="B839" t="s">
        <v>20</v>
      </c>
      <c r="C839" t="s">
        <v>17</v>
      </c>
      <c r="D839" t="s">
        <v>13</v>
      </c>
      <c r="E839">
        <v>10.07</v>
      </c>
      <c r="F839">
        <v>160.80000000000001</v>
      </c>
      <c r="G839">
        <v>3.97</v>
      </c>
    </row>
    <row r="840" spans="1:7" x14ac:dyDescent="0.3">
      <c r="A840">
        <v>2022</v>
      </c>
      <c r="B840" t="s">
        <v>20</v>
      </c>
      <c r="C840" t="s">
        <v>17</v>
      </c>
      <c r="D840" t="s">
        <v>14</v>
      </c>
      <c r="E840">
        <v>6.84</v>
      </c>
      <c r="F840">
        <v>162.80000000000001</v>
      </c>
      <c r="G840">
        <v>4.05</v>
      </c>
    </row>
    <row r="841" spans="1:7" x14ac:dyDescent="0.3">
      <c r="A841">
        <v>2022</v>
      </c>
      <c r="B841" t="s">
        <v>20</v>
      </c>
      <c r="C841" t="s">
        <v>17</v>
      </c>
      <c r="D841" t="s">
        <v>15</v>
      </c>
      <c r="E841">
        <v>28.32</v>
      </c>
      <c r="F841">
        <v>164.8</v>
      </c>
      <c r="G841">
        <v>4.13</v>
      </c>
    </row>
    <row r="842" spans="1:7" x14ac:dyDescent="0.3">
      <c r="A842">
        <v>2022</v>
      </c>
      <c r="B842" t="s">
        <v>21</v>
      </c>
      <c r="C842" t="s">
        <v>8</v>
      </c>
      <c r="D842" t="s">
        <v>9</v>
      </c>
      <c r="E842">
        <v>100</v>
      </c>
      <c r="F842">
        <v>152</v>
      </c>
      <c r="G842">
        <v>3.8</v>
      </c>
    </row>
    <row r="843" spans="1:7" x14ac:dyDescent="0.3">
      <c r="A843">
        <v>2022</v>
      </c>
      <c r="B843" t="s">
        <v>21</v>
      </c>
      <c r="C843" t="s">
        <v>8</v>
      </c>
      <c r="D843" t="s">
        <v>10</v>
      </c>
      <c r="E843">
        <v>45.86</v>
      </c>
      <c r="F843">
        <v>154</v>
      </c>
      <c r="G843">
        <v>3.88</v>
      </c>
    </row>
    <row r="844" spans="1:7" x14ac:dyDescent="0.3">
      <c r="A844">
        <v>2022</v>
      </c>
      <c r="B844" t="s">
        <v>21</v>
      </c>
      <c r="C844" t="s">
        <v>8</v>
      </c>
      <c r="D844" t="s">
        <v>11</v>
      </c>
      <c r="E844">
        <v>2.38</v>
      </c>
      <c r="F844">
        <v>156</v>
      </c>
      <c r="G844">
        <v>3.96</v>
      </c>
    </row>
    <row r="845" spans="1:7" x14ac:dyDescent="0.3">
      <c r="A845">
        <v>2022</v>
      </c>
      <c r="B845" t="s">
        <v>21</v>
      </c>
      <c r="C845" t="s">
        <v>8</v>
      </c>
      <c r="D845" t="s">
        <v>12</v>
      </c>
      <c r="E845">
        <v>6.53</v>
      </c>
      <c r="F845">
        <v>158</v>
      </c>
      <c r="G845">
        <v>4.04</v>
      </c>
    </row>
    <row r="846" spans="1:7" x14ac:dyDescent="0.3">
      <c r="A846">
        <v>2022</v>
      </c>
      <c r="B846" t="s">
        <v>21</v>
      </c>
      <c r="C846" t="s">
        <v>8</v>
      </c>
      <c r="D846" t="s">
        <v>13</v>
      </c>
      <c r="E846">
        <v>10.07</v>
      </c>
      <c r="F846">
        <v>160</v>
      </c>
      <c r="G846">
        <v>4.12</v>
      </c>
    </row>
    <row r="847" spans="1:7" x14ac:dyDescent="0.3">
      <c r="A847">
        <v>2022</v>
      </c>
      <c r="B847" t="s">
        <v>21</v>
      </c>
      <c r="C847" t="s">
        <v>8</v>
      </c>
      <c r="D847" t="s">
        <v>14</v>
      </c>
      <c r="E847">
        <v>6.84</v>
      </c>
      <c r="F847">
        <v>162</v>
      </c>
      <c r="G847">
        <v>4.2</v>
      </c>
    </row>
    <row r="848" spans="1:7" x14ac:dyDescent="0.3">
      <c r="A848">
        <v>2022</v>
      </c>
      <c r="B848" t="s">
        <v>21</v>
      </c>
      <c r="C848" t="s">
        <v>8</v>
      </c>
      <c r="D848" t="s">
        <v>15</v>
      </c>
      <c r="E848">
        <v>28.32</v>
      </c>
      <c r="F848">
        <v>164</v>
      </c>
      <c r="G848">
        <v>4.28</v>
      </c>
    </row>
    <row r="849" spans="1:7" x14ac:dyDescent="0.3">
      <c r="A849">
        <v>2022</v>
      </c>
      <c r="B849" t="s">
        <v>21</v>
      </c>
      <c r="C849" t="s">
        <v>16</v>
      </c>
      <c r="D849" t="s">
        <v>9</v>
      </c>
      <c r="E849">
        <v>100</v>
      </c>
      <c r="F849">
        <v>152.6</v>
      </c>
      <c r="G849">
        <v>3.8</v>
      </c>
    </row>
    <row r="850" spans="1:7" x14ac:dyDescent="0.3">
      <c r="A850">
        <v>2022</v>
      </c>
      <c r="B850" t="s">
        <v>21</v>
      </c>
      <c r="C850" t="s">
        <v>16</v>
      </c>
      <c r="D850" t="s">
        <v>10</v>
      </c>
      <c r="E850">
        <v>45.86</v>
      </c>
      <c r="F850">
        <v>154.6</v>
      </c>
      <c r="G850">
        <v>3.88</v>
      </c>
    </row>
    <row r="851" spans="1:7" x14ac:dyDescent="0.3">
      <c r="A851">
        <v>2022</v>
      </c>
      <c r="B851" t="s">
        <v>21</v>
      </c>
      <c r="C851" t="s">
        <v>16</v>
      </c>
      <c r="D851" t="s">
        <v>11</v>
      </c>
      <c r="E851">
        <v>2.38</v>
      </c>
      <c r="F851">
        <v>156.6</v>
      </c>
      <c r="G851">
        <v>3.96</v>
      </c>
    </row>
    <row r="852" spans="1:7" x14ac:dyDescent="0.3">
      <c r="A852">
        <v>2022</v>
      </c>
      <c r="B852" t="s">
        <v>21</v>
      </c>
      <c r="C852" t="s">
        <v>16</v>
      </c>
      <c r="D852" t="s">
        <v>12</v>
      </c>
      <c r="E852">
        <v>6.53</v>
      </c>
      <c r="F852">
        <v>158.6</v>
      </c>
      <c r="G852">
        <v>4.04</v>
      </c>
    </row>
    <row r="853" spans="1:7" x14ac:dyDescent="0.3">
      <c r="A853">
        <v>2022</v>
      </c>
      <c r="B853" t="s">
        <v>21</v>
      </c>
      <c r="C853" t="s">
        <v>16</v>
      </c>
      <c r="D853" t="s">
        <v>13</v>
      </c>
      <c r="E853">
        <v>10.07</v>
      </c>
      <c r="F853">
        <v>160.6</v>
      </c>
      <c r="G853">
        <v>4.12</v>
      </c>
    </row>
    <row r="854" spans="1:7" x14ac:dyDescent="0.3">
      <c r="A854">
        <v>2022</v>
      </c>
      <c r="B854" t="s">
        <v>21</v>
      </c>
      <c r="C854" t="s">
        <v>16</v>
      </c>
      <c r="D854" t="s">
        <v>14</v>
      </c>
      <c r="E854">
        <v>6.84</v>
      </c>
      <c r="F854">
        <v>162.6</v>
      </c>
      <c r="G854">
        <v>4.2</v>
      </c>
    </row>
    <row r="855" spans="1:7" x14ac:dyDescent="0.3">
      <c r="A855">
        <v>2022</v>
      </c>
      <c r="B855" t="s">
        <v>21</v>
      </c>
      <c r="C855" t="s">
        <v>16</v>
      </c>
      <c r="D855" t="s">
        <v>15</v>
      </c>
      <c r="E855">
        <v>28.32</v>
      </c>
      <c r="F855">
        <v>164.6</v>
      </c>
      <c r="G855">
        <v>4.28</v>
      </c>
    </row>
    <row r="856" spans="1:7" x14ac:dyDescent="0.3">
      <c r="A856">
        <v>2022</v>
      </c>
      <c r="B856" t="s">
        <v>21</v>
      </c>
      <c r="C856" t="s">
        <v>17</v>
      </c>
      <c r="D856" t="s">
        <v>9</v>
      </c>
      <c r="E856">
        <v>100</v>
      </c>
      <c r="F856">
        <v>153.19999999999999</v>
      </c>
      <c r="G856">
        <v>3.8</v>
      </c>
    </row>
    <row r="857" spans="1:7" x14ac:dyDescent="0.3">
      <c r="A857">
        <v>2022</v>
      </c>
      <c r="B857" t="s">
        <v>21</v>
      </c>
      <c r="C857" t="s">
        <v>17</v>
      </c>
      <c r="D857" t="s">
        <v>10</v>
      </c>
      <c r="E857">
        <v>45.86</v>
      </c>
      <c r="F857">
        <v>155.19999999999999</v>
      </c>
      <c r="G857">
        <v>3.88</v>
      </c>
    </row>
    <row r="858" spans="1:7" x14ac:dyDescent="0.3">
      <c r="A858">
        <v>2022</v>
      </c>
      <c r="B858" t="s">
        <v>21</v>
      </c>
      <c r="C858" t="s">
        <v>17</v>
      </c>
      <c r="D858" t="s">
        <v>11</v>
      </c>
      <c r="E858">
        <v>2.38</v>
      </c>
      <c r="F858">
        <v>157.19999999999999</v>
      </c>
      <c r="G858">
        <v>3.96</v>
      </c>
    </row>
    <row r="859" spans="1:7" x14ac:dyDescent="0.3">
      <c r="A859">
        <v>2022</v>
      </c>
      <c r="B859" t="s">
        <v>21</v>
      </c>
      <c r="C859" t="s">
        <v>17</v>
      </c>
      <c r="D859" t="s">
        <v>12</v>
      </c>
      <c r="E859">
        <v>6.53</v>
      </c>
      <c r="F859">
        <v>159.19999999999999</v>
      </c>
      <c r="G859">
        <v>4.04</v>
      </c>
    </row>
    <row r="860" spans="1:7" x14ac:dyDescent="0.3">
      <c r="A860">
        <v>2022</v>
      </c>
      <c r="B860" t="s">
        <v>21</v>
      </c>
      <c r="C860" t="s">
        <v>17</v>
      </c>
      <c r="D860" t="s">
        <v>13</v>
      </c>
      <c r="E860">
        <v>10.07</v>
      </c>
      <c r="F860">
        <v>161.19999999999999</v>
      </c>
      <c r="G860">
        <v>4.12</v>
      </c>
    </row>
    <row r="861" spans="1:7" x14ac:dyDescent="0.3">
      <c r="A861">
        <v>2022</v>
      </c>
      <c r="B861" t="s">
        <v>21</v>
      </c>
      <c r="C861" t="s">
        <v>17</v>
      </c>
      <c r="D861" t="s">
        <v>14</v>
      </c>
      <c r="E861">
        <v>6.84</v>
      </c>
      <c r="F861">
        <v>163.19999999999999</v>
      </c>
      <c r="G861">
        <v>4.2</v>
      </c>
    </row>
    <row r="862" spans="1:7" x14ac:dyDescent="0.3">
      <c r="A862">
        <v>2022</v>
      </c>
      <c r="B862" t="s">
        <v>21</v>
      </c>
      <c r="C862" t="s">
        <v>17</v>
      </c>
      <c r="D862" t="s">
        <v>15</v>
      </c>
      <c r="E862">
        <v>28.32</v>
      </c>
      <c r="F862">
        <v>165.2</v>
      </c>
      <c r="G862">
        <v>4.28</v>
      </c>
    </row>
    <row r="863" spans="1:7" x14ac:dyDescent="0.3">
      <c r="A863">
        <v>2022</v>
      </c>
      <c r="B863" t="s">
        <v>22</v>
      </c>
      <c r="C863" t="s">
        <v>8</v>
      </c>
      <c r="D863" t="s">
        <v>9</v>
      </c>
      <c r="E863">
        <v>100</v>
      </c>
      <c r="F863">
        <v>152.4</v>
      </c>
      <c r="G863">
        <v>3.05</v>
      </c>
    </row>
    <row r="864" spans="1:7" x14ac:dyDescent="0.3">
      <c r="A864">
        <v>2022</v>
      </c>
      <c r="B864" t="s">
        <v>22</v>
      </c>
      <c r="C864" t="s">
        <v>8</v>
      </c>
      <c r="D864" t="s">
        <v>10</v>
      </c>
      <c r="E864">
        <v>45.86</v>
      </c>
      <c r="F864">
        <v>154.4</v>
      </c>
      <c r="G864">
        <v>3.13</v>
      </c>
    </row>
    <row r="865" spans="1:7" x14ac:dyDescent="0.3">
      <c r="A865">
        <v>2022</v>
      </c>
      <c r="B865" t="s">
        <v>22</v>
      </c>
      <c r="C865" t="s">
        <v>8</v>
      </c>
      <c r="D865" t="s">
        <v>11</v>
      </c>
      <c r="E865">
        <v>2.38</v>
      </c>
      <c r="F865">
        <v>156.4</v>
      </c>
      <c r="G865">
        <v>3.21</v>
      </c>
    </row>
    <row r="866" spans="1:7" x14ac:dyDescent="0.3">
      <c r="A866">
        <v>2022</v>
      </c>
      <c r="B866" t="s">
        <v>22</v>
      </c>
      <c r="C866" t="s">
        <v>8</v>
      </c>
      <c r="D866" t="s">
        <v>12</v>
      </c>
      <c r="E866">
        <v>6.53</v>
      </c>
      <c r="F866">
        <v>158.4</v>
      </c>
      <c r="G866">
        <v>3.29</v>
      </c>
    </row>
    <row r="867" spans="1:7" x14ac:dyDescent="0.3">
      <c r="A867">
        <v>2022</v>
      </c>
      <c r="B867" t="s">
        <v>22</v>
      </c>
      <c r="C867" t="s">
        <v>8</v>
      </c>
      <c r="D867" t="s">
        <v>13</v>
      </c>
      <c r="E867">
        <v>10.07</v>
      </c>
      <c r="F867">
        <v>160.4</v>
      </c>
      <c r="G867">
        <v>3.37</v>
      </c>
    </row>
    <row r="868" spans="1:7" x14ac:dyDescent="0.3">
      <c r="A868">
        <v>2022</v>
      </c>
      <c r="B868" t="s">
        <v>22</v>
      </c>
      <c r="C868" t="s">
        <v>8</v>
      </c>
      <c r="D868" t="s">
        <v>14</v>
      </c>
      <c r="E868">
        <v>6.84</v>
      </c>
      <c r="F868">
        <v>162.4</v>
      </c>
      <c r="G868">
        <v>3.45</v>
      </c>
    </row>
    <row r="869" spans="1:7" x14ac:dyDescent="0.3">
      <c r="A869">
        <v>2022</v>
      </c>
      <c r="B869" t="s">
        <v>22</v>
      </c>
      <c r="C869" t="s">
        <v>8</v>
      </c>
      <c r="D869" t="s">
        <v>15</v>
      </c>
      <c r="E869">
        <v>28.32</v>
      </c>
      <c r="F869">
        <v>164.4</v>
      </c>
      <c r="G869">
        <v>3.53</v>
      </c>
    </row>
    <row r="870" spans="1:7" x14ac:dyDescent="0.3">
      <c r="A870">
        <v>2022</v>
      </c>
      <c r="B870" t="s">
        <v>22</v>
      </c>
      <c r="C870" t="s">
        <v>16</v>
      </c>
      <c r="D870" t="s">
        <v>9</v>
      </c>
      <c r="E870">
        <v>100</v>
      </c>
      <c r="F870">
        <v>153</v>
      </c>
      <c r="G870">
        <v>3.05</v>
      </c>
    </row>
    <row r="871" spans="1:7" x14ac:dyDescent="0.3">
      <c r="A871">
        <v>2022</v>
      </c>
      <c r="B871" t="s">
        <v>22</v>
      </c>
      <c r="C871" t="s">
        <v>16</v>
      </c>
      <c r="D871" t="s">
        <v>10</v>
      </c>
      <c r="E871">
        <v>45.86</v>
      </c>
      <c r="F871">
        <v>155</v>
      </c>
      <c r="G871">
        <v>3.13</v>
      </c>
    </row>
    <row r="872" spans="1:7" x14ac:dyDescent="0.3">
      <c r="A872">
        <v>2022</v>
      </c>
      <c r="B872" t="s">
        <v>22</v>
      </c>
      <c r="C872" t="s">
        <v>16</v>
      </c>
      <c r="D872" t="s">
        <v>11</v>
      </c>
      <c r="E872">
        <v>2.38</v>
      </c>
      <c r="F872">
        <v>157</v>
      </c>
      <c r="G872">
        <v>3.21</v>
      </c>
    </row>
    <row r="873" spans="1:7" x14ac:dyDescent="0.3">
      <c r="A873">
        <v>2022</v>
      </c>
      <c r="B873" t="s">
        <v>22</v>
      </c>
      <c r="C873" t="s">
        <v>16</v>
      </c>
      <c r="D873" t="s">
        <v>12</v>
      </c>
      <c r="E873">
        <v>6.53</v>
      </c>
      <c r="F873">
        <v>159</v>
      </c>
      <c r="G873">
        <v>3.29</v>
      </c>
    </row>
    <row r="874" spans="1:7" x14ac:dyDescent="0.3">
      <c r="A874">
        <v>2022</v>
      </c>
      <c r="B874" t="s">
        <v>22</v>
      </c>
      <c r="C874" t="s">
        <v>16</v>
      </c>
      <c r="D874" t="s">
        <v>13</v>
      </c>
      <c r="E874">
        <v>10.07</v>
      </c>
      <c r="F874">
        <v>161</v>
      </c>
      <c r="G874">
        <v>3.37</v>
      </c>
    </row>
    <row r="875" spans="1:7" x14ac:dyDescent="0.3">
      <c r="A875">
        <v>2022</v>
      </c>
      <c r="B875" t="s">
        <v>22</v>
      </c>
      <c r="C875" t="s">
        <v>16</v>
      </c>
      <c r="D875" t="s">
        <v>14</v>
      </c>
      <c r="E875">
        <v>6.84</v>
      </c>
      <c r="F875">
        <v>163</v>
      </c>
      <c r="G875">
        <v>3.45</v>
      </c>
    </row>
    <row r="876" spans="1:7" x14ac:dyDescent="0.3">
      <c r="A876">
        <v>2022</v>
      </c>
      <c r="B876" t="s">
        <v>22</v>
      </c>
      <c r="C876" t="s">
        <v>16</v>
      </c>
      <c r="D876" t="s">
        <v>15</v>
      </c>
      <c r="E876">
        <v>28.32</v>
      </c>
      <c r="F876">
        <v>165</v>
      </c>
      <c r="G876">
        <v>3.53</v>
      </c>
    </row>
    <row r="877" spans="1:7" x14ac:dyDescent="0.3">
      <c r="A877">
        <v>2022</v>
      </c>
      <c r="B877" t="s">
        <v>22</v>
      </c>
      <c r="C877" t="s">
        <v>17</v>
      </c>
      <c r="D877" t="s">
        <v>9</v>
      </c>
      <c r="E877">
        <v>100</v>
      </c>
      <c r="F877">
        <v>153.6</v>
      </c>
      <c r="G877">
        <v>3.05</v>
      </c>
    </row>
    <row r="878" spans="1:7" x14ac:dyDescent="0.3">
      <c r="A878">
        <v>2022</v>
      </c>
      <c r="B878" t="s">
        <v>22</v>
      </c>
      <c r="C878" t="s">
        <v>17</v>
      </c>
      <c r="D878" t="s">
        <v>10</v>
      </c>
      <c r="E878">
        <v>45.86</v>
      </c>
      <c r="F878">
        <v>155.6</v>
      </c>
      <c r="G878">
        <v>3.13</v>
      </c>
    </row>
    <row r="879" spans="1:7" x14ac:dyDescent="0.3">
      <c r="A879">
        <v>2022</v>
      </c>
      <c r="B879" t="s">
        <v>22</v>
      </c>
      <c r="C879" t="s">
        <v>17</v>
      </c>
      <c r="D879" t="s">
        <v>11</v>
      </c>
      <c r="E879">
        <v>2.38</v>
      </c>
      <c r="F879">
        <v>157.6</v>
      </c>
      <c r="G879">
        <v>3.21</v>
      </c>
    </row>
    <row r="880" spans="1:7" x14ac:dyDescent="0.3">
      <c r="A880">
        <v>2022</v>
      </c>
      <c r="B880" t="s">
        <v>22</v>
      </c>
      <c r="C880" t="s">
        <v>17</v>
      </c>
      <c r="D880" t="s">
        <v>12</v>
      </c>
      <c r="E880">
        <v>6.53</v>
      </c>
      <c r="F880">
        <v>159.6</v>
      </c>
      <c r="G880">
        <v>3.29</v>
      </c>
    </row>
    <row r="881" spans="1:7" x14ac:dyDescent="0.3">
      <c r="A881">
        <v>2022</v>
      </c>
      <c r="B881" t="s">
        <v>22</v>
      </c>
      <c r="C881" t="s">
        <v>17</v>
      </c>
      <c r="D881" t="s">
        <v>13</v>
      </c>
      <c r="E881">
        <v>10.07</v>
      </c>
      <c r="F881">
        <v>161.6</v>
      </c>
      <c r="G881">
        <v>3.37</v>
      </c>
    </row>
    <row r="882" spans="1:7" x14ac:dyDescent="0.3">
      <c r="A882">
        <v>2022</v>
      </c>
      <c r="B882" t="s">
        <v>22</v>
      </c>
      <c r="C882" t="s">
        <v>17</v>
      </c>
      <c r="D882" t="s">
        <v>14</v>
      </c>
      <c r="E882">
        <v>6.84</v>
      </c>
      <c r="F882">
        <v>163.6</v>
      </c>
      <c r="G882">
        <v>3.45</v>
      </c>
    </row>
    <row r="883" spans="1:7" x14ac:dyDescent="0.3">
      <c r="A883">
        <v>2022</v>
      </c>
      <c r="B883" t="s">
        <v>22</v>
      </c>
      <c r="C883" t="s">
        <v>17</v>
      </c>
      <c r="D883" t="s">
        <v>15</v>
      </c>
      <c r="E883">
        <v>28.32</v>
      </c>
      <c r="F883">
        <v>165.6</v>
      </c>
      <c r="G883">
        <v>3.53</v>
      </c>
    </row>
    <row r="884" spans="1:7" x14ac:dyDescent="0.3">
      <c r="A884">
        <v>2022</v>
      </c>
      <c r="B884" t="s">
        <v>23</v>
      </c>
      <c r="C884" t="s">
        <v>8</v>
      </c>
      <c r="D884" t="s">
        <v>9</v>
      </c>
      <c r="E884">
        <v>100</v>
      </c>
      <c r="F884">
        <v>152.80000000000001</v>
      </c>
      <c r="G884">
        <v>3.2</v>
      </c>
    </row>
    <row r="885" spans="1:7" x14ac:dyDescent="0.3">
      <c r="A885">
        <v>2022</v>
      </c>
      <c r="B885" t="s">
        <v>23</v>
      </c>
      <c r="C885" t="s">
        <v>8</v>
      </c>
      <c r="D885" t="s">
        <v>10</v>
      </c>
      <c r="E885">
        <v>45.86</v>
      </c>
      <c r="F885">
        <v>154.80000000000001</v>
      </c>
      <c r="G885">
        <v>3.28</v>
      </c>
    </row>
    <row r="886" spans="1:7" x14ac:dyDescent="0.3">
      <c r="A886">
        <v>2022</v>
      </c>
      <c r="B886" t="s">
        <v>23</v>
      </c>
      <c r="C886" t="s">
        <v>8</v>
      </c>
      <c r="D886" t="s">
        <v>11</v>
      </c>
      <c r="E886">
        <v>2.38</v>
      </c>
      <c r="F886">
        <v>156.80000000000001</v>
      </c>
      <c r="G886">
        <v>3.36</v>
      </c>
    </row>
    <row r="887" spans="1:7" x14ac:dyDescent="0.3">
      <c r="A887">
        <v>2022</v>
      </c>
      <c r="B887" t="s">
        <v>23</v>
      </c>
      <c r="C887" t="s">
        <v>8</v>
      </c>
      <c r="D887" t="s">
        <v>12</v>
      </c>
      <c r="E887">
        <v>6.53</v>
      </c>
      <c r="F887">
        <v>158.80000000000001</v>
      </c>
      <c r="G887">
        <v>3.44</v>
      </c>
    </row>
    <row r="888" spans="1:7" x14ac:dyDescent="0.3">
      <c r="A888">
        <v>2022</v>
      </c>
      <c r="B888" t="s">
        <v>23</v>
      </c>
      <c r="C888" t="s">
        <v>8</v>
      </c>
      <c r="D888" t="s">
        <v>13</v>
      </c>
      <c r="E888">
        <v>10.07</v>
      </c>
      <c r="F888">
        <v>160.80000000000001</v>
      </c>
      <c r="G888">
        <v>3.52</v>
      </c>
    </row>
    <row r="889" spans="1:7" x14ac:dyDescent="0.3">
      <c r="A889">
        <v>2022</v>
      </c>
      <c r="B889" t="s">
        <v>23</v>
      </c>
      <c r="C889" t="s">
        <v>8</v>
      </c>
      <c r="D889" t="s">
        <v>14</v>
      </c>
      <c r="E889">
        <v>6.84</v>
      </c>
      <c r="F889">
        <v>162.80000000000001</v>
      </c>
      <c r="G889">
        <v>3.6</v>
      </c>
    </row>
    <row r="890" spans="1:7" x14ac:dyDescent="0.3">
      <c r="A890">
        <v>2022</v>
      </c>
      <c r="B890" t="s">
        <v>23</v>
      </c>
      <c r="C890" t="s">
        <v>8</v>
      </c>
      <c r="D890" t="s">
        <v>15</v>
      </c>
      <c r="E890">
        <v>28.32</v>
      </c>
      <c r="F890">
        <v>164.8</v>
      </c>
      <c r="G890">
        <v>3.68</v>
      </c>
    </row>
    <row r="891" spans="1:7" x14ac:dyDescent="0.3">
      <c r="A891">
        <v>2022</v>
      </c>
      <c r="B891" t="s">
        <v>23</v>
      </c>
      <c r="C891" t="s">
        <v>16</v>
      </c>
      <c r="D891" t="s">
        <v>9</v>
      </c>
      <c r="E891">
        <v>100</v>
      </c>
      <c r="F891">
        <v>153.4</v>
      </c>
      <c r="G891">
        <v>3.2</v>
      </c>
    </row>
    <row r="892" spans="1:7" x14ac:dyDescent="0.3">
      <c r="A892">
        <v>2022</v>
      </c>
      <c r="B892" t="s">
        <v>23</v>
      </c>
      <c r="C892" t="s">
        <v>16</v>
      </c>
      <c r="D892" t="s">
        <v>10</v>
      </c>
      <c r="E892">
        <v>45.86</v>
      </c>
      <c r="F892">
        <v>155.4</v>
      </c>
      <c r="G892">
        <v>3.28</v>
      </c>
    </row>
    <row r="893" spans="1:7" x14ac:dyDescent="0.3">
      <c r="A893">
        <v>2022</v>
      </c>
      <c r="B893" t="s">
        <v>23</v>
      </c>
      <c r="C893" t="s">
        <v>16</v>
      </c>
      <c r="D893" t="s">
        <v>11</v>
      </c>
      <c r="E893">
        <v>2.38</v>
      </c>
      <c r="F893">
        <v>157.4</v>
      </c>
      <c r="G893">
        <v>3.36</v>
      </c>
    </row>
    <row r="894" spans="1:7" x14ac:dyDescent="0.3">
      <c r="A894">
        <v>2022</v>
      </c>
      <c r="B894" t="s">
        <v>23</v>
      </c>
      <c r="C894" t="s">
        <v>16</v>
      </c>
      <c r="D894" t="s">
        <v>12</v>
      </c>
      <c r="E894">
        <v>6.53</v>
      </c>
      <c r="F894">
        <v>159.4</v>
      </c>
      <c r="G894">
        <v>3.44</v>
      </c>
    </row>
    <row r="895" spans="1:7" x14ac:dyDescent="0.3">
      <c r="A895">
        <v>2022</v>
      </c>
      <c r="B895" t="s">
        <v>23</v>
      </c>
      <c r="C895" t="s">
        <v>16</v>
      </c>
      <c r="D895" t="s">
        <v>13</v>
      </c>
      <c r="E895">
        <v>10.07</v>
      </c>
      <c r="F895">
        <v>161.4</v>
      </c>
      <c r="G895">
        <v>3.52</v>
      </c>
    </row>
    <row r="896" spans="1:7" x14ac:dyDescent="0.3">
      <c r="A896">
        <v>2022</v>
      </c>
      <c r="B896" t="s">
        <v>23</v>
      </c>
      <c r="C896" t="s">
        <v>16</v>
      </c>
      <c r="D896" t="s">
        <v>14</v>
      </c>
      <c r="E896">
        <v>6.84</v>
      </c>
      <c r="F896">
        <v>163.4</v>
      </c>
      <c r="G896">
        <v>3.6</v>
      </c>
    </row>
    <row r="897" spans="1:7" x14ac:dyDescent="0.3">
      <c r="A897">
        <v>2022</v>
      </c>
      <c r="B897" t="s">
        <v>23</v>
      </c>
      <c r="C897" t="s">
        <v>16</v>
      </c>
      <c r="D897" t="s">
        <v>15</v>
      </c>
      <c r="E897">
        <v>28.32</v>
      </c>
      <c r="F897">
        <v>165.4</v>
      </c>
      <c r="G897">
        <v>3.68</v>
      </c>
    </row>
    <row r="898" spans="1:7" x14ac:dyDescent="0.3">
      <c r="A898">
        <v>2022</v>
      </c>
      <c r="B898" t="s">
        <v>23</v>
      </c>
      <c r="C898" t="s">
        <v>17</v>
      </c>
      <c r="D898" t="s">
        <v>9</v>
      </c>
      <c r="E898">
        <v>100</v>
      </c>
      <c r="F898">
        <v>154</v>
      </c>
      <c r="G898">
        <v>3.2</v>
      </c>
    </row>
    <row r="899" spans="1:7" x14ac:dyDescent="0.3">
      <c r="A899">
        <v>2022</v>
      </c>
      <c r="B899" t="s">
        <v>23</v>
      </c>
      <c r="C899" t="s">
        <v>17</v>
      </c>
      <c r="D899" t="s">
        <v>10</v>
      </c>
      <c r="E899">
        <v>45.86</v>
      </c>
      <c r="F899">
        <v>156</v>
      </c>
      <c r="G899">
        <v>3.28</v>
      </c>
    </row>
    <row r="900" spans="1:7" x14ac:dyDescent="0.3">
      <c r="A900">
        <v>2022</v>
      </c>
      <c r="B900" t="s">
        <v>23</v>
      </c>
      <c r="C900" t="s">
        <v>17</v>
      </c>
      <c r="D900" t="s">
        <v>11</v>
      </c>
      <c r="E900">
        <v>2.38</v>
      </c>
      <c r="F900">
        <v>158</v>
      </c>
      <c r="G900">
        <v>3.36</v>
      </c>
    </row>
    <row r="901" spans="1:7" x14ac:dyDescent="0.3">
      <c r="A901">
        <v>2022</v>
      </c>
      <c r="B901" t="s">
        <v>23</v>
      </c>
      <c r="C901" t="s">
        <v>17</v>
      </c>
      <c r="D901" t="s">
        <v>12</v>
      </c>
      <c r="E901">
        <v>6.53</v>
      </c>
      <c r="F901">
        <v>160</v>
      </c>
      <c r="G901">
        <v>3.44</v>
      </c>
    </row>
    <row r="902" spans="1:7" x14ac:dyDescent="0.3">
      <c r="A902">
        <v>2022</v>
      </c>
      <c r="B902" t="s">
        <v>23</v>
      </c>
      <c r="C902" t="s">
        <v>17</v>
      </c>
      <c r="D902" t="s">
        <v>13</v>
      </c>
      <c r="E902">
        <v>10.07</v>
      </c>
      <c r="F902">
        <v>162</v>
      </c>
      <c r="G902">
        <v>3.52</v>
      </c>
    </row>
    <row r="903" spans="1:7" x14ac:dyDescent="0.3">
      <c r="A903">
        <v>2022</v>
      </c>
      <c r="B903" t="s">
        <v>23</v>
      </c>
      <c r="C903" t="s">
        <v>17</v>
      </c>
      <c r="D903" t="s">
        <v>14</v>
      </c>
      <c r="E903">
        <v>6.84</v>
      </c>
      <c r="F903">
        <v>164</v>
      </c>
      <c r="G903">
        <v>3.6</v>
      </c>
    </row>
    <row r="904" spans="1:7" x14ac:dyDescent="0.3">
      <c r="A904">
        <v>2022</v>
      </c>
      <c r="B904" t="s">
        <v>23</v>
      </c>
      <c r="C904" t="s">
        <v>17</v>
      </c>
      <c r="D904" t="s">
        <v>15</v>
      </c>
      <c r="E904">
        <v>28.32</v>
      </c>
      <c r="F904">
        <v>166</v>
      </c>
      <c r="G904">
        <v>3.68</v>
      </c>
    </row>
    <row r="905" spans="1:7" x14ac:dyDescent="0.3">
      <c r="A905">
        <v>2022</v>
      </c>
      <c r="B905" t="s">
        <v>24</v>
      </c>
      <c r="C905" t="s">
        <v>8</v>
      </c>
      <c r="D905" t="s">
        <v>9</v>
      </c>
      <c r="E905">
        <v>100</v>
      </c>
      <c r="F905">
        <v>153.19999999999999</v>
      </c>
      <c r="G905">
        <v>3.35</v>
      </c>
    </row>
    <row r="906" spans="1:7" x14ac:dyDescent="0.3">
      <c r="A906">
        <v>2022</v>
      </c>
      <c r="B906" t="s">
        <v>24</v>
      </c>
      <c r="C906" t="s">
        <v>8</v>
      </c>
      <c r="D906" t="s">
        <v>10</v>
      </c>
      <c r="E906">
        <v>45.86</v>
      </c>
      <c r="F906">
        <v>155.19999999999999</v>
      </c>
      <c r="G906">
        <v>3.43</v>
      </c>
    </row>
    <row r="907" spans="1:7" x14ac:dyDescent="0.3">
      <c r="A907">
        <v>2022</v>
      </c>
      <c r="B907" t="s">
        <v>24</v>
      </c>
      <c r="C907" t="s">
        <v>8</v>
      </c>
      <c r="D907" t="s">
        <v>11</v>
      </c>
      <c r="E907">
        <v>2.38</v>
      </c>
      <c r="F907">
        <v>157.19999999999999</v>
      </c>
      <c r="G907">
        <v>3.51</v>
      </c>
    </row>
    <row r="908" spans="1:7" x14ac:dyDescent="0.3">
      <c r="A908">
        <v>2022</v>
      </c>
      <c r="B908" t="s">
        <v>24</v>
      </c>
      <c r="C908" t="s">
        <v>8</v>
      </c>
      <c r="D908" t="s">
        <v>12</v>
      </c>
      <c r="E908">
        <v>6.53</v>
      </c>
      <c r="F908">
        <v>159.19999999999999</v>
      </c>
      <c r="G908">
        <v>3.59</v>
      </c>
    </row>
    <row r="909" spans="1:7" x14ac:dyDescent="0.3">
      <c r="A909">
        <v>2022</v>
      </c>
      <c r="B909" t="s">
        <v>24</v>
      </c>
      <c r="C909" t="s">
        <v>8</v>
      </c>
      <c r="D909" t="s">
        <v>13</v>
      </c>
      <c r="E909">
        <v>10.07</v>
      </c>
      <c r="F909">
        <v>161.19999999999999</v>
      </c>
      <c r="G909">
        <v>3.67</v>
      </c>
    </row>
    <row r="910" spans="1:7" x14ac:dyDescent="0.3">
      <c r="A910">
        <v>2022</v>
      </c>
      <c r="B910" t="s">
        <v>24</v>
      </c>
      <c r="C910" t="s">
        <v>8</v>
      </c>
      <c r="D910" t="s">
        <v>14</v>
      </c>
      <c r="E910">
        <v>6.84</v>
      </c>
      <c r="F910">
        <v>163.19999999999999</v>
      </c>
      <c r="G910">
        <v>3.75</v>
      </c>
    </row>
    <row r="911" spans="1:7" x14ac:dyDescent="0.3">
      <c r="A911">
        <v>2022</v>
      </c>
      <c r="B911" t="s">
        <v>24</v>
      </c>
      <c r="C911" t="s">
        <v>8</v>
      </c>
      <c r="D911" t="s">
        <v>15</v>
      </c>
      <c r="E911">
        <v>28.32</v>
      </c>
      <c r="F911">
        <v>165.2</v>
      </c>
      <c r="G911">
        <v>3.83</v>
      </c>
    </row>
    <row r="912" spans="1:7" x14ac:dyDescent="0.3">
      <c r="A912">
        <v>2022</v>
      </c>
      <c r="B912" t="s">
        <v>24</v>
      </c>
      <c r="C912" t="s">
        <v>16</v>
      </c>
      <c r="D912" t="s">
        <v>9</v>
      </c>
      <c r="E912">
        <v>100</v>
      </c>
      <c r="F912">
        <v>153.80000000000001</v>
      </c>
      <c r="G912">
        <v>3.35</v>
      </c>
    </row>
    <row r="913" spans="1:7" x14ac:dyDescent="0.3">
      <c r="A913">
        <v>2022</v>
      </c>
      <c r="B913" t="s">
        <v>24</v>
      </c>
      <c r="C913" t="s">
        <v>16</v>
      </c>
      <c r="D913" t="s">
        <v>10</v>
      </c>
      <c r="E913">
        <v>45.86</v>
      </c>
      <c r="F913">
        <v>155.80000000000001</v>
      </c>
      <c r="G913">
        <v>3.43</v>
      </c>
    </row>
    <row r="914" spans="1:7" x14ac:dyDescent="0.3">
      <c r="A914">
        <v>2022</v>
      </c>
      <c r="B914" t="s">
        <v>24</v>
      </c>
      <c r="C914" t="s">
        <v>16</v>
      </c>
      <c r="D914" t="s">
        <v>11</v>
      </c>
      <c r="E914">
        <v>2.38</v>
      </c>
      <c r="F914">
        <v>157.80000000000001</v>
      </c>
      <c r="G914">
        <v>3.51</v>
      </c>
    </row>
    <row r="915" spans="1:7" x14ac:dyDescent="0.3">
      <c r="A915">
        <v>2022</v>
      </c>
      <c r="B915" t="s">
        <v>24</v>
      </c>
      <c r="C915" t="s">
        <v>16</v>
      </c>
      <c r="D915" t="s">
        <v>12</v>
      </c>
      <c r="E915">
        <v>6.53</v>
      </c>
      <c r="F915">
        <v>159.80000000000001</v>
      </c>
      <c r="G915">
        <v>3.59</v>
      </c>
    </row>
    <row r="916" spans="1:7" x14ac:dyDescent="0.3">
      <c r="A916">
        <v>2022</v>
      </c>
      <c r="B916" t="s">
        <v>24</v>
      </c>
      <c r="C916" t="s">
        <v>16</v>
      </c>
      <c r="D916" t="s">
        <v>13</v>
      </c>
      <c r="E916">
        <v>10.07</v>
      </c>
      <c r="F916">
        <v>161.80000000000001</v>
      </c>
      <c r="G916">
        <v>3.67</v>
      </c>
    </row>
    <row r="917" spans="1:7" x14ac:dyDescent="0.3">
      <c r="A917">
        <v>2022</v>
      </c>
      <c r="B917" t="s">
        <v>24</v>
      </c>
      <c r="C917" t="s">
        <v>16</v>
      </c>
      <c r="D917" t="s">
        <v>14</v>
      </c>
      <c r="E917">
        <v>6.84</v>
      </c>
      <c r="F917">
        <v>163.80000000000001</v>
      </c>
      <c r="G917">
        <v>3.75</v>
      </c>
    </row>
    <row r="918" spans="1:7" x14ac:dyDescent="0.3">
      <c r="A918">
        <v>2022</v>
      </c>
      <c r="B918" t="s">
        <v>24</v>
      </c>
      <c r="C918" t="s">
        <v>16</v>
      </c>
      <c r="D918" t="s">
        <v>15</v>
      </c>
      <c r="E918">
        <v>28.32</v>
      </c>
      <c r="F918">
        <v>165.8</v>
      </c>
      <c r="G918">
        <v>3.83</v>
      </c>
    </row>
    <row r="919" spans="1:7" x14ac:dyDescent="0.3">
      <c r="A919">
        <v>2022</v>
      </c>
      <c r="B919" t="s">
        <v>24</v>
      </c>
      <c r="C919" t="s">
        <v>17</v>
      </c>
      <c r="D919" t="s">
        <v>9</v>
      </c>
      <c r="E919">
        <v>100</v>
      </c>
      <c r="F919">
        <v>154.4</v>
      </c>
      <c r="G919">
        <v>3.35</v>
      </c>
    </row>
    <row r="920" spans="1:7" x14ac:dyDescent="0.3">
      <c r="A920">
        <v>2022</v>
      </c>
      <c r="B920" t="s">
        <v>24</v>
      </c>
      <c r="C920" t="s">
        <v>17</v>
      </c>
      <c r="D920" t="s">
        <v>10</v>
      </c>
      <c r="E920">
        <v>45.86</v>
      </c>
      <c r="F920">
        <v>156.4</v>
      </c>
      <c r="G920">
        <v>3.43</v>
      </c>
    </row>
    <row r="921" spans="1:7" x14ac:dyDescent="0.3">
      <c r="A921">
        <v>2022</v>
      </c>
      <c r="B921" t="s">
        <v>24</v>
      </c>
      <c r="C921" t="s">
        <v>17</v>
      </c>
      <c r="D921" t="s">
        <v>11</v>
      </c>
      <c r="E921">
        <v>2.38</v>
      </c>
      <c r="F921">
        <v>158.4</v>
      </c>
      <c r="G921">
        <v>3.51</v>
      </c>
    </row>
    <row r="922" spans="1:7" x14ac:dyDescent="0.3">
      <c r="A922">
        <v>2022</v>
      </c>
      <c r="B922" t="s">
        <v>24</v>
      </c>
      <c r="C922" t="s">
        <v>17</v>
      </c>
      <c r="D922" t="s">
        <v>12</v>
      </c>
      <c r="E922">
        <v>6.53</v>
      </c>
      <c r="F922">
        <v>160.4</v>
      </c>
      <c r="G922">
        <v>3.59</v>
      </c>
    </row>
    <row r="923" spans="1:7" x14ac:dyDescent="0.3">
      <c r="A923">
        <v>2022</v>
      </c>
      <c r="B923" t="s">
        <v>24</v>
      </c>
      <c r="C923" t="s">
        <v>17</v>
      </c>
      <c r="D923" t="s">
        <v>13</v>
      </c>
      <c r="E923">
        <v>10.07</v>
      </c>
      <c r="F923">
        <v>162.4</v>
      </c>
      <c r="G923">
        <v>3.67</v>
      </c>
    </row>
    <row r="924" spans="1:7" x14ac:dyDescent="0.3">
      <c r="A924">
        <v>2022</v>
      </c>
      <c r="B924" t="s">
        <v>24</v>
      </c>
      <c r="C924" t="s">
        <v>17</v>
      </c>
      <c r="D924" t="s">
        <v>14</v>
      </c>
      <c r="E924">
        <v>6.84</v>
      </c>
      <c r="F924">
        <v>164.4</v>
      </c>
      <c r="G924">
        <v>3.75</v>
      </c>
    </row>
    <row r="925" spans="1:7" x14ac:dyDescent="0.3">
      <c r="A925">
        <v>2022</v>
      </c>
      <c r="B925" t="s">
        <v>24</v>
      </c>
      <c r="C925" t="s">
        <v>17</v>
      </c>
      <c r="D925" t="s">
        <v>15</v>
      </c>
      <c r="E925">
        <v>28.32</v>
      </c>
      <c r="F925">
        <v>166.4</v>
      </c>
      <c r="G925">
        <v>3.83</v>
      </c>
    </row>
    <row r="926" spans="1:7" x14ac:dyDescent="0.3">
      <c r="A926">
        <v>2022</v>
      </c>
      <c r="B926" t="s">
        <v>25</v>
      </c>
      <c r="C926" t="s">
        <v>8</v>
      </c>
      <c r="D926" t="s">
        <v>9</v>
      </c>
      <c r="E926">
        <v>100</v>
      </c>
      <c r="F926">
        <v>153.6</v>
      </c>
      <c r="G926">
        <v>3.5</v>
      </c>
    </row>
    <row r="927" spans="1:7" x14ac:dyDescent="0.3">
      <c r="A927">
        <v>2022</v>
      </c>
      <c r="B927" t="s">
        <v>25</v>
      </c>
      <c r="C927" t="s">
        <v>8</v>
      </c>
      <c r="D927" t="s">
        <v>10</v>
      </c>
      <c r="E927">
        <v>45.86</v>
      </c>
      <c r="F927">
        <v>155.6</v>
      </c>
      <c r="G927">
        <v>3.58</v>
      </c>
    </row>
    <row r="928" spans="1:7" x14ac:dyDescent="0.3">
      <c r="A928">
        <v>2022</v>
      </c>
      <c r="B928" t="s">
        <v>25</v>
      </c>
      <c r="C928" t="s">
        <v>8</v>
      </c>
      <c r="D928" t="s">
        <v>11</v>
      </c>
      <c r="E928">
        <v>2.38</v>
      </c>
      <c r="F928">
        <v>157.6</v>
      </c>
      <c r="G928">
        <v>3.66</v>
      </c>
    </row>
    <row r="929" spans="1:7" x14ac:dyDescent="0.3">
      <c r="A929">
        <v>2022</v>
      </c>
      <c r="B929" t="s">
        <v>25</v>
      </c>
      <c r="C929" t="s">
        <v>8</v>
      </c>
      <c r="D929" t="s">
        <v>12</v>
      </c>
      <c r="E929">
        <v>6.53</v>
      </c>
      <c r="F929">
        <v>159.6</v>
      </c>
      <c r="G929">
        <v>3.74</v>
      </c>
    </row>
    <row r="930" spans="1:7" x14ac:dyDescent="0.3">
      <c r="A930">
        <v>2022</v>
      </c>
      <c r="B930" t="s">
        <v>25</v>
      </c>
      <c r="C930" t="s">
        <v>8</v>
      </c>
      <c r="D930" t="s">
        <v>13</v>
      </c>
      <c r="E930">
        <v>10.07</v>
      </c>
      <c r="F930">
        <v>161.6</v>
      </c>
      <c r="G930">
        <v>3.82</v>
      </c>
    </row>
    <row r="931" spans="1:7" x14ac:dyDescent="0.3">
      <c r="A931">
        <v>2022</v>
      </c>
      <c r="B931" t="s">
        <v>25</v>
      </c>
      <c r="C931" t="s">
        <v>8</v>
      </c>
      <c r="D931" t="s">
        <v>14</v>
      </c>
      <c r="E931">
        <v>6.84</v>
      </c>
      <c r="F931">
        <v>163.6</v>
      </c>
      <c r="G931">
        <v>3.9</v>
      </c>
    </row>
    <row r="932" spans="1:7" x14ac:dyDescent="0.3">
      <c r="A932">
        <v>2022</v>
      </c>
      <c r="B932" t="s">
        <v>25</v>
      </c>
      <c r="C932" t="s">
        <v>8</v>
      </c>
      <c r="D932" t="s">
        <v>15</v>
      </c>
      <c r="E932">
        <v>28.32</v>
      </c>
      <c r="F932">
        <v>165.6</v>
      </c>
      <c r="G932">
        <v>3.98</v>
      </c>
    </row>
    <row r="933" spans="1:7" x14ac:dyDescent="0.3">
      <c r="A933">
        <v>2022</v>
      </c>
      <c r="B933" t="s">
        <v>25</v>
      </c>
      <c r="C933" t="s">
        <v>16</v>
      </c>
      <c r="D933" t="s">
        <v>9</v>
      </c>
      <c r="E933">
        <v>100</v>
      </c>
      <c r="F933">
        <v>154.19999999999999</v>
      </c>
      <c r="G933">
        <v>3.5</v>
      </c>
    </row>
    <row r="934" spans="1:7" x14ac:dyDescent="0.3">
      <c r="A934">
        <v>2022</v>
      </c>
      <c r="B934" t="s">
        <v>25</v>
      </c>
      <c r="C934" t="s">
        <v>16</v>
      </c>
      <c r="D934" t="s">
        <v>10</v>
      </c>
      <c r="E934">
        <v>45.86</v>
      </c>
      <c r="F934">
        <v>156.19999999999999</v>
      </c>
      <c r="G934">
        <v>3.58</v>
      </c>
    </row>
    <row r="935" spans="1:7" x14ac:dyDescent="0.3">
      <c r="A935">
        <v>2022</v>
      </c>
      <c r="B935" t="s">
        <v>25</v>
      </c>
      <c r="C935" t="s">
        <v>16</v>
      </c>
      <c r="D935" t="s">
        <v>11</v>
      </c>
      <c r="E935">
        <v>2.38</v>
      </c>
      <c r="F935">
        <v>158.19999999999999</v>
      </c>
      <c r="G935">
        <v>3.66</v>
      </c>
    </row>
    <row r="936" spans="1:7" x14ac:dyDescent="0.3">
      <c r="A936">
        <v>2022</v>
      </c>
      <c r="B936" t="s">
        <v>25</v>
      </c>
      <c r="C936" t="s">
        <v>16</v>
      </c>
      <c r="D936" t="s">
        <v>12</v>
      </c>
      <c r="E936">
        <v>6.53</v>
      </c>
      <c r="F936">
        <v>160.19999999999999</v>
      </c>
      <c r="G936">
        <v>3.74</v>
      </c>
    </row>
    <row r="937" spans="1:7" x14ac:dyDescent="0.3">
      <c r="A937">
        <v>2022</v>
      </c>
      <c r="B937" t="s">
        <v>25</v>
      </c>
      <c r="C937" t="s">
        <v>16</v>
      </c>
      <c r="D937" t="s">
        <v>13</v>
      </c>
      <c r="E937">
        <v>10.07</v>
      </c>
      <c r="F937">
        <v>162.19999999999999</v>
      </c>
      <c r="G937">
        <v>3.82</v>
      </c>
    </row>
    <row r="938" spans="1:7" x14ac:dyDescent="0.3">
      <c r="A938">
        <v>2022</v>
      </c>
      <c r="B938" t="s">
        <v>25</v>
      </c>
      <c r="C938" t="s">
        <v>16</v>
      </c>
      <c r="D938" t="s">
        <v>14</v>
      </c>
      <c r="E938">
        <v>6.84</v>
      </c>
      <c r="F938">
        <v>164.2</v>
      </c>
      <c r="G938">
        <v>3.9</v>
      </c>
    </row>
    <row r="939" spans="1:7" x14ac:dyDescent="0.3">
      <c r="A939">
        <v>2022</v>
      </c>
      <c r="B939" t="s">
        <v>25</v>
      </c>
      <c r="C939" t="s">
        <v>16</v>
      </c>
      <c r="D939" t="s">
        <v>15</v>
      </c>
      <c r="E939">
        <v>28.32</v>
      </c>
      <c r="F939">
        <v>166.2</v>
      </c>
      <c r="G939">
        <v>3.98</v>
      </c>
    </row>
    <row r="940" spans="1:7" x14ac:dyDescent="0.3">
      <c r="A940">
        <v>2022</v>
      </c>
      <c r="B940" t="s">
        <v>25</v>
      </c>
      <c r="C940" t="s">
        <v>17</v>
      </c>
      <c r="D940" t="s">
        <v>9</v>
      </c>
      <c r="E940">
        <v>100</v>
      </c>
      <c r="F940">
        <v>154.80000000000001</v>
      </c>
      <c r="G940">
        <v>3.5</v>
      </c>
    </row>
    <row r="941" spans="1:7" x14ac:dyDescent="0.3">
      <c r="A941">
        <v>2022</v>
      </c>
      <c r="B941" t="s">
        <v>25</v>
      </c>
      <c r="C941" t="s">
        <v>17</v>
      </c>
      <c r="D941" t="s">
        <v>10</v>
      </c>
      <c r="E941">
        <v>45.86</v>
      </c>
      <c r="F941">
        <v>156.80000000000001</v>
      </c>
      <c r="G941">
        <v>3.58</v>
      </c>
    </row>
    <row r="942" spans="1:7" x14ac:dyDescent="0.3">
      <c r="A942">
        <v>2022</v>
      </c>
      <c r="B942" t="s">
        <v>25</v>
      </c>
      <c r="C942" t="s">
        <v>17</v>
      </c>
      <c r="D942" t="s">
        <v>11</v>
      </c>
      <c r="E942">
        <v>2.38</v>
      </c>
      <c r="F942">
        <v>158.80000000000001</v>
      </c>
      <c r="G942">
        <v>3.66</v>
      </c>
    </row>
    <row r="943" spans="1:7" x14ac:dyDescent="0.3">
      <c r="A943">
        <v>2022</v>
      </c>
      <c r="B943" t="s">
        <v>25</v>
      </c>
      <c r="C943" t="s">
        <v>17</v>
      </c>
      <c r="D943" t="s">
        <v>12</v>
      </c>
      <c r="E943">
        <v>6.53</v>
      </c>
      <c r="F943">
        <v>160.80000000000001</v>
      </c>
      <c r="G943">
        <v>3.74</v>
      </c>
    </row>
    <row r="944" spans="1:7" x14ac:dyDescent="0.3">
      <c r="A944">
        <v>2022</v>
      </c>
      <c r="B944" t="s">
        <v>25</v>
      </c>
      <c r="C944" t="s">
        <v>17</v>
      </c>
      <c r="D944" t="s">
        <v>13</v>
      </c>
      <c r="E944">
        <v>10.07</v>
      </c>
      <c r="F944">
        <v>162.80000000000001</v>
      </c>
      <c r="G944">
        <v>3.82</v>
      </c>
    </row>
    <row r="945" spans="1:7" x14ac:dyDescent="0.3">
      <c r="A945">
        <v>2022</v>
      </c>
      <c r="B945" t="s">
        <v>25</v>
      </c>
      <c r="C945" t="s">
        <v>17</v>
      </c>
      <c r="D945" t="s">
        <v>14</v>
      </c>
      <c r="E945">
        <v>6.84</v>
      </c>
      <c r="F945">
        <v>164.8</v>
      </c>
      <c r="G945">
        <v>3.9</v>
      </c>
    </row>
    <row r="946" spans="1:7" x14ac:dyDescent="0.3">
      <c r="A946">
        <v>2022</v>
      </c>
      <c r="B946" t="s">
        <v>25</v>
      </c>
      <c r="C946" t="s">
        <v>17</v>
      </c>
      <c r="D946" t="s">
        <v>15</v>
      </c>
      <c r="E946">
        <v>28.32</v>
      </c>
      <c r="F946">
        <v>166.8</v>
      </c>
      <c r="G946">
        <v>3.98</v>
      </c>
    </row>
    <row r="947" spans="1:7" x14ac:dyDescent="0.3">
      <c r="A947">
        <v>2022</v>
      </c>
      <c r="B947" t="s">
        <v>26</v>
      </c>
      <c r="C947" t="s">
        <v>8</v>
      </c>
      <c r="D947" t="s">
        <v>9</v>
      </c>
      <c r="E947">
        <v>100</v>
      </c>
      <c r="F947">
        <v>154</v>
      </c>
      <c r="G947">
        <v>3.65</v>
      </c>
    </row>
    <row r="948" spans="1:7" x14ac:dyDescent="0.3">
      <c r="A948">
        <v>2022</v>
      </c>
      <c r="B948" t="s">
        <v>26</v>
      </c>
      <c r="C948" t="s">
        <v>8</v>
      </c>
      <c r="D948" t="s">
        <v>10</v>
      </c>
      <c r="E948">
        <v>45.86</v>
      </c>
      <c r="F948">
        <v>156</v>
      </c>
      <c r="G948">
        <v>3.73</v>
      </c>
    </row>
    <row r="949" spans="1:7" x14ac:dyDescent="0.3">
      <c r="A949">
        <v>2022</v>
      </c>
      <c r="B949" t="s">
        <v>26</v>
      </c>
      <c r="C949" t="s">
        <v>8</v>
      </c>
      <c r="D949" t="s">
        <v>11</v>
      </c>
      <c r="E949">
        <v>2.38</v>
      </c>
      <c r="F949">
        <v>158</v>
      </c>
      <c r="G949">
        <v>3.81</v>
      </c>
    </row>
    <row r="950" spans="1:7" x14ac:dyDescent="0.3">
      <c r="A950">
        <v>2022</v>
      </c>
      <c r="B950" t="s">
        <v>26</v>
      </c>
      <c r="C950" t="s">
        <v>8</v>
      </c>
      <c r="D950" t="s">
        <v>12</v>
      </c>
      <c r="E950">
        <v>6.53</v>
      </c>
      <c r="F950">
        <v>160</v>
      </c>
      <c r="G950">
        <v>3.89</v>
      </c>
    </row>
    <row r="951" spans="1:7" x14ac:dyDescent="0.3">
      <c r="A951">
        <v>2022</v>
      </c>
      <c r="B951" t="s">
        <v>26</v>
      </c>
      <c r="C951" t="s">
        <v>8</v>
      </c>
      <c r="D951" t="s">
        <v>13</v>
      </c>
      <c r="E951">
        <v>10.07</v>
      </c>
      <c r="F951">
        <v>162</v>
      </c>
      <c r="G951">
        <v>3.97</v>
      </c>
    </row>
    <row r="952" spans="1:7" x14ac:dyDescent="0.3">
      <c r="A952">
        <v>2022</v>
      </c>
      <c r="B952" t="s">
        <v>26</v>
      </c>
      <c r="C952" t="s">
        <v>8</v>
      </c>
      <c r="D952" t="s">
        <v>14</v>
      </c>
      <c r="E952">
        <v>6.84</v>
      </c>
      <c r="F952">
        <v>164</v>
      </c>
      <c r="G952">
        <v>4.05</v>
      </c>
    </row>
    <row r="953" spans="1:7" x14ac:dyDescent="0.3">
      <c r="A953">
        <v>2022</v>
      </c>
      <c r="B953" t="s">
        <v>26</v>
      </c>
      <c r="C953" t="s">
        <v>8</v>
      </c>
      <c r="D953" t="s">
        <v>15</v>
      </c>
      <c r="E953">
        <v>28.32</v>
      </c>
      <c r="F953">
        <v>166</v>
      </c>
      <c r="G953">
        <v>4.13</v>
      </c>
    </row>
    <row r="954" spans="1:7" x14ac:dyDescent="0.3">
      <c r="A954">
        <v>2022</v>
      </c>
      <c r="B954" t="s">
        <v>26</v>
      </c>
      <c r="C954" t="s">
        <v>16</v>
      </c>
      <c r="D954" t="s">
        <v>9</v>
      </c>
      <c r="E954">
        <v>100</v>
      </c>
      <c r="F954">
        <v>154.6</v>
      </c>
      <c r="G954">
        <v>3.65</v>
      </c>
    </row>
    <row r="955" spans="1:7" x14ac:dyDescent="0.3">
      <c r="A955">
        <v>2022</v>
      </c>
      <c r="B955" t="s">
        <v>26</v>
      </c>
      <c r="C955" t="s">
        <v>16</v>
      </c>
      <c r="D955" t="s">
        <v>10</v>
      </c>
      <c r="E955">
        <v>45.86</v>
      </c>
      <c r="F955">
        <v>156.6</v>
      </c>
      <c r="G955">
        <v>3.73</v>
      </c>
    </row>
    <row r="956" spans="1:7" x14ac:dyDescent="0.3">
      <c r="A956">
        <v>2022</v>
      </c>
      <c r="B956" t="s">
        <v>26</v>
      </c>
      <c r="C956" t="s">
        <v>16</v>
      </c>
      <c r="D956" t="s">
        <v>11</v>
      </c>
      <c r="E956">
        <v>2.38</v>
      </c>
      <c r="F956">
        <v>158.6</v>
      </c>
      <c r="G956">
        <v>3.81</v>
      </c>
    </row>
    <row r="957" spans="1:7" x14ac:dyDescent="0.3">
      <c r="A957">
        <v>2022</v>
      </c>
      <c r="B957" t="s">
        <v>26</v>
      </c>
      <c r="C957" t="s">
        <v>16</v>
      </c>
      <c r="D957" t="s">
        <v>12</v>
      </c>
      <c r="E957">
        <v>6.53</v>
      </c>
      <c r="F957">
        <v>160.6</v>
      </c>
      <c r="G957">
        <v>3.89</v>
      </c>
    </row>
    <row r="958" spans="1:7" x14ac:dyDescent="0.3">
      <c r="A958">
        <v>2022</v>
      </c>
      <c r="B958" t="s">
        <v>26</v>
      </c>
      <c r="C958" t="s">
        <v>16</v>
      </c>
      <c r="D958" t="s">
        <v>13</v>
      </c>
      <c r="E958">
        <v>10.07</v>
      </c>
      <c r="F958">
        <v>162.6</v>
      </c>
      <c r="G958">
        <v>3.97</v>
      </c>
    </row>
    <row r="959" spans="1:7" x14ac:dyDescent="0.3">
      <c r="A959">
        <v>2022</v>
      </c>
      <c r="B959" t="s">
        <v>26</v>
      </c>
      <c r="C959" t="s">
        <v>16</v>
      </c>
      <c r="D959" t="s">
        <v>14</v>
      </c>
      <c r="E959">
        <v>6.84</v>
      </c>
      <c r="F959">
        <v>164.6</v>
      </c>
      <c r="G959">
        <v>4.05</v>
      </c>
    </row>
    <row r="960" spans="1:7" x14ac:dyDescent="0.3">
      <c r="A960">
        <v>2022</v>
      </c>
      <c r="B960" t="s">
        <v>26</v>
      </c>
      <c r="C960" t="s">
        <v>16</v>
      </c>
      <c r="D960" t="s">
        <v>15</v>
      </c>
      <c r="E960">
        <v>28.32</v>
      </c>
      <c r="F960">
        <v>166.6</v>
      </c>
      <c r="G960">
        <v>4.13</v>
      </c>
    </row>
    <row r="961" spans="1:7" x14ac:dyDescent="0.3">
      <c r="A961">
        <v>2022</v>
      </c>
      <c r="B961" t="s">
        <v>26</v>
      </c>
      <c r="C961" t="s">
        <v>17</v>
      </c>
      <c r="D961" t="s">
        <v>9</v>
      </c>
      <c r="E961">
        <v>100</v>
      </c>
      <c r="F961">
        <v>155.19999999999999</v>
      </c>
      <c r="G961">
        <v>3.65</v>
      </c>
    </row>
    <row r="962" spans="1:7" x14ac:dyDescent="0.3">
      <c r="A962">
        <v>2022</v>
      </c>
      <c r="B962" t="s">
        <v>26</v>
      </c>
      <c r="C962" t="s">
        <v>17</v>
      </c>
      <c r="D962" t="s">
        <v>10</v>
      </c>
      <c r="E962">
        <v>45.86</v>
      </c>
      <c r="F962">
        <v>157.19999999999999</v>
      </c>
      <c r="G962">
        <v>3.73</v>
      </c>
    </row>
    <row r="963" spans="1:7" x14ac:dyDescent="0.3">
      <c r="A963">
        <v>2022</v>
      </c>
      <c r="B963" t="s">
        <v>26</v>
      </c>
      <c r="C963" t="s">
        <v>17</v>
      </c>
      <c r="D963" t="s">
        <v>11</v>
      </c>
      <c r="E963">
        <v>2.38</v>
      </c>
      <c r="F963">
        <v>159.19999999999999</v>
      </c>
      <c r="G963">
        <v>3.81</v>
      </c>
    </row>
    <row r="964" spans="1:7" x14ac:dyDescent="0.3">
      <c r="A964">
        <v>2022</v>
      </c>
      <c r="B964" t="s">
        <v>26</v>
      </c>
      <c r="C964" t="s">
        <v>17</v>
      </c>
      <c r="D964" t="s">
        <v>12</v>
      </c>
      <c r="E964">
        <v>6.53</v>
      </c>
      <c r="F964">
        <v>161.19999999999999</v>
      </c>
      <c r="G964">
        <v>3.89</v>
      </c>
    </row>
    <row r="965" spans="1:7" x14ac:dyDescent="0.3">
      <c r="A965">
        <v>2022</v>
      </c>
      <c r="B965" t="s">
        <v>26</v>
      </c>
      <c r="C965" t="s">
        <v>17</v>
      </c>
      <c r="D965" t="s">
        <v>13</v>
      </c>
      <c r="E965">
        <v>10.07</v>
      </c>
      <c r="F965">
        <v>163.19999999999999</v>
      </c>
      <c r="G965">
        <v>3.97</v>
      </c>
    </row>
    <row r="966" spans="1:7" x14ac:dyDescent="0.3">
      <c r="A966">
        <v>2022</v>
      </c>
      <c r="B966" t="s">
        <v>26</v>
      </c>
      <c r="C966" t="s">
        <v>17</v>
      </c>
      <c r="D966" t="s">
        <v>14</v>
      </c>
      <c r="E966">
        <v>6.84</v>
      </c>
      <c r="F966">
        <v>165.2</v>
      </c>
      <c r="G966">
        <v>4.05</v>
      </c>
    </row>
    <row r="967" spans="1:7" x14ac:dyDescent="0.3">
      <c r="A967">
        <v>2022</v>
      </c>
      <c r="B967" t="s">
        <v>26</v>
      </c>
      <c r="C967" t="s">
        <v>17</v>
      </c>
      <c r="D967" t="s">
        <v>15</v>
      </c>
      <c r="E967">
        <v>28.32</v>
      </c>
      <c r="F967">
        <v>167.2</v>
      </c>
      <c r="G967">
        <v>4.13</v>
      </c>
    </row>
    <row r="968" spans="1:7" x14ac:dyDescent="0.3">
      <c r="A968">
        <v>2022</v>
      </c>
      <c r="B968" t="s">
        <v>27</v>
      </c>
      <c r="C968" t="s">
        <v>8</v>
      </c>
      <c r="D968" t="s">
        <v>9</v>
      </c>
      <c r="E968">
        <v>100</v>
      </c>
      <c r="F968">
        <v>154.4</v>
      </c>
      <c r="G968">
        <v>3.8</v>
      </c>
    </row>
    <row r="969" spans="1:7" x14ac:dyDescent="0.3">
      <c r="A969">
        <v>2022</v>
      </c>
      <c r="B969" t="s">
        <v>27</v>
      </c>
      <c r="C969" t="s">
        <v>8</v>
      </c>
      <c r="D969" t="s">
        <v>10</v>
      </c>
      <c r="E969">
        <v>45.86</v>
      </c>
      <c r="F969">
        <v>156.4</v>
      </c>
      <c r="G969">
        <v>3.88</v>
      </c>
    </row>
    <row r="970" spans="1:7" x14ac:dyDescent="0.3">
      <c r="A970">
        <v>2022</v>
      </c>
      <c r="B970" t="s">
        <v>27</v>
      </c>
      <c r="C970" t="s">
        <v>8</v>
      </c>
      <c r="D970" t="s">
        <v>11</v>
      </c>
      <c r="E970">
        <v>2.38</v>
      </c>
      <c r="F970">
        <v>158.4</v>
      </c>
      <c r="G970">
        <v>3.96</v>
      </c>
    </row>
    <row r="971" spans="1:7" x14ac:dyDescent="0.3">
      <c r="A971">
        <v>2022</v>
      </c>
      <c r="B971" t="s">
        <v>27</v>
      </c>
      <c r="C971" t="s">
        <v>8</v>
      </c>
      <c r="D971" t="s">
        <v>12</v>
      </c>
      <c r="E971">
        <v>6.53</v>
      </c>
      <c r="F971">
        <v>160.4</v>
      </c>
      <c r="G971">
        <v>4.04</v>
      </c>
    </row>
    <row r="972" spans="1:7" x14ac:dyDescent="0.3">
      <c r="A972">
        <v>2022</v>
      </c>
      <c r="B972" t="s">
        <v>27</v>
      </c>
      <c r="C972" t="s">
        <v>8</v>
      </c>
      <c r="D972" t="s">
        <v>13</v>
      </c>
      <c r="E972">
        <v>10.07</v>
      </c>
      <c r="F972">
        <v>162.4</v>
      </c>
      <c r="G972">
        <v>4.12</v>
      </c>
    </row>
    <row r="973" spans="1:7" x14ac:dyDescent="0.3">
      <c r="A973">
        <v>2022</v>
      </c>
      <c r="B973" t="s">
        <v>27</v>
      </c>
      <c r="C973" t="s">
        <v>8</v>
      </c>
      <c r="D973" t="s">
        <v>14</v>
      </c>
      <c r="E973">
        <v>6.84</v>
      </c>
      <c r="F973">
        <v>164.4</v>
      </c>
      <c r="G973">
        <v>4.2</v>
      </c>
    </row>
    <row r="974" spans="1:7" x14ac:dyDescent="0.3">
      <c r="A974">
        <v>2022</v>
      </c>
      <c r="B974" t="s">
        <v>27</v>
      </c>
      <c r="C974" t="s">
        <v>8</v>
      </c>
      <c r="D974" t="s">
        <v>15</v>
      </c>
      <c r="E974">
        <v>28.32</v>
      </c>
      <c r="F974">
        <v>166.4</v>
      </c>
      <c r="G974">
        <v>4.28</v>
      </c>
    </row>
    <row r="975" spans="1:7" x14ac:dyDescent="0.3">
      <c r="A975">
        <v>2022</v>
      </c>
      <c r="B975" t="s">
        <v>27</v>
      </c>
      <c r="C975" t="s">
        <v>16</v>
      </c>
      <c r="D975" t="s">
        <v>9</v>
      </c>
      <c r="E975">
        <v>100</v>
      </c>
      <c r="F975">
        <v>155</v>
      </c>
      <c r="G975">
        <v>3.8</v>
      </c>
    </row>
    <row r="976" spans="1:7" x14ac:dyDescent="0.3">
      <c r="A976">
        <v>2022</v>
      </c>
      <c r="B976" t="s">
        <v>27</v>
      </c>
      <c r="C976" t="s">
        <v>16</v>
      </c>
      <c r="D976" t="s">
        <v>10</v>
      </c>
      <c r="E976">
        <v>45.86</v>
      </c>
      <c r="F976">
        <v>157</v>
      </c>
      <c r="G976">
        <v>3.88</v>
      </c>
    </row>
    <row r="977" spans="1:7" x14ac:dyDescent="0.3">
      <c r="A977">
        <v>2022</v>
      </c>
      <c r="B977" t="s">
        <v>27</v>
      </c>
      <c r="C977" t="s">
        <v>16</v>
      </c>
      <c r="D977" t="s">
        <v>11</v>
      </c>
      <c r="E977">
        <v>2.38</v>
      </c>
      <c r="F977">
        <v>159</v>
      </c>
      <c r="G977">
        <v>3.96</v>
      </c>
    </row>
    <row r="978" spans="1:7" x14ac:dyDescent="0.3">
      <c r="A978">
        <v>2022</v>
      </c>
      <c r="B978" t="s">
        <v>27</v>
      </c>
      <c r="C978" t="s">
        <v>16</v>
      </c>
      <c r="D978" t="s">
        <v>12</v>
      </c>
      <c r="E978">
        <v>6.53</v>
      </c>
      <c r="F978">
        <v>161</v>
      </c>
      <c r="G978">
        <v>4.04</v>
      </c>
    </row>
    <row r="979" spans="1:7" x14ac:dyDescent="0.3">
      <c r="A979">
        <v>2022</v>
      </c>
      <c r="B979" t="s">
        <v>27</v>
      </c>
      <c r="C979" t="s">
        <v>16</v>
      </c>
      <c r="D979" t="s">
        <v>13</v>
      </c>
      <c r="E979">
        <v>10.07</v>
      </c>
      <c r="F979">
        <v>163</v>
      </c>
      <c r="G979">
        <v>4.12</v>
      </c>
    </row>
    <row r="980" spans="1:7" x14ac:dyDescent="0.3">
      <c r="A980">
        <v>2022</v>
      </c>
      <c r="B980" t="s">
        <v>27</v>
      </c>
      <c r="C980" t="s">
        <v>16</v>
      </c>
      <c r="D980" t="s">
        <v>14</v>
      </c>
      <c r="E980">
        <v>6.84</v>
      </c>
      <c r="F980">
        <v>165</v>
      </c>
      <c r="G980">
        <v>4.2</v>
      </c>
    </row>
    <row r="981" spans="1:7" x14ac:dyDescent="0.3">
      <c r="A981">
        <v>2022</v>
      </c>
      <c r="B981" t="s">
        <v>27</v>
      </c>
      <c r="C981" t="s">
        <v>16</v>
      </c>
      <c r="D981" t="s">
        <v>15</v>
      </c>
      <c r="E981">
        <v>28.32</v>
      </c>
      <c r="F981">
        <v>167</v>
      </c>
      <c r="G981">
        <v>4.28</v>
      </c>
    </row>
    <row r="982" spans="1:7" x14ac:dyDescent="0.3">
      <c r="A982">
        <v>2022</v>
      </c>
      <c r="B982" t="s">
        <v>27</v>
      </c>
      <c r="C982" t="s">
        <v>17</v>
      </c>
      <c r="D982" t="s">
        <v>9</v>
      </c>
      <c r="E982">
        <v>100</v>
      </c>
      <c r="F982">
        <v>155.6</v>
      </c>
      <c r="G982">
        <v>3.8</v>
      </c>
    </row>
    <row r="983" spans="1:7" x14ac:dyDescent="0.3">
      <c r="A983">
        <v>2022</v>
      </c>
      <c r="B983" t="s">
        <v>27</v>
      </c>
      <c r="C983" t="s">
        <v>17</v>
      </c>
      <c r="D983" t="s">
        <v>10</v>
      </c>
      <c r="E983">
        <v>45.86</v>
      </c>
      <c r="F983">
        <v>157.6</v>
      </c>
      <c r="G983">
        <v>3.88</v>
      </c>
    </row>
    <row r="984" spans="1:7" x14ac:dyDescent="0.3">
      <c r="A984">
        <v>2022</v>
      </c>
      <c r="B984" t="s">
        <v>27</v>
      </c>
      <c r="C984" t="s">
        <v>17</v>
      </c>
      <c r="D984" t="s">
        <v>11</v>
      </c>
      <c r="E984">
        <v>2.38</v>
      </c>
      <c r="F984">
        <v>159.6</v>
      </c>
      <c r="G984">
        <v>3.96</v>
      </c>
    </row>
    <row r="985" spans="1:7" x14ac:dyDescent="0.3">
      <c r="A985">
        <v>2022</v>
      </c>
      <c r="B985" t="s">
        <v>27</v>
      </c>
      <c r="C985" t="s">
        <v>17</v>
      </c>
      <c r="D985" t="s">
        <v>12</v>
      </c>
      <c r="E985">
        <v>6.53</v>
      </c>
      <c r="F985">
        <v>161.6</v>
      </c>
      <c r="G985">
        <v>4.04</v>
      </c>
    </row>
    <row r="986" spans="1:7" x14ac:dyDescent="0.3">
      <c r="A986">
        <v>2022</v>
      </c>
      <c r="B986" t="s">
        <v>27</v>
      </c>
      <c r="C986" t="s">
        <v>17</v>
      </c>
      <c r="D986" t="s">
        <v>13</v>
      </c>
      <c r="E986">
        <v>10.07</v>
      </c>
      <c r="F986">
        <v>163.6</v>
      </c>
      <c r="G986">
        <v>4.12</v>
      </c>
    </row>
    <row r="987" spans="1:7" x14ac:dyDescent="0.3">
      <c r="A987">
        <v>2022</v>
      </c>
      <c r="B987" t="s">
        <v>27</v>
      </c>
      <c r="C987" t="s">
        <v>17</v>
      </c>
      <c r="D987" t="s">
        <v>14</v>
      </c>
      <c r="E987">
        <v>6.84</v>
      </c>
      <c r="F987">
        <v>165.6</v>
      </c>
      <c r="G987">
        <v>4.2</v>
      </c>
    </row>
    <row r="988" spans="1:7" x14ac:dyDescent="0.3">
      <c r="A988">
        <v>2022</v>
      </c>
      <c r="B988" t="s">
        <v>27</v>
      </c>
      <c r="C988" t="s">
        <v>17</v>
      </c>
      <c r="D988" t="s">
        <v>15</v>
      </c>
      <c r="E988">
        <v>28.32</v>
      </c>
      <c r="F988">
        <v>167.6</v>
      </c>
      <c r="G988">
        <v>4.28</v>
      </c>
    </row>
    <row r="989" spans="1:7" x14ac:dyDescent="0.3">
      <c r="A989">
        <v>2022</v>
      </c>
      <c r="B989" t="s">
        <v>28</v>
      </c>
      <c r="C989" t="s">
        <v>8</v>
      </c>
      <c r="D989" t="s">
        <v>9</v>
      </c>
      <c r="E989">
        <v>100</v>
      </c>
      <c r="F989">
        <v>154.80000000000001</v>
      </c>
      <c r="G989">
        <v>3.05</v>
      </c>
    </row>
    <row r="990" spans="1:7" x14ac:dyDescent="0.3">
      <c r="A990">
        <v>2022</v>
      </c>
      <c r="B990" t="s">
        <v>28</v>
      </c>
      <c r="C990" t="s">
        <v>8</v>
      </c>
      <c r="D990" t="s">
        <v>10</v>
      </c>
      <c r="E990">
        <v>45.86</v>
      </c>
      <c r="F990">
        <v>156.80000000000001</v>
      </c>
      <c r="G990">
        <v>3.13</v>
      </c>
    </row>
    <row r="991" spans="1:7" x14ac:dyDescent="0.3">
      <c r="A991">
        <v>2022</v>
      </c>
      <c r="B991" t="s">
        <v>28</v>
      </c>
      <c r="C991" t="s">
        <v>8</v>
      </c>
      <c r="D991" t="s">
        <v>11</v>
      </c>
      <c r="E991">
        <v>2.38</v>
      </c>
      <c r="F991">
        <v>158.80000000000001</v>
      </c>
      <c r="G991">
        <v>3.21</v>
      </c>
    </row>
    <row r="992" spans="1:7" x14ac:dyDescent="0.3">
      <c r="A992">
        <v>2022</v>
      </c>
      <c r="B992" t="s">
        <v>28</v>
      </c>
      <c r="C992" t="s">
        <v>8</v>
      </c>
      <c r="D992" t="s">
        <v>12</v>
      </c>
      <c r="E992">
        <v>6.53</v>
      </c>
      <c r="F992">
        <v>160.80000000000001</v>
      </c>
      <c r="G992">
        <v>3.29</v>
      </c>
    </row>
    <row r="993" spans="1:7" x14ac:dyDescent="0.3">
      <c r="A993">
        <v>2022</v>
      </c>
      <c r="B993" t="s">
        <v>28</v>
      </c>
      <c r="C993" t="s">
        <v>8</v>
      </c>
      <c r="D993" t="s">
        <v>13</v>
      </c>
      <c r="E993">
        <v>10.07</v>
      </c>
      <c r="F993">
        <v>162.80000000000001</v>
      </c>
      <c r="G993">
        <v>3.37</v>
      </c>
    </row>
    <row r="994" spans="1:7" x14ac:dyDescent="0.3">
      <c r="A994">
        <v>2022</v>
      </c>
      <c r="B994" t="s">
        <v>28</v>
      </c>
      <c r="C994" t="s">
        <v>8</v>
      </c>
      <c r="D994" t="s">
        <v>14</v>
      </c>
      <c r="E994">
        <v>6.84</v>
      </c>
      <c r="F994">
        <v>164.8</v>
      </c>
      <c r="G994">
        <v>3.45</v>
      </c>
    </row>
    <row r="995" spans="1:7" x14ac:dyDescent="0.3">
      <c r="A995">
        <v>2022</v>
      </c>
      <c r="B995" t="s">
        <v>28</v>
      </c>
      <c r="C995" t="s">
        <v>8</v>
      </c>
      <c r="D995" t="s">
        <v>15</v>
      </c>
      <c r="E995">
        <v>28.32</v>
      </c>
      <c r="F995">
        <v>166.8</v>
      </c>
      <c r="G995">
        <v>3.53</v>
      </c>
    </row>
    <row r="996" spans="1:7" x14ac:dyDescent="0.3">
      <c r="A996">
        <v>2022</v>
      </c>
      <c r="B996" t="s">
        <v>28</v>
      </c>
      <c r="C996" t="s">
        <v>16</v>
      </c>
      <c r="D996" t="s">
        <v>9</v>
      </c>
      <c r="E996">
        <v>100</v>
      </c>
      <c r="F996">
        <v>155.4</v>
      </c>
      <c r="G996">
        <v>3.05</v>
      </c>
    </row>
    <row r="997" spans="1:7" x14ac:dyDescent="0.3">
      <c r="A997">
        <v>2022</v>
      </c>
      <c r="B997" t="s">
        <v>28</v>
      </c>
      <c r="C997" t="s">
        <v>16</v>
      </c>
      <c r="D997" t="s">
        <v>10</v>
      </c>
      <c r="E997">
        <v>45.86</v>
      </c>
      <c r="F997">
        <v>157.4</v>
      </c>
      <c r="G997">
        <v>3.13</v>
      </c>
    </row>
    <row r="998" spans="1:7" x14ac:dyDescent="0.3">
      <c r="A998">
        <v>2022</v>
      </c>
      <c r="B998" t="s">
        <v>28</v>
      </c>
      <c r="C998" t="s">
        <v>16</v>
      </c>
      <c r="D998" t="s">
        <v>11</v>
      </c>
      <c r="E998">
        <v>2.38</v>
      </c>
      <c r="F998">
        <v>159.4</v>
      </c>
      <c r="G998">
        <v>3.21</v>
      </c>
    </row>
    <row r="999" spans="1:7" x14ac:dyDescent="0.3">
      <c r="A999">
        <v>2022</v>
      </c>
      <c r="B999" t="s">
        <v>28</v>
      </c>
      <c r="C999" t="s">
        <v>16</v>
      </c>
      <c r="D999" t="s">
        <v>12</v>
      </c>
      <c r="E999">
        <v>6.53</v>
      </c>
      <c r="F999">
        <v>161.4</v>
      </c>
      <c r="G999">
        <v>3.29</v>
      </c>
    </row>
    <row r="1000" spans="1:7" x14ac:dyDescent="0.3">
      <c r="A1000">
        <v>2022</v>
      </c>
      <c r="B1000" t="s">
        <v>28</v>
      </c>
      <c r="C1000" t="s">
        <v>16</v>
      </c>
      <c r="D1000" t="s">
        <v>13</v>
      </c>
      <c r="E1000">
        <v>10.07</v>
      </c>
      <c r="F1000">
        <v>163.4</v>
      </c>
      <c r="G1000">
        <v>3.37</v>
      </c>
    </row>
    <row r="1001" spans="1:7" x14ac:dyDescent="0.3">
      <c r="A1001">
        <v>2022</v>
      </c>
      <c r="B1001" t="s">
        <v>28</v>
      </c>
      <c r="C1001" t="s">
        <v>16</v>
      </c>
      <c r="D1001" t="s">
        <v>14</v>
      </c>
      <c r="E1001">
        <v>6.84</v>
      </c>
      <c r="F1001">
        <v>165.4</v>
      </c>
      <c r="G1001">
        <v>3.45</v>
      </c>
    </row>
    <row r="1002" spans="1:7" x14ac:dyDescent="0.3">
      <c r="A1002">
        <v>2022</v>
      </c>
      <c r="B1002" t="s">
        <v>28</v>
      </c>
      <c r="C1002" t="s">
        <v>16</v>
      </c>
      <c r="D1002" t="s">
        <v>15</v>
      </c>
      <c r="E1002">
        <v>28.32</v>
      </c>
      <c r="F1002">
        <v>167.4</v>
      </c>
      <c r="G1002">
        <v>3.53</v>
      </c>
    </row>
    <row r="1003" spans="1:7" x14ac:dyDescent="0.3">
      <c r="A1003">
        <v>2022</v>
      </c>
      <c r="B1003" t="s">
        <v>28</v>
      </c>
      <c r="C1003" t="s">
        <v>17</v>
      </c>
      <c r="D1003" t="s">
        <v>9</v>
      </c>
      <c r="E1003">
        <v>100</v>
      </c>
      <c r="F1003">
        <v>156</v>
      </c>
      <c r="G1003">
        <v>3.05</v>
      </c>
    </row>
    <row r="1004" spans="1:7" x14ac:dyDescent="0.3">
      <c r="A1004">
        <v>2022</v>
      </c>
      <c r="B1004" t="s">
        <v>28</v>
      </c>
      <c r="C1004" t="s">
        <v>17</v>
      </c>
      <c r="D1004" t="s">
        <v>10</v>
      </c>
      <c r="E1004">
        <v>45.86</v>
      </c>
      <c r="F1004">
        <v>158</v>
      </c>
      <c r="G1004">
        <v>3.13</v>
      </c>
    </row>
    <row r="1005" spans="1:7" x14ac:dyDescent="0.3">
      <c r="A1005">
        <v>2022</v>
      </c>
      <c r="B1005" t="s">
        <v>28</v>
      </c>
      <c r="C1005" t="s">
        <v>17</v>
      </c>
      <c r="D1005" t="s">
        <v>11</v>
      </c>
      <c r="E1005">
        <v>2.38</v>
      </c>
      <c r="F1005">
        <v>160</v>
      </c>
      <c r="G1005">
        <v>3.21</v>
      </c>
    </row>
    <row r="1006" spans="1:7" x14ac:dyDescent="0.3">
      <c r="A1006">
        <v>2022</v>
      </c>
      <c r="B1006" t="s">
        <v>28</v>
      </c>
      <c r="C1006" t="s">
        <v>17</v>
      </c>
      <c r="D1006" t="s">
        <v>12</v>
      </c>
      <c r="E1006">
        <v>6.53</v>
      </c>
      <c r="F1006">
        <v>162</v>
      </c>
      <c r="G1006">
        <v>3.29</v>
      </c>
    </row>
    <row r="1007" spans="1:7" x14ac:dyDescent="0.3">
      <c r="A1007">
        <v>2022</v>
      </c>
      <c r="B1007" t="s">
        <v>28</v>
      </c>
      <c r="C1007" t="s">
        <v>17</v>
      </c>
      <c r="D1007" t="s">
        <v>13</v>
      </c>
      <c r="E1007">
        <v>10.07</v>
      </c>
      <c r="F1007">
        <v>164</v>
      </c>
      <c r="G1007">
        <v>3.37</v>
      </c>
    </row>
    <row r="1008" spans="1:7" x14ac:dyDescent="0.3">
      <c r="A1008">
        <v>2022</v>
      </c>
      <c r="B1008" t="s">
        <v>28</v>
      </c>
      <c r="C1008" t="s">
        <v>17</v>
      </c>
      <c r="D1008" t="s">
        <v>14</v>
      </c>
      <c r="E1008">
        <v>6.84</v>
      </c>
      <c r="F1008">
        <v>166</v>
      </c>
      <c r="G1008">
        <v>3.45</v>
      </c>
    </row>
    <row r="1009" spans="1:7" x14ac:dyDescent="0.3">
      <c r="A1009">
        <v>2022</v>
      </c>
      <c r="B1009" t="s">
        <v>28</v>
      </c>
      <c r="C1009" t="s">
        <v>17</v>
      </c>
      <c r="D1009" t="s">
        <v>15</v>
      </c>
      <c r="E1009">
        <v>28.32</v>
      </c>
      <c r="F1009">
        <v>168</v>
      </c>
      <c r="G1009">
        <v>3.53</v>
      </c>
    </row>
    <row r="1010" spans="1:7" x14ac:dyDescent="0.3">
      <c r="A1010">
        <v>2023</v>
      </c>
      <c r="B1010" t="s">
        <v>7</v>
      </c>
      <c r="C1010" t="s">
        <v>8</v>
      </c>
      <c r="D1010" t="s">
        <v>9</v>
      </c>
      <c r="E1010">
        <v>100</v>
      </c>
      <c r="F1010">
        <v>155.4</v>
      </c>
      <c r="G1010">
        <v>3.55</v>
      </c>
    </row>
    <row r="1011" spans="1:7" x14ac:dyDescent="0.3">
      <c r="A1011">
        <v>2023</v>
      </c>
      <c r="B1011" t="s">
        <v>7</v>
      </c>
      <c r="C1011" t="s">
        <v>8</v>
      </c>
      <c r="D1011" t="s">
        <v>10</v>
      </c>
      <c r="E1011">
        <v>45.86</v>
      </c>
      <c r="F1011">
        <v>157.4</v>
      </c>
      <c r="G1011">
        <v>3.63</v>
      </c>
    </row>
    <row r="1012" spans="1:7" x14ac:dyDescent="0.3">
      <c r="A1012">
        <v>2023</v>
      </c>
      <c r="B1012" t="s">
        <v>7</v>
      </c>
      <c r="C1012" t="s">
        <v>8</v>
      </c>
      <c r="D1012" t="s">
        <v>11</v>
      </c>
      <c r="E1012">
        <v>2.38</v>
      </c>
      <c r="F1012">
        <v>159.4</v>
      </c>
      <c r="G1012">
        <v>3.71</v>
      </c>
    </row>
    <row r="1013" spans="1:7" x14ac:dyDescent="0.3">
      <c r="A1013">
        <v>2023</v>
      </c>
      <c r="B1013" t="s">
        <v>7</v>
      </c>
      <c r="C1013" t="s">
        <v>8</v>
      </c>
      <c r="D1013" t="s">
        <v>12</v>
      </c>
      <c r="E1013">
        <v>6.53</v>
      </c>
      <c r="F1013">
        <v>161.4</v>
      </c>
      <c r="G1013">
        <v>3.79</v>
      </c>
    </row>
    <row r="1014" spans="1:7" x14ac:dyDescent="0.3">
      <c r="A1014">
        <v>2023</v>
      </c>
      <c r="B1014" t="s">
        <v>7</v>
      </c>
      <c r="C1014" t="s">
        <v>8</v>
      </c>
      <c r="D1014" t="s">
        <v>13</v>
      </c>
      <c r="E1014">
        <v>10.07</v>
      </c>
      <c r="F1014">
        <v>163.4</v>
      </c>
      <c r="G1014">
        <v>3.87</v>
      </c>
    </row>
    <row r="1015" spans="1:7" x14ac:dyDescent="0.3">
      <c r="A1015">
        <v>2023</v>
      </c>
      <c r="B1015" t="s">
        <v>7</v>
      </c>
      <c r="C1015" t="s">
        <v>8</v>
      </c>
      <c r="D1015" t="s">
        <v>14</v>
      </c>
      <c r="E1015">
        <v>6.84</v>
      </c>
      <c r="F1015">
        <v>165.4</v>
      </c>
      <c r="G1015">
        <v>3.95</v>
      </c>
    </row>
    <row r="1016" spans="1:7" x14ac:dyDescent="0.3">
      <c r="A1016">
        <v>2023</v>
      </c>
      <c r="B1016" t="s">
        <v>7</v>
      </c>
      <c r="C1016" t="s">
        <v>8</v>
      </c>
      <c r="D1016" t="s">
        <v>15</v>
      </c>
      <c r="E1016">
        <v>28.32</v>
      </c>
      <c r="F1016">
        <v>167.4</v>
      </c>
      <c r="G1016">
        <v>4.03</v>
      </c>
    </row>
    <row r="1017" spans="1:7" x14ac:dyDescent="0.3">
      <c r="A1017">
        <v>2023</v>
      </c>
      <c r="B1017" t="s">
        <v>7</v>
      </c>
      <c r="C1017" t="s">
        <v>16</v>
      </c>
      <c r="D1017" t="s">
        <v>9</v>
      </c>
      <c r="E1017">
        <v>100</v>
      </c>
      <c r="F1017">
        <v>156</v>
      </c>
      <c r="G1017">
        <v>3.55</v>
      </c>
    </row>
    <row r="1018" spans="1:7" x14ac:dyDescent="0.3">
      <c r="A1018">
        <v>2023</v>
      </c>
      <c r="B1018" t="s">
        <v>7</v>
      </c>
      <c r="C1018" t="s">
        <v>16</v>
      </c>
      <c r="D1018" t="s">
        <v>10</v>
      </c>
      <c r="E1018">
        <v>45.86</v>
      </c>
      <c r="F1018">
        <v>158</v>
      </c>
      <c r="G1018">
        <v>3.63</v>
      </c>
    </row>
    <row r="1019" spans="1:7" x14ac:dyDescent="0.3">
      <c r="A1019">
        <v>2023</v>
      </c>
      <c r="B1019" t="s">
        <v>7</v>
      </c>
      <c r="C1019" t="s">
        <v>16</v>
      </c>
      <c r="D1019" t="s">
        <v>11</v>
      </c>
      <c r="E1019">
        <v>2.38</v>
      </c>
      <c r="F1019">
        <v>160</v>
      </c>
      <c r="G1019">
        <v>3.71</v>
      </c>
    </row>
    <row r="1020" spans="1:7" x14ac:dyDescent="0.3">
      <c r="A1020">
        <v>2023</v>
      </c>
      <c r="B1020" t="s">
        <v>7</v>
      </c>
      <c r="C1020" t="s">
        <v>16</v>
      </c>
      <c r="D1020" t="s">
        <v>12</v>
      </c>
      <c r="E1020">
        <v>6.53</v>
      </c>
      <c r="F1020">
        <v>162</v>
      </c>
      <c r="G1020">
        <v>3.79</v>
      </c>
    </row>
    <row r="1021" spans="1:7" x14ac:dyDescent="0.3">
      <c r="A1021">
        <v>2023</v>
      </c>
      <c r="B1021" t="s">
        <v>7</v>
      </c>
      <c r="C1021" t="s">
        <v>16</v>
      </c>
      <c r="D1021" t="s">
        <v>13</v>
      </c>
      <c r="E1021">
        <v>10.07</v>
      </c>
      <c r="F1021">
        <v>164</v>
      </c>
      <c r="G1021">
        <v>3.87</v>
      </c>
    </row>
    <row r="1022" spans="1:7" x14ac:dyDescent="0.3">
      <c r="A1022">
        <v>2023</v>
      </c>
      <c r="B1022" t="s">
        <v>7</v>
      </c>
      <c r="C1022" t="s">
        <v>16</v>
      </c>
      <c r="D1022" t="s">
        <v>14</v>
      </c>
      <c r="E1022">
        <v>6.84</v>
      </c>
      <c r="F1022">
        <v>166</v>
      </c>
      <c r="G1022">
        <v>3.95</v>
      </c>
    </row>
    <row r="1023" spans="1:7" x14ac:dyDescent="0.3">
      <c r="A1023">
        <v>2023</v>
      </c>
      <c r="B1023" t="s">
        <v>7</v>
      </c>
      <c r="C1023" t="s">
        <v>16</v>
      </c>
      <c r="D1023" t="s">
        <v>15</v>
      </c>
      <c r="E1023">
        <v>28.32</v>
      </c>
      <c r="F1023">
        <v>168</v>
      </c>
      <c r="G1023">
        <v>4.03</v>
      </c>
    </row>
    <row r="1024" spans="1:7" x14ac:dyDescent="0.3">
      <c r="A1024">
        <v>2023</v>
      </c>
      <c r="B1024" t="s">
        <v>7</v>
      </c>
      <c r="C1024" t="s">
        <v>17</v>
      </c>
      <c r="D1024" t="s">
        <v>9</v>
      </c>
      <c r="E1024">
        <v>100</v>
      </c>
      <c r="F1024">
        <v>156.6</v>
      </c>
      <c r="G1024">
        <v>3.55</v>
      </c>
    </row>
    <row r="1025" spans="1:7" x14ac:dyDescent="0.3">
      <c r="A1025">
        <v>2023</v>
      </c>
      <c r="B1025" t="s">
        <v>7</v>
      </c>
      <c r="C1025" t="s">
        <v>17</v>
      </c>
      <c r="D1025" t="s">
        <v>10</v>
      </c>
      <c r="E1025">
        <v>45.86</v>
      </c>
      <c r="F1025">
        <v>158.6</v>
      </c>
      <c r="G1025">
        <v>3.63</v>
      </c>
    </row>
    <row r="1026" spans="1:7" x14ac:dyDescent="0.3">
      <c r="A1026">
        <v>2023</v>
      </c>
      <c r="B1026" t="s">
        <v>7</v>
      </c>
      <c r="C1026" t="s">
        <v>17</v>
      </c>
      <c r="D1026" t="s">
        <v>11</v>
      </c>
      <c r="E1026">
        <v>2.38</v>
      </c>
      <c r="F1026">
        <v>160.6</v>
      </c>
      <c r="G1026">
        <v>3.71</v>
      </c>
    </row>
    <row r="1027" spans="1:7" x14ac:dyDescent="0.3">
      <c r="A1027">
        <v>2023</v>
      </c>
      <c r="B1027" t="s">
        <v>7</v>
      </c>
      <c r="C1027" t="s">
        <v>17</v>
      </c>
      <c r="D1027" t="s">
        <v>12</v>
      </c>
      <c r="E1027">
        <v>6.53</v>
      </c>
      <c r="F1027">
        <v>162.6</v>
      </c>
      <c r="G1027">
        <v>3.79</v>
      </c>
    </row>
    <row r="1028" spans="1:7" x14ac:dyDescent="0.3">
      <c r="A1028">
        <v>2023</v>
      </c>
      <c r="B1028" t="s">
        <v>7</v>
      </c>
      <c r="C1028" t="s">
        <v>17</v>
      </c>
      <c r="D1028" t="s">
        <v>13</v>
      </c>
      <c r="E1028">
        <v>10.07</v>
      </c>
      <c r="F1028">
        <v>164.6</v>
      </c>
      <c r="G1028">
        <v>3.87</v>
      </c>
    </row>
    <row r="1029" spans="1:7" x14ac:dyDescent="0.3">
      <c r="A1029">
        <v>2023</v>
      </c>
      <c r="B1029" t="s">
        <v>7</v>
      </c>
      <c r="C1029" t="s">
        <v>17</v>
      </c>
      <c r="D1029" t="s">
        <v>14</v>
      </c>
      <c r="E1029">
        <v>6.84</v>
      </c>
      <c r="F1029">
        <v>166.6</v>
      </c>
      <c r="G1029">
        <v>3.95</v>
      </c>
    </row>
    <row r="1030" spans="1:7" x14ac:dyDescent="0.3">
      <c r="A1030">
        <v>2023</v>
      </c>
      <c r="B1030" t="s">
        <v>7</v>
      </c>
      <c r="C1030" t="s">
        <v>17</v>
      </c>
      <c r="D1030" t="s">
        <v>15</v>
      </c>
      <c r="E1030">
        <v>28.32</v>
      </c>
      <c r="F1030">
        <v>168.6</v>
      </c>
      <c r="G1030">
        <v>4.03</v>
      </c>
    </row>
    <row r="1031" spans="1:7" x14ac:dyDescent="0.3">
      <c r="A1031">
        <v>2023</v>
      </c>
      <c r="B1031" t="s">
        <v>18</v>
      </c>
      <c r="C1031" t="s">
        <v>8</v>
      </c>
      <c r="D1031" t="s">
        <v>9</v>
      </c>
      <c r="E1031">
        <v>100</v>
      </c>
      <c r="F1031">
        <v>155.80000000000001</v>
      </c>
      <c r="G1031">
        <v>3.7</v>
      </c>
    </row>
    <row r="1032" spans="1:7" x14ac:dyDescent="0.3">
      <c r="A1032">
        <v>2023</v>
      </c>
      <c r="B1032" t="s">
        <v>18</v>
      </c>
      <c r="C1032" t="s">
        <v>8</v>
      </c>
      <c r="D1032" t="s">
        <v>10</v>
      </c>
      <c r="E1032">
        <v>45.86</v>
      </c>
      <c r="F1032">
        <v>157.80000000000001</v>
      </c>
      <c r="G1032">
        <v>3.78</v>
      </c>
    </row>
    <row r="1033" spans="1:7" x14ac:dyDescent="0.3">
      <c r="A1033">
        <v>2023</v>
      </c>
      <c r="B1033" t="s">
        <v>18</v>
      </c>
      <c r="C1033" t="s">
        <v>8</v>
      </c>
      <c r="D1033" t="s">
        <v>11</v>
      </c>
      <c r="E1033">
        <v>2.38</v>
      </c>
      <c r="F1033">
        <v>159.80000000000001</v>
      </c>
      <c r="G1033">
        <v>3.86</v>
      </c>
    </row>
    <row r="1034" spans="1:7" x14ac:dyDescent="0.3">
      <c r="A1034">
        <v>2023</v>
      </c>
      <c r="B1034" t="s">
        <v>18</v>
      </c>
      <c r="C1034" t="s">
        <v>8</v>
      </c>
      <c r="D1034" t="s">
        <v>12</v>
      </c>
      <c r="E1034">
        <v>6.53</v>
      </c>
      <c r="F1034">
        <v>161.80000000000001</v>
      </c>
      <c r="G1034">
        <v>3.94</v>
      </c>
    </row>
    <row r="1035" spans="1:7" x14ac:dyDescent="0.3">
      <c r="A1035">
        <v>2023</v>
      </c>
      <c r="B1035" t="s">
        <v>18</v>
      </c>
      <c r="C1035" t="s">
        <v>8</v>
      </c>
      <c r="D1035" t="s">
        <v>13</v>
      </c>
      <c r="E1035">
        <v>10.07</v>
      </c>
      <c r="F1035">
        <v>163.80000000000001</v>
      </c>
      <c r="G1035">
        <v>4.0199999999999996</v>
      </c>
    </row>
    <row r="1036" spans="1:7" x14ac:dyDescent="0.3">
      <c r="A1036">
        <v>2023</v>
      </c>
      <c r="B1036" t="s">
        <v>18</v>
      </c>
      <c r="C1036" t="s">
        <v>8</v>
      </c>
      <c r="D1036" t="s">
        <v>14</v>
      </c>
      <c r="E1036">
        <v>6.84</v>
      </c>
      <c r="F1036">
        <v>165.8</v>
      </c>
      <c r="G1036">
        <v>4.0999999999999996</v>
      </c>
    </row>
    <row r="1037" spans="1:7" x14ac:dyDescent="0.3">
      <c r="A1037">
        <v>2023</v>
      </c>
      <c r="B1037" t="s">
        <v>18</v>
      </c>
      <c r="C1037" t="s">
        <v>8</v>
      </c>
      <c r="D1037" t="s">
        <v>15</v>
      </c>
      <c r="E1037">
        <v>28.32</v>
      </c>
      <c r="F1037">
        <v>167.8</v>
      </c>
      <c r="G1037">
        <v>4.18</v>
      </c>
    </row>
    <row r="1038" spans="1:7" x14ac:dyDescent="0.3">
      <c r="A1038">
        <v>2023</v>
      </c>
      <c r="B1038" t="s">
        <v>18</v>
      </c>
      <c r="C1038" t="s">
        <v>16</v>
      </c>
      <c r="D1038" t="s">
        <v>9</v>
      </c>
      <c r="E1038">
        <v>100</v>
      </c>
      <c r="F1038">
        <v>156.4</v>
      </c>
      <c r="G1038">
        <v>3.7</v>
      </c>
    </row>
    <row r="1039" spans="1:7" x14ac:dyDescent="0.3">
      <c r="A1039">
        <v>2023</v>
      </c>
      <c r="B1039" t="s">
        <v>18</v>
      </c>
      <c r="C1039" t="s">
        <v>16</v>
      </c>
      <c r="D1039" t="s">
        <v>10</v>
      </c>
      <c r="E1039">
        <v>45.86</v>
      </c>
      <c r="F1039">
        <v>158.4</v>
      </c>
      <c r="G1039">
        <v>3.78</v>
      </c>
    </row>
    <row r="1040" spans="1:7" x14ac:dyDescent="0.3">
      <c r="A1040">
        <v>2023</v>
      </c>
      <c r="B1040" t="s">
        <v>18</v>
      </c>
      <c r="C1040" t="s">
        <v>16</v>
      </c>
      <c r="D1040" t="s">
        <v>11</v>
      </c>
      <c r="E1040">
        <v>2.38</v>
      </c>
      <c r="F1040">
        <v>160.4</v>
      </c>
      <c r="G1040">
        <v>3.86</v>
      </c>
    </row>
    <row r="1041" spans="1:7" x14ac:dyDescent="0.3">
      <c r="A1041">
        <v>2023</v>
      </c>
      <c r="B1041" t="s">
        <v>18</v>
      </c>
      <c r="C1041" t="s">
        <v>16</v>
      </c>
      <c r="D1041" t="s">
        <v>12</v>
      </c>
      <c r="E1041">
        <v>6.53</v>
      </c>
      <c r="F1041">
        <v>162.4</v>
      </c>
      <c r="G1041">
        <v>3.94</v>
      </c>
    </row>
    <row r="1042" spans="1:7" x14ac:dyDescent="0.3">
      <c r="A1042">
        <v>2023</v>
      </c>
      <c r="B1042" t="s">
        <v>18</v>
      </c>
      <c r="C1042" t="s">
        <v>16</v>
      </c>
      <c r="D1042" t="s">
        <v>13</v>
      </c>
      <c r="E1042">
        <v>10.07</v>
      </c>
      <c r="F1042">
        <v>164.4</v>
      </c>
      <c r="G1042">
        <v>4.0199999999999996</v>
      </c>
    </row>
    <row r="1043" spans="1:7" x14ac:dyDescent="0.3">
      <c r="A1043">
        <v>2023</v>
      </c>
      <c r="B1043" t="s">
        <v>18</v>
      </c>
      <c r="C1043" t="s">
        <v>16</v>
      </c>
      <c r="D1043" t="s">
        <v>14</v>
      </c>
      <c r="E1043">
        <v>6.84</v>
      </c>
      <c r="F1043">
        <v>166.4</v>
      </c>
      <c r="G1043">
        <v>4.0999999999999996</v>
      </c>
    </row>
    <row r="1044" spans="1:7" x14ac:dyDescent="0.3">
      <c r="A1044">
        <v>2023</v>
      </c>
      <c r="B1044" t="s">
        <v>18</v>
      </c>
      <c r="C1044" t="s">
        <v>16</v>
      </c>
      <c r="D1044" t="s">
        <v>15</v>
      </c>
      <c r="E1044">
        <v>28.32</v>
      </c>
      <c r="F1044">
        <v>168.4</v>
      </c>
      <c r="G1044">
        <v>4.18</v>
      </c>
    </row>
    <row r="1045" spans="1:7" x14ac:dyDescent="0.3">
      <c r="A1045">
        <v>2023</v>
      </c>
      <c r="B1045" t="s">
        <v>18</v>
      </c>
      <c r="C1045" t="s">
        <v>17</v>
      </c>
      <c r="D1045" t="s">
        <v>9</v>
      </c>
      <c r="E1045">
        <v>100</v>
      </c>
      <c r="F1045">
        <v>157</v>
      </c>
      <c r="G1045">
        <v>3.7</v>
      </c>
    </row>
    <row r="1046" spans="1:7" x14ac:dyDescent="0.3">
      <c r="A1046">
        <v>2023</v>
      </c>
      <c r="B1046" t="s">
        <v>18</v>
      </c>
      <c r="C1046" t="s">
        <v>17</v>
      </c>
      <c r="D1046" t="s">
        <v>10</v>
      </c>
      <c r="E1046">
        <v>45.86</v>
      </c>
      <c r="F1046">
        <v>159</v>
      </c>
      <c r="G1046">
        <v>3.78</v>
      </c>
    </row>
    <row r="1047" spans="1:7" x14ac:dyDescent="0.3">
      <c r="A1047">
        <v>2023</v>
      </c>
      <c r="B1047" t="s">
        <v>18</v>
      </c>
      <c r="C1047" t="s">
        <v>17</v>
      </c>
      <c r="D1047" t="s">
        <v>11</v>
      </c>
      <c r="E1047">
        <v>2.38</v>
      </c>
      <c r="F1047">
        <v>161</v>
      </c>
      <c r="G1047">
        <v>3.86</v>
      </c>
    </row>
    <row r="1048" spans="1:7" x14ac:dyDescent="0.3">
      <c r="A1048">
        <v>2023</v>
      </c>
      <c r="B1048" t="s">
        <v>18</v>
      </c>
      <c r="C1048" t="s">
        <v>17</v>
      </c>
      <c r="D1048" t="s">
        <v>12</v>
      </c>
      <c r="E1048">
        <v>6.53</v>
      </c>
      <c r="F1048">
        <v>163</v>
      </c>
      <c r="G1048">
        <v>3.94</v>
      </c>
    </row>
    <row r="1049" spans="1:7" x14ac:dyDescent="0.3">
      <c r="A1049">
        <v>2023</v>
      </c>
      <c r="B1049" t="s">
        <v>18</v>
      </c>
      <c r="C1049" t="s">
        <v>17</v>
      </c>
      <c r="D1049" t="s">
        <v>13</v>
      </c>
      <c r="E1049">
        <v>10.07</v>
      </c>
      <c r="F1049">
        <v>165</v>
      </c>
      <c r="G1049">
        <v>4.0199999999999996</v>
      </c>
    </row>
    <row r="1050" spans="1:7" x14ac:dyDescent="0.3">
      <c r="A1050">
        <v>2023</v>
      </c>
      <c r="B1050" t="s">
        <v>18</v>
      </c>
      <c r="C1050" t="s">
        <v>17</v>
      </c>
      <c r="D1050" t="s">
        <v>14</v>
      </c>
      <c r="E1050">
        <v>6.84</v>
      </c>
      <c r="F1050">
        <v>167</v>
      </c>
      <c r="G1050">
        <v>4.0999999999999996</v>
      </c>
    </row>
    <row r="1051" spans="1:7" x14ac:dyDescent="0.3">
      <c r="A1051">
        <v>2023</v>
      </c>
      <c r="B1051" t="s">
        <v>18</v>
      </c>
      <c r="C1051" t="s">
        <v>17</v>
      </c>
      <c r="D1051" t="s">
        <v>15</v>
      </c>
      <c r="E1051">
        <v>28.32</v>
      </c>
      <c r="F1051">
        <v>169</v>
      </c>
      <c r="G1051">
        <v>4.18</v>
      </c>
    </row>
    <row r="1052" spans="1:7" x14ac:dyDescent="0.3">
      <c r="A1052">
        <v>2023</v>
      </c>
      <c r="B1052" t="s">
        <v>19</v>
      </c>
      <c r="C1052" t="s">
        <v>8</v>
      </c>
      <c r="D1052" t="s">
        <v>9</v>
      </c>
      <c r="E1052">
        <v>100</v>
      </c>
      <c r="F1052">
        <v>156.19999999999999</v>
      </c>
      <c r="G1052">
        <v>3.85</v>
      </c>
    </row>
    <row r="1053" spans="1:7" x14ac:dyDescent="0.3">
      <c r="A1053">
        <v>2023</v>
      </c>
      <c r="B1053" t="s">
        <v>19</v>
      </c>
      <c r="C1053" t="s">
        <v>8</v>
      </c>
      <c r="D1053" t="s">
        <v>10</v>
      </c>
      <c r="E1053">
        <v>45.86</v>
      </c>
      <c r="F1053">
        <v>158.19999999999999</v>
      </c>
      <c r="G1053">
        <v>3.93</v>
      </c>
    </row>
    <row r="1054" spans="1:7" x14ac:dyDescent="0.3">
      <c r="A1054">
        <v>2023</v>
      </c>
      <c r="B1054" t="s">
        <v>19</v>
      </c>
      <c r="C1054" t="s">
        <v>8</v>
      </c>
      <c r="D1054" t="s">
        <v>11</v>
      </c>
      <c r="E1054">
        <v>2.38</v>
      </c>
      <c r="F1054">
        <v>160.19999999999999</v>
      </c>
      <c r="G1054">
        <v>4.01</v>
      </c>
    </row>
    <row r="1055" spans="1:7" x14ac:dyDescent="0.3">
      <c r="A1055">
        <v>2023</v>
      </c>
      <c r="B1055" t="s">
        <v>19</v>
      </c>
      <c r="C1055" t="s">
        <v>8</v>
      </c>
      <c r="D1055" t="s">
        <v>12</v>
      </c>
      <c r="E1055">
        <v>6.53</v>
      </c>
      <c r="F1055">
        <v>162.19999999999999</v>
      </c>
      <c r="G1055">
        <v>4.09</v>
      </c>
    </row>
    <row r="1056" spans="1:7" x14ac:dyDescent="0.3">
      <c r="A1056">
        <v>2023</v>
      </c>
      <c r="B1056" t="s">
        <v>19</v>
      </c>
      <c r="C1056" t="s">
        <v>8</v>
      </c>
      <c r="D1056" t="s">
        <v>13</v>
      </c>
      <c r="E1056">
        <v>10.07</v>
      </c>
      <c r="F1056">
        <v>164.2</v>
      </c>
      <c r="G1056">
        <v>4.17</v>
      </c>
    </row>
    <row r="1057" spans="1:7" x14ac:dyDescent="0.3">
      <c r="A1057">
        <v>2023</v>
      </c>
      <c r="B1057" t="s">
        <v>19</v>
      </c>
      <c r="C1057" t="s">
        <v>8</v>
      </c>
      <c r="D1057" t="s">
        <v>14</v>
      </c>
      <c r="E1057">
        <v>6.84</v>
      </c>
      <c r="F1057">
        <v>166.2</v>
      </c>
      <c r="G1057">
        <v>4.25</v>
      </c>
    </row>
    <row r="1058" spans="1:7" x14ac:dyDescent="0.3">
      <c r="A1058">
        <v>2023</v>
      </c>
      <c r="B1058" t="s">
        <v>19</v>
      </c>
      <c r="C1058" t="s">
        <v>8</v>
      </c>
      <c r="D1058" t="s">
        <v>15</v>
      </c>
      <c r="E1058">
        <v>28.32</v>
      </c>
      <c r="F1058">
        <v>168.2</v>
      </c>
      <c r="G1058">
        <v>4.33</v>
      </c>
    </row>
    <row r="1059" spans="1:7" x14ac:dyDescent="0.3">
      <c r="A1059">
        <v>2023</v>
      </c>
      <c r="B1059" t="s">
        <v>19</v>
      </c>
      <c r="C1059" t="s">
        <v>16</v>
      </c>
      <c r="D1059" t="s">
        <v>9</v>
      </c>
      <c r="E1059">
        <v>100</v>
      </c>
      <c r="F1059">
        <v>156.80000000000001</v>
      </c>
      <c r="G1059">
        <v>3.85</v>
      </c>
    </row>
    <row r="1060" spans="1:7" x14ac:dyDescent="0.3">
      <c r="A1060">
        <v>2023</v>
      </c>
      <c r="B1060" t="s">
        <v>19</v>
      </c>
      <c r="C1060" t="s">
        <v>16</v>
      </c>
      <c r="D1060" t="s">
        <v>10</v>
      </c>
      <c r="E1060">
        <v>45.86</v>
      </c>
      <c r="F1060">
        <v>158.80000000000001</v>
      </c>
      <c r="G1060">
        <v>3.93</v>
      </c>
    </row>
    <row r="1061" spans="1:7" x14ac:dyDescent="0.3">
      <c r="A1061">
        <v>2023</v>
      </c>
      <c r="B1061" t="s">
        <v>19</v>
      </c>
      <c r="C1061" t="s">
        <v>16</v>
      </c>
      <c r="D1061" t="s">
        <v>11</v>
      </c>
      <c r="E1061">
        <v>2.38</v>
      </c>
      <c r="F1061">
        <v>160.80000000000001</v>
      </c>
      <c r="G1061">
        <v>4.01</v>
      </c>
    </row>
    <row r="1062" spans="1:7" x14ac:dyDescent="0.3">
      <c r="A1062">
        <v>2023</v>
      </c>
      <c r="B1062" t="s">
        <v>19</v>
      </c>
      <c r="C1062" t="s">
        <v>16</v>
      </c>
      <c r="D1062" t="s">
        <v>12</v>
      </c>
      <c r="E1062">
        <v>6.53</v>
      </c>
      <c r="F1062">
        <v>162.80000000000001</v>
      </c>
      <c r="G1062">
        <v>4.09</v>
      </c>
    </row>
    <row r="1063" spans="1:7" x14ac:dyDescent="0.3">
      <c r="A1063">
        <v>2023</v>
      </c>
      <c r="B1063" t="s">
        <v>19</v>
      </c>
      <c r="C1063" t="s">
        <v>16</v>
      </c>
      <c r="D1063" t="s">
        <v>13</v>
      </c>
      <c r="E1063">
        <v>10.07</v>
      </c>
      <c r="F1063">
        <v>164.8</v>
      </c>
      <c r="G1063">
        <v>4.17</v>
      </c>
    </row>
    <row r="1064" spans="1:7" x14ac:dyDescent="0.3">
      <c r="A1064">
        <v>2023</v>
      </c>
      <c r="B1064" t="s">
        <v>19</v>
      </c>
      <c r="C1064" t="s">
        <v>16</v>
      </c>
      <c r="D1064" t="s">
        <v>14</v>
      </c>
      <c r="E1064">
        <v>6.84</v>
      </c>
      <c r="F1064">
        <v>166.8</v>
      </c>
      <c r="G1064">
        <v>4.25</v>
      </c>
    </row>
    <row r="1065" spans="1:7" x14ac:dyDescent="0.3">
      <c r="A1065">
        <v>2023</v>
      </c>
      <c r="B1065" t="s">
        <v>19</v>
      </c>
      <c r="C1065" t="s">
        <v>16</v>
      </c>
      <c r="D1065" t="s">
        <v>15</v>
      </c>
      <c r="E1065">
        <v>28.32</v>
      </c>
      <c r="F1065">
        <v>168.8</v>
      </c>
      <c r="G1065">
        <v>4.33</v>
      </c>
    </row>
    <row r="1066" spans="1:7" x14ac:dyDescent="0.3">
      <c r="A1066">
        <v>2023</v>
      </c>
      <c r="B1066" t="s">
        <v>19</v>
      </c>
      <c r="C1066" t="s">
        <v>17</v>
      </c>
      <c r="D1066" t="s">
        <v>9</v>
      </c>
      <c r="E1066">
        <v>100</v>
      </c>
      <c r="F1066">
        <v>157.4</v>
      </c>
      <c r="G1066">
        <v>3.85</v>
      </c>
    </row>
    <row r="1067" spans="1:7" x14ac:dyDescent="0.3">
      <c r="A1067">
        <v>2023</v>
      </c>
      <c r="B1067" t="s">
        <v>19</v>
      </c>
      <c r="C1067" t="s">
        <v>17</v>
      </c>
      <c r="D1067" t="s">
        <v>10</v>
      </c>
      <c r="E1067">
        <v>45.86</v>
      </c>
      <c r="F1067">
        <v>159.4</v>
      </c>
      <c r="G1067">
        <v>3.93</v>
      </c>
    </row>
    <row r="1068" spans="1:7" x14ac:dyDescent="0.3">
      <c r="A1068">
        <v>2023</v>
      </c>
      <c r="B1068" t="s">
        <v>19</v>
      </c>
      <c r="C1068" t="s">
        <v>17</v>
      </c>
      <c r="D1068" t="s">
        <v>11</v>
      </c>
      <c r="E1068">
        <v>2.38</v>
      </c>
      <c r="F1068">
        <v>161.4</v>
      </c>
      <c r="G1068">
        <v>4.01</v>
      </c>
    </row>
    <row r="1069" spans="1:7" x14ac:dyDescent="0.3">
      <c r="A1069">
        <v>2023</v>
      </c>
      <c r="B1069" t="s">
        <v>19</v>
      </c>
      <c r="C1069" t="s">
        <v>17</v>
      </c>
      <c r="D1069" t="s">
        <v>12</v>
      </c>
      <c r="E1069">
        <v>6.53</v>
      </c>
      <c r="F1069">
        <v>163.4</v>
      </c>
      <c r="G1069">
        <v>4.09</v>
      </c>
    </row>
    <row r="1070" spans="1:7" x14ac:dyDescent="0.3">
      <c r="A1070">
        <v>2023</v>
      </c>
      <c r="B1070" t="s">
        <v>19</v>
      </c>
      <c r="C1070" t="s">
        <v>17</v>
      </c>
      <c r="D1070" t="s">
        <v>13</v>
      </c>
      <c r="E1070">
        <v>10.07</v>
      </c>
      <c r="F1070">
        <v>165.4</v>
      </c>
      <c r="G1070">
        <v>4.17</v>
      </c>
    </row>
    <row r="1071" spans="1:7" x14ac:dyDescent="0.3">
      <c r="A1071">
        <v>2023</v>
      </c>
      <c r="B1071" t="s">
        <v>19</v>
      </c>
      <c r="C1071" t="s">
        <v>17</v>
      </c>
      <c r="D1071" t="s">
        <v>14</v>
      </c>
      <c r="E1071">
        <v>6.84</v>
      </c>
      <c r="F1071">
        <v>167.4</v>
      </c>
      <c r="G1071">
        <v>4.25</v>
      </c>
    </row>
    <row r="1072" spans="1:7" x14ac:dyDescent="0.3">
      <c r="A1072">
        <v>2023</v>
      </c>
      <c r="B1072" t="s">
        <v>19</v>
      </c>
      <c r="C1072" t="s">
        <v>17</v>
      </c>
      <c r="D1072" t="s">
        <v>15</v>
      </c>
      <c r="E1072">
        <v>28.32</v>
      </c>
      <c r="F1072">
        <v>169.4</v>
      </c>
      <c r="G1072">
        <v>4.33</v>
      </c>
    </row>
    <row r="1073" spans="1:7" x14ac:dyDescent="0.3">
      <c r="A1073">
        <v>2023</v>
      </c>
      <c r="B1073" t="s">
        <v>20</v>
      </c>
      <c r="C1073" t="s">
        <v>8</v>
      </c>
      <c r="D1073" t="s">
        <v>9</v>
      </c>
      <c r="E1073">
        <v>100</v>
      </c>
      <c r="F1073">
        <v>156.6</v>
      </c>
      <c r="G1073">
        <v>4</v>
      </c>
    </row>
    <row r="1074" spans="1:7" x14ac:dyDescent="0.3">
      <c r="A1074">
        <v>2023</v>
      </c>
      <c r="B1074" t="s">
        <v>20</v>
      </c>
      <c r="C1074" t="s">
        <v>8</v>
      </c>
      <c r="D1074" t="s">
        <v>10</v>
      </c>
      <c r="E1074">
        <v>45.86</v>
      </c>
      <c r="F1074">
        <v>158.6</v>
      </c>
      <c r="G1074">
        <v>4.08</v>
      </c>
    </row>
    <row r="1075" spans="1:7" x14ac:dyDescent="0.3">
      <c r="A1075">
        <v>2023</v>
      </c>
      <c r="B1075" t="s">
        <v>20</v>
      </c>
      <c r="C1075" t="s">
        <v>8</v>
      </c>
      <c r="D1075" t="s">
        <v>11</v>
      </c>
      <c r="E1075">
        <v>2.38</v>
      </c>
      <c r="F1075">
        <v>160.6</v>
      </c>
      <c r="G1075">
        <v>4.16</v>
      </c>
    </row>
    <row r="1076" spans="1:7" x14ac:dyDescent="0.3">
      <c r="A1076">
        <v>2023</v>
      </c>
      <c r="B1076" t="s">
        <v>20</v>
      </c>
      <c r="C1076" t="s">
        <v>8</v>
      </c>
      <c r="D1076" t="s">
        <v>12</v>
      </c>
      <c r="E1076">
        <v>6.53</v>
      </c>
      <c r="F1076">
        <v>162.6</v>
      </c>
      <c r="G1076">
        <v>4.24</v>
      </c>
    </row>
    <row r="1077" spans="1:7" x14ac:dyDescent="0.3">
      <c r="A1077">
        <v>2023</v>
      </c>
      <c r="B1077" t="s">
        <v>20</v>
      </c>
      <c r="C1077" t="s">
        <v>8</v>
      </c>
      <c r="D1077" t="s">
        <v>13</v>
      </c>
      <c r="E1077">
        <v>10.07</v>
      </c>
      <c r="F1077">
        <v>164.6</v>
      </c>
      <c r="G1077">
        <v>4.32</v>
      </c>
    </row>
    <row r="1078" spans="1:7" x14ac:dyDescent="0.3">
      <c r="A1078">
        <v>2023</v>
      </c>
      <c r="B1078" t="s">
        <v>20</v>
      </c>
      <c r="C1078" t="s">
        <v>8</v>
      </c>
      <c r="D1078" t="s">
        <v>14</v>
      </c>
      <c r="E1078">
        <v>6.84</v>
      </c>
      <c r="F1078">
        <v>166.6</v>
      </c>
      <c r="G1078">
        <v>4.4000000000000004</v>
      </c>
    </row>
    <row r="1079" spans="1:7" x14ac:dyDescent="0.3">
      <c r="A1079">
        <v>2023</v>
      </c>
      <c r="B1079" t="s">
        <v>20</v>
      </c>
      <c r="C1079" t="s">
        <v>8</v>
      </c>
      <c r="D1079" t="s">
        <v>15</v>
      </c>
      <c r="E1079">
        <v>28.32</v>
      </c>
      <c r="F1079">
        <v>168.6</v>
      </c>
      <c r="G1079">
        <v>4.4800000000000004</v>
      </c>
    </row>
    <row r="1080" spans="1:7" x14ac:dyDescent="0.3">
      <c r="A1080">
        <v>2023</v>
      </c>
      <c r="B1080" t="s">
        <v>20</v>
      </c>
      <c r="C1080" t="s">
        <v>16</v>
      </c>
      <c r="D1080" t="s">
        <v>9</v>
      </c>
      <c r="E1080">
        <v>100</v>
      </c>
      <c r="F1080">
        <v>157.19999999999999</v>
      </c>
      <c r="G1080">
        <v>4</v>
      </c>
    </row>
    <row r="1081" spans="1:7" x14ac:dyDescent="0.3">
      <c r="A1081">
        <v>2023</v>
      </c>
      <c r="B1081" t="s">
        <v>20</v>
      </c>
      <c r="C1081" t="s">
        <v>16</v>
      </c>
      <c r="D1081" t="s">
        <v>10</v>
      </c>
      <c r="E1081">
        <v>45.86</v>
      </c>
      <c r="F1081">
        <v>159.19999999999999</v>
      </c>
      <c r="G1081">
        <v>4.08</v>
      </c>
    </row>
    <row r="1082" spans="1:7" x14ac:dyDescent="0.3">
      <c r="A1082">
        <v>2023</v>
      </c>
      <c r="B1082" t="s">
        <v>20</v>
      </c>
      <c r="C1082" t="s">
        <v>16</v>
      </c>
      <c r="D1082" t="s">
        <v>11</v>
      </c>
      <c r="E1082">
        <v>2.38</v>
      </c>
      <c r="F1082">
        <v>161.19999999999999</v>
      </c>
      <c r="G1082">
        <v>4.16</v>
      </c>
    </row>
    <row r="1083" spans="1:7" x14ac:dyDescent="0.3">
      <c r="A1083">
        <v>2023</v>
      </c>
      <c r="B1083" t="s">
        <v>20</v>
      </c>
      <c r="C1083" t="s">
        <v>16</v>
      </c>
      <c r="D1083" t="s">
        <v>12</v>
      </c>
      <c r="E1083">
        <v>6.53</v>
      </c>
      <c r="F1083">
        <v>163.19999999999999</v>
      </c>
      <c r="G1083">
        <v>4.24</v>
      </c>
    </row>
    <row r="1084" spans="1:7" x14ac:dyDescent="0.3">
      <c r="A1084">
        <v>2023</v>
      </c>
      <c r="B1084" t="s">
        <v>20</v>
      </c>
      <c r="C1084" t="s">
        <v>16</v>
      </c>
      <c r="D1084" t="s">
        <v>13</v>
      </c>
      <c r="E1084">
        <v>10.07</v>
      </c>
      <c r="F1084">
        <v>165.2</v>
      </c>
      <c r="G1084">
        <v>4.32</v>
      </c>
    </row>
    <row r="1085" spans="1:7" x14ac:dyDescent="0.3">
      <c r="A1085">
        <v>2023</v>
      </c>
      <c r="B1085" t="s">
        <v>20</v>
      </c>
      <c r="C1085" t="s">
        <v>16</v>
      </c>
      <c r="D1085" t="s">
        <v>14</v>
      </c>
      <c r="E1085">
        <v>6.84</v>
      </c>
      <c r="F1085">
        <v>167.2</v>
      </c>
      <c r="G1085">
        <v>4.4000000000000004</v>
      </c>
    </row>
    <row r="1086" spans="1:7" x14ac:dyDescent="0.3">
      <c r="A1086">
        <v>2023</v>
      </c>
      <c r="B1086" t="s">
        <v>20</v>
      </c>
      <c r="C1086" t="s">
        <v>16</v>
      </c>
      <c r="D1086" t="s">
        <v>15</v>
      </c>
      <c r="E1086">
        <v>28.32</v>
      </c>
      <c r="F1086">
        <v>169.2</v>
      </c>
      <c r="G1086">
        <v>4.4800000000000004</v>
      </c>
    </row>
    <row r="1087" spans="1:7" x14ac:dyDescent="0.3">
      <c r="A1087">
        <v>2023</v>
      </c>
      <c r="B1087" t="s">
        <v>20</v>
      </c>
      <c r="C1087" t="s">
        <v>17</v>
      </c>
      <c r="D1087" t="s">
        <v>9</v>
      </c>
      <c r="E1087">
        <v>100</v>
      </c>
      <c r="F1087">
        <v>157.80000000000001</v>
      </c>
      <c r="G1087">
        <v>4</v>
      </c>
    </row>
    <row r="1088" spans="1:7" x14ac:dyDescent="0.3">
      <c r="A1088">
        <v>2023</v>
      </c>
      <c r="B1088" t="s">
        <v>20</v>
      </c>
      <c r="C1088" t="s">
        <v>17</v>
      </c>
      <c r="D1088" t="s">
        <v>10</v>
      </c>
      <c r="E1088">
        <v>45.86</v>
      </c>
      <c r="F1088">
        <v>159.80000000000001</v>
      </c>
      <c r="G1088">
        <v>4.08</v>
      </c>
    </row>
    <row r="1089" spans="1:7" x14ac:dyDescent="0.3">
      <c r="A1089">
        <v>2023</v>
      </c>
      <c r="B1089" t="s">
        <v>20</v>
      </c>
      <c r="C1089" t="s">
        <v>17</v>
      </c>
      <c r="D1089" t="s">
        <v>11</v>
      </c>
      <c r="E1089">
        <v>2.38</v>
      </c>
      <c r="F1089">
        <v>161.80000000000001</v>
      </c>
      <c r="G1089">
        <v>4.16</v>
      </c>
    </row>
    <row r="1090" spans="1:7" x14ac:dyDescent="0.3">
      <c r="A1090">
        <v>2023</v>
      </c>
      <c r="B1090" t="s">
        <v>20</v>
      </c>
      <c r="C1090" t="s">
        <v>17</v>
      </c>
      <c r="D1090" t="s">
        <v>12</v>
      </c>
      <c r="E1090">
        <v>6.53</v>
      </c>
      <c r="F1090">
        <v>163.80000000000001</v>
      </c>
      <c r="G1090">
        <v>4.24</v>
      </c>
    </row>
    <row r="1091" spans="1:7" x14ac:dyDescent="0.3">
      <c r="A1091">
        <v>2023</v>
      </c>
      <c r="B1091" t="s">
        <v>20</v>
      </c>
      <c r="C1091" t="s">
        <v>17</v>
      </c>
      <c r="D1091" t="s">
        <v>13</v>
      </c>
      <c r="E1091">
        <v>10.07</v>
      </c>
      <c r="F1091">
        <v>165.8</v>
      </c>
      <c r="G1091">
        <v>4.32</v>
      </c>
    </row>
    <row r="1092" spans="1:7" x14ac:dyDescent="0.3">
      <c r="A1092">
        <v>2023</v>
      </c>
      <c r="B1092" t="s">
        <v>20</v>
      </c>
      <c r="C1092" t="s">
        <v>17</v>
      </c>
      <c r="D1092" t="s">
        <v>14</v>
      </c>
      <c r="E1092">
        <v>6.84</v>
      </c>
      <c r="F1092">
        <v>167.8</v>
      </c>
      <c r="G1092">
        <v>4.4000000000000004</v>
      </c>
    </row>
    <row r="1093" spans="1:7" x14ac:dyDescent="0.3">
      <c r="A1093">
        <v>2023</v>
      </c>
      <c r="B1093" t="s">
        <v>20</v>
      </c>
      <c r="C1093" t="s">
        <v>17</v>
      </c>
      <c r="D1093" t="s">
        <v>15</v>
      </c>
      <c r="E1093">
        <v>28.32</v>
      </c>
      <c r="F1093">
        <v>169.8</v>
      </c>
      <c r="G1093">
        <v>4.4800000000000004</v>
      </c>
    </row>
    <row r="1094" spans="1:7" x14ac:dyDescent="0.3">
      <c r="A1094">
        <v>2023</v>
      </c>
      <c r="B1094" t="s">
        <v>21</v>
      </c>
      <c r="C1094" t="s">
        <v>8</v>
      </c>
      <c r="D1094" t="s">
        <v>9</v>
      </c>
      <c r="E1094">
        <v>100</v>
      </c>
      <c r="F1094">
        <v>157</v>
      </c>
      <c r="G1094">
        <v>4.1500000000000004</v>
      </c>
    </row>
    <row r="1095" spans="1:7" x14ac:dyDescent="0.3">
      <c r="A1095">
        <v>2023</v>
      </c>
      <c r="B1095" t="s">
        <v>21</v>
      </c>
      <c r="C1095" t="s">
        <v>8</v>
      </c>
      <c r="D1095" t="s">
        <v>10</v>
      </c>
      <c r="E1095">
        <v>45.86</v>
      </c>
      <c r="F1095">
        <v>159</v>
      </c>
      <c r="G1095">
        <v>4.2300000000000004</v>
      </c>
    </row>
    <row r="1096" spans="1:7" x14ac:dyDescent="0.3">
      <c r="A1096">
        <v>2023</v>
      </c>
      <c r="B1096" t="s">
        <v>21</v>
      </c>
      <c r="C1096" t="s">
        <v>8</v>
      </c>
      <c r="D1096" t="s">
        <v>11</v>
      </c>
      <c r="E1096">
        <v>2.38</v>
      </c>
      <c r="F1096">
        <v>161</v>
      </c>
      <c r="G1096">
        <v>4.3099999999999996</v>
      </c>
    </row>
    <row r="1097" spans="1:7" x14ac:dyDescent="0.3">
      <c r="A1097">
        <v>2023</v>
      </c>
      <c r="B1097" t="s">
        <v>21</v>
      </c>
      <c r="C1097" t="s">
        <v>8</v>
      </c>
      <c r="D1097" t="s">
        <v>12</v>
      </c>
      <c r="E1097">
        <v>6.53</v>
      </c>
      <c r="F1097">
        <v>163</v>
      </c>
      <c r="G1097">
        <v>4.3899999999999997</v>
      </c>
    </row>
    <row r="1098" spans="1:7" x14ac:dyDescent="0.3">
      <c r="A1098">
        <v>2023</v>
      </c>
      <c r="B1098" t="s">
        <v>21</v>
      </c>
      <c r="C1098" t="s">
        <v>8</v>
      </c>
      <c r="D1098" t="s">
        <v>13</v>
      </c>
      <c r="E1098">
        <v>10.07</v>
      </c>
      <c r="F1098">
        <v>165</v>
      </c>
      <c r="G1098">
        <v>4.47</v>
      </c>
    </row>
    <row r="1099" spans="1:7" x14ac:dyDescent="0.3">
      <c r="A1099">
        <v>2023</v>
      </c>
      <c r="B1099" t="s">
        <v>21</v>
      </c>
      <c r="C1099" t="s">
        <v>8</v>
      </c>
      <c r="D1099" t="s">
        <v>14</v>
      </c>
      <c r="E1099">
        <v>6.84</v>
      </c>
      <c r="F1099">
        <v>167</v>
      </c>
      <c r="G1099">
        <v>4.55</v>
      </c>
    </row>
    <row r="1100" spans="1:7" x14ac:dyDescent="0.3">
      <c r="A1100">
        <v>2023</v>
      </c>
      <c r="B1100" t="s">
        <v>21</v>
      </c>
      <c r="C1100" t="s">
        <v>8</v>
      </c>
      <c r="D1100" t="s">
        <v>15</v>
      </c>
      <c r="E1100">
        <v>28.32</v>
      </c>
      <c r="F1100">
        <v>169</v>
      </c>
      <c r="G1100">
        <v>4.63</v>
      </c>
    </row>
    <row r="1101" spans="1:7" x14ac:dyDescent="0.3">
      <c r="A1101">
        <v>2023</v>
      </c>
      <c r="B1101" t="s">
        <v>21</v>
      </c>
      <c r="C1101" t="s">
        <v>16</v>
      </c>
      <c r="D1101" t="s">
        <v>9</v>
      </c>
      <c r="E1101">
        <v>100</v>
      </c>
      <c r="F1101">
        <v>157.6</v>
      </c>
      <c r="G1101">
        <v>4.1500000000000004</v>
      </c>
    </row>
    <row r="1102" spans="1:7" x14ac:dyDescent="0.3">
      <c r="A1102">
        <v>2023</v>
      </c>
      <c r="B1102" t="s">
        <v>21</v>
      </c>
      <c r="C1102" t="s">
        <v>16</v>
      </c>
      <c r="D1102" t="s">
        <v>10</v>
      </c>
      <c r="E1102">
        <v>45.86</v>
      </c>
      <c r="F1102">
        <v>159.6</v>
      </c>
      <c r="G1102">
        <v>4.2300000000000004</v>
      </c>
    </row>
    <row r="1103" spans="1:7" x14ac:dyDescent="0.3">
      <c r="A1103">
        <v>2023</v>
      </c>
      <c r="B1103" t="s">
        <v>21</v>
      </c>
      <c r="C1103" t="s">
        <v>16</v>
      </c>
      <c r="D1103" t="s">
        <v>11</v>
      </c>
      <c r="E1103">
        <v>2.38</v>
      </c>
      <c r="F1103">
        <v>161.6</v>
      </c>
      <c r="G1103">
        <v>4.3099999999999996</v>
      </c>
    </row>
    <row r="1104" spans="1:7" x14ac:dyDescent="0.3">
      <c r="A1104">
        <v>2023</v>
      </c>
      <c r="B1104" t="s">
        <v>21</v>
      </c>
      <c r="C1104" t="s">
        <v>16</v>
      </c>
      <c r="D1104" t="s">
        <v>12</v>
      </c>
      <c r="E1104">
        <v>6.53</v>
      </c>
      <c r="F1104">
        <v>163.6</v>
      </c>
      <c r="G1104">
        <v>4.3899999999999997</v>
      </c>
    </row>
    <row r="1105" spans="1:7" x14ac:dyDescent="0.3">
      <c r="A1105">
        <v>2023</v>
      </c>
      <c r="B1105" t="s">
        <v>21</v>
      </c>
      <c r="C1105" t="s">
        <v>16</v>
      </c>
      <c r="D1105" t="s">
        <v>13</v>
      </c>
      <c r="E1105">
        <v>10.07</v>
      </c>
      <c r="F1105">
        <v>165.6</v>
      </c>
      <c r="G1105">
        <v>4.47</v>
      </c>
    </row>
    <row r="1106" spans="1:7" x14ac:dyDescent="0.3">
      <c r="A1106">
        <v>2023</v>
      </c>
      <c r="B1106" t="s">
        <v>21</v>
      </c>
      <c r="C1106" t="s">
        <v>16</v>
      </c>
      <c r="D1106" t="s">
        <v>14</v>
      </c>
      <c r="E1106">
        <v>6.84</v>
      </c>
      <c r="F1106">
        <v>167.6</v>
      </c>
      <c r="G1106">
        <v>4.55</v>
      </c>
    </row>
    <row r="1107" spans="1:7" x14ac:dyDescent="0.3">
      <c r="A1107">
        <v>2023</v>
      </c>
      <c r="B1107" t="s">
        <v>21</v>
      </c>
      <c r="C1107" t="s">
        <v>16</v>
      </c>
      <c r="D1107" t="s">
        <v>15</v>
      </c>
      <c r="E1107">
        <v>28.32</v>
      </c>
      <c r="F1107">
        <v>169.6</v>
      </c>
      <c r="G1107">
        <v>4.63</v>
      </c>
    </row>
    <row r="1108" spans="1:7" x14ac:dyDescent="0.3">
      <c r="A1108">
        <v>2023</v>
      </c>
      <c r="B1108" t="s">
        <v>21</v>
      </c>
      <c r="C1108" t="s">
        <v>17</v>
      </c>
      <c r="D1108" t="s">
        <v>9</v>
      </c>
      <c r="E1108">
        <v>100</v>
      </c>
      <c r="F1108">
        <v>158.19999999999999</v>
      </c>
      <c r="G1108">
        <v>4.1500000000000004</v>
      </c>
    </row>
    <row r="1109" spans="1:7" x14ac:dyDescent="0.3">
      <c r="A1109">
        <v>2023</v>
      </c>
      <c r="B1109" t="s">
        <v>21</v>
      </c>
      <c r="C1109" t="s">
        <v>17</v>
      </c>
      <c r="D1109" t="s">
        <v>10</v>
      </c>
      <c r="E1109">
        <v>45.86</v>
      </c>
      <c r="F1109">
        <v>160.19999999999999</v>
      </c>
      <c r="G1109">
        <v>4.2300000000000004</v>
      </c>
    </row>
    <row r="1110" spans="1:7" x14ac:dyDescent="0.3">
      <c r="A1110">
        <v>2023</v>
      </c>
      <c r="B1110" t="s">
        <v>21</v>
      </c>
      <c r="C1110" t="s">
        <v>17</v>
      </c>
      <c r="D1110" t="s">
        <v>11</v>
      </c>
      <c r="E1110">
        <v>2.38</v>
      </c>
      <c r="F1110">
        <v>162.19999999999999</v>
      </c>
      <c r="G1110">
        <v>4.3099999999999996</v>
      </c>
    </row>
    <row r="1111" spans="1:7" x14ac:dyDescent="0.3">
      <c r="A1111">
        <v>2023</v>
      </c>
      <c r="B1111" t="s">
        <v>21</v>
      </c>
      <c r="C1111" t="s">
        <v>17</v>
      </c>
      <c r="D1111" t="s">
        <v>12</v>
      </c>
      <c r="E1111">
        <v>6.53</v>
      </c>
      <c r="F1111">
        <v>164.2</v>
      </c>
      <c r="G1111">
        <v>4.3899999999999997</v>
      </c>
    </row>
    <row r="1112" spans="1:7" x14ac:dyDescent="0.3">
      <c r="A1112">
        <v>2023</v>
      </c>
      <c r="B1112" t="s">
        <v>21</v>
      </c>
      <c r="C1112" t="s">
        <v>17</v>
      </c>
      <c r="D1112" t="s">
        <v>13</v>
      </c>
      <c r="E1112">
        <v>10.07</v>
      </c>
      <c r="F1112">
        <v>166.2</v>
      </c>
      <c r="G1112">
        <v>4.47</v>
      </c>
    </row>
    <row r="1113" spans="1:7" x14ac:dyDescent="0.3">
      <c r="A1113">
        <v>2023</v>
      </c>
      <c r="B1113" t="s">
        <v>21</v>
      </c>
      <c r="C1113" t="s">
        <v>17</v>
      </c>
      <c r="D1113" t="s">
        <v>14</v>
      </c>
      <c r="E1113">
        <v>6.84</v>
      </c>
      <c r="F1113">
        <v>168.2</v>
      </c>
      <c r="G1113">
        <v>4.55</v>
      </c>
    </row>
    <row r="1114" spans="1:7" x14ac:dyDescent="0.3">
      <c r="A1114">
        <v>2023</v>
      </c>
      <c r="B1114" t="s">
        <v>21</v>
      </c>
      <c r="C1114" t="s">
        <v>17</v>
      </c>
      <c r="D1114" t="s">
        <v>15</v>
      </c>
      <c r="E1114">
        <v>28.32</v>
      </c>
      <c r="F1114">
        <v>170.2</v>
      </c>
      <c r="G1114">
        <v>4.63</v>
      </c>
    </row>
    <row r="1115" spans="1:7" x14ac:dyDescent="0.3">
      <c r="A1115">
        <v>2023</v>
      </c>
      <c r="B1115" t="s">
        <v>22</v>
      </c>
      <c r="C1115" t="s">
        <v>8</v>
      </c>
      <c r="D1115" t="s">
        <v>9</v>
      </c>
      <c r="E1115">
        <v>100</v>
      </c>
      <c r="F1115">
        <v>157.4</v>
      </c>
      <c r="G1115">
        <v>3.4</v>
      </c>
    </row>
    <row r="1116" spans="1:7" x14ac:dyDescent="0.3">
      <c r="A1116">
        <v>2023</v>
      </c>
      <c r="B1116" t="s">
        <v>22</v>
      </c>
      <c r="C1116" t="s">
        <v>8</v>
      </c>
      <c r="D1116" t="s">
        <v>10</v>
      </c>
      <c r="E1116">
        <v>45.86</v>
      </c>
      <c r="F1116">
        <v>159.4</v>
      </c>
      <c r="G1116">
        <v>3.48</v>
      </c>
    </row>
    <row r="1117" spans="1:7" x14ac:dyDescent="0.3">
      <c r="A1117">
        <v>2023</v>
      </c>
      <c r="B1117" t="s">
        <v>22</v>
      </c>
      <c r="C1117" t="s">
        <v>8</v>
      </c>
      <c r="D1117" t="s">
        <v>11</v>
      </c>
      <c r="E1117">
        <v>2.38</v>
      </c>
      <c r="F1117">
        <v>161.4</v>
      </c>
      <c r="G1117">
        <v>3.56</v>
      </c>
    </row>
    <row r="1118" spans="1:7" x14ac:dyDescent="0.3">
      <c r="A1118">
        <v>2023</v>
      </c>
      <c r="B1118" t="s">
        <v>22</v>
      </c>
      <c r="C1118" t="s">
        <v>8</v>
      </c>
      <c r="D1118" t="s">
        <v>12</v>
      </c>
      <c r="E1118">
        <v>6.53</v>
      </c>
      <c r="F1118">
        <v>163.4</v>
      </c>
      <c r="G1118">
        <v>3.64</v>
      </c>
    </row>
    <row r="1119" spans="1:7" x14ac:dyDescent="0.3">
      <c r="A1119">
        <v>2023</v>
      </c>
      <c r="B1119" t="s">
        <v>22</v>
      </c>
      <c r="C1119" t="s">
        <v>8</v>
      </c>
      <c r="D1119" t="s">
        <v>13</v>
      </c>
      <c r="E1119">
        <v>10.07</v>
      </c>
      <c r="F1119">
        <v>165.4</v>
      </c>
      <c r="G1119">
        <v>3.72</v>
      </c>
    </row>
    <row r="1120" spans="1:7" x14ac:dyDescent="0.3">
      <c r="A1120">
        <v>2023</v>
      </c>
      <c r="B1120" t="s">
        <v>22</v>
      </c>
      <c r="C1120" t="s">
        <v>8</v>
      </c>
      <c r="D1120" t="s">
        <v>14</v>
      </c>
      <c r="E1120">
        <v>6.84</v>
      </c>
      <c r="F1120">
        <v>167.4</v>
      </c>
      <c r="G1120">
        <v>3.8</v>
      </c>
    </row>
    <row r="1121" spans="1:7" x14ac:dyDescent="0.3">
      <c r="A1121">
        <v>2023</v>
      </c>
      <c r="B1121" t="s">
        <v>22</v>
      </c>
      <c r="C1121" t="s">
        <v>8</v>
      </c>
      <c r="D1121" t="s">
        <v>15</v>
      </c>
      <c r="E1121">
        <v>28.32</v>
      </c>
      <c r="F1121">
        <v>169.4</v>
      </c>
      <c r="G1121">
        <v>3.88</v>
      </c>
    </row>
    <row r="1122" spans="1:7" x14ac:dyDescent="0.3">
      <c r="A1122">
        <v>2023</v>
      </c>
      <c r="B1122" t="s">
        <v>22</v>
      </c>
      <c r="C1122" t="s">
        <v>16</v>
      </c>
      <c r="D1122" t="s">
        <v>9</v>
      </c>
      <c r="E1122">
        <v>100</v>
      </c>
      <c r="F1122">
        <v>158</v>
      </c>
      <c r="G1122">
        <v>3.4</v>
      </c>
    </row>
    <row r="1123" spans="1:7" x14ac:dyDescent="0.3">
      <c r="A1123">
        <v>2023</v>
      </c>
      <c r="B1123" t="s">
        <v>22</v>
      </c>
      <c r="C1123" t="s">
        <v>16</v>
      </c>
      <c r="D1123" t="s">
        <v>10</v>
      </c>
      <c r="E1123">
        <v>45.86</v>
      </c>
      <c r="F1123">
        <v>160</v>
      </c>
      <c r="G1123">
        <v>3.48</v>
      </c>
    </row>
    <row r="1124" spans="1:7" x14ac:dyDescent="0.3">
      <c r="A1124">
        <v>2023</v>
      </c>
      <c r="B1124" t="s">
        <v>22</v>
      </c>
      <c r="C1124" t="s">
        <v>16</v>
      </c>
      <c r="D1124" t="s">
        <v>11</v>
      </c>
      <c r="E1124">
        <v>2.38</v>
      </c>
      <c r="F1124">
        <v>162</v>
      </c>
      <c r="G1124">
        <v>3.56</v>
      </c>
    </row>
    <row r="1125" spans="1:7" x14ac:dyDescent="0.3">
      <c r="A1125">
        <v>2023</v>
      </c>
      <c r="B1125" t="s">
        <v>22</v>
      </c>
      <c r="C1125" t="s">
        <v>16</v>
      </c>
      <c r="D1125" t="s">
        <v>12</v>
      </c>
      <c r="E1125">
        <v>6.53</v>
      </c>
      <c r="F1125">
        <v>164</v>
      </c>
      <c r="G1125">
        <v>3.64</v>
      </c>
    </row>
    <row r="1126" spans="1:7" x14ac:dyDescent="0.3">
      <c r="A1126">
        <v>2023</v>
      </c>
      <c r="B1126" t="s">
        <v>22</v>
      </c>
      <c r="C1126" t="s">
        <v>16</v>
      </c>
      <c r="D1126" t="s">
        <v>13</v>
      </c>
      <c r="E1126">
        <v>10.07</v>
      </c>
      <c r="F1126">
        <v>166</v>
      </c>
      <c r="G1126">
        <v>3.72</v>
      </c>
    </row>
    <row r="1127" spans="1:7" x14ac:dyDescent="0.3">
      <c r="A1127">
        <v>2023</v>
      </c>
      <c r="B1127" t="s">
        <v>22</v>
      </c>
      <c r="C1127" t="s">
        <v>16</v>
      </c>
      <c r="D1127" t="s">
        <v>14</v>
      </c>
      <c r="E1127">
        <v>6.84</v>
      </c>
      <c r="F1127">
        <v>168</v>
      </c>
      <c r="G1127">
        <v>3.8</v>
      </c>
    </row>
    <row r="1128" spans="1:7" x14ac:dyDescent="0.3">
      <c r="A1128">
        <v>2023</v>
      </c>
      <c r="B1128" t="s">
        <v>22</v>
      </c>
      <c r="C1128" t="s">
        <v>16</v>
      </c>
      <c r="D1128" t="s">
        <v>15</v>
      </c>
      <c r="E1128">
        <v>28.32</v>
      </c>
      <c r="F1128">
        <v>170</v>
      </c>
      <c r="G1128">
        <v>3.88</v>
      </c>
    </row>
    <row r="1129" spans="1:7" x14ac:dyDescent="0.3">
      <c r="A1129">
        <v>2023</v>
      </c>
      <c r="B1129" t="s">
        <v>22</v>
      </c>
      <c r="C1129" t="s">
        <v>17</v>
      </c>
      <c r="D1129" t="s">
        <v>9</v>
      </c>
      <c r="E1129">
        <v>100</v>
      </c>
      <c r="F1129">
        <v>158.6</v>
      </c>
      <c r="G1129">
        <v>3.4</v>
      </c>
    </row>
    <row r="1130" spans="1:7" x14ac:dyDescent="0.3">
      <c r="A1130">
        <v>2023</v>
      </c>
      <c r="B1130" t="s">
        <v>22</v>
      </c>
      <c r="C1130" t="s">
        <v>17</v>
      </c>
      <c r="D1130" t="s">
        <v>10</v>
      </c>
      <c r="E1130">
        <v>45.86</v>
      </c>
      <c r="F1130">
        <v>160.6</v>
      </c>
      <c r="G1130">
        <v>3.48</v>
      </c>
    </row>
    <row r="1131" spans="1:7" x14ac:dyDescent="0.3">
      <c r="A1131">
        <v>2023</v>
      </c>
      <c r="B1131" t="s">
        <v>22</v>
      </c>
      <c r="C1131" t="s">
        <v>17</v>
      </c>
      <c r="D1131" t="s">
        <v>11</v>
      </c>
      <c r="E1131">
        <v>2.38</v>
      </c>
      <c r="F1131">
        <v>162.6</v>
      </c>
      <c r="G1131">
        <v>3.56</v>
      </c>
    </row>
    <row r="1132" spans="1:7" x14ac:dyDescent="0.3">
      <c r="A1132">
        <v>2023</v>
      </c>
      <c r="B1132" t="s">
        <v>22</v>
      </c>
      <c r="C1132" t="s">
        <v>17</v>
      </c>
      <c r="D1132" t="s">
        <v>12</v>
      </c>
      <c r="E1132">
        <v>6.53</v>
      </c>
      <c r="F1132">
        <v>164.6</v>
      </c>
      <c r="G1132">
        <v>3.64</v>
      </c>
    </row>
    <row r="1133" spans="1:7" x14ac:dyDescent="0.3">
      <c r="A1133">
        <v>2023</v>
      </c>
      <c r="B1133" t="s">
        <v>22</v>
      </c>
      <c r="C1133" t="s">
        <v>17</v>
      </c>
      <c r="D1133" t="s">
        <v>13</v>
      </c>
      <c r="E1133">
        <v>10.07</v>
      </c>
      <c r="F1133">
        <v>166.6</v>
      </c>
      <c r="G1133">
        <v>3.72</v>
      </c>
    </row>
    <row r="1134" spans="1:7" x14ac:dyDescent="0.3">
      <c r="A1134">
        <v>2023</v>
      </c>
      <c r="B1134" t="s">
        <v>22</v>
      </c>
      <c r="C1134" t="s">
        <v>17</v>
      </c>
      <c r="D1134" t="s">
        <v>14</v>
      </c>
      <c r="E1134">
        <v>6.84</v>
      </c>
      <c r="F1134">
        <v>168.6</v>
      </c>
      <c r="G1134">
        <v>3.8</v>
      </c>
    </row>
    <row r="1135" spans="1:7" x14ac:dyDescent="0.3">
      <c r="A1135">
        <v>2023</v>
      </c>
      <c r="B1135" t="s">
        <v>22</v>
      </c>
      <c r="C1135" t="s">
        <v>17</v>
      </c>
      <c r="D1135" t="s">
        <v>15</v>
      </c>
      <c r="E1135">
        <v>28.32</v>
      </c>
      <c r="F1135">
        <v>170.6</v>
      </c>
      <c r="G1135">
        <v>3.88</v>
      </c>
    </row>
    <row r="1136" spans="1:7" x14ac:dyDescent="0.3">
      <c r="A1136">
        <v>2023</v>
      </c>
      <c r="B1136" t="s">
        <v>23</v>
      </c>
      <c r="C1136" t="s">
        <v>8</v>
      </c>
      <c r="D1136" t="s">
        <v>9</v>
      </c>
      <c r="E1136">
        <v>100</v>
      </c>
      <c r="F1136">
        <v>157.80000000000001</v>
      </c>
      <c r="G1136">
        <v>3.55</v>
      </c>
    </row>
    <row r="1137" spans="1:7" x14ac:dyDescent="0.3">
      <c r="A1137">
        <v>2023</v>
      </c>
      <c r="B1137" t="s">
        <v>23</v>
      </c>
      <c r="C1137" t="s">
        <v>8</v>
      </c>
      <c r="D1137" t="s">
        <v>10</v>
      </c>
      <c r="E1137">
        <v>45.86</v>
      </c>
      <c r="F1137">
        <v>159.80000000000001</v>
      </c>
      <c r="G1137">
        <v>3.63</v>
      </c>
    </row>
    <row r="1138" spans="1:7" x14ac:dyDescent="0.3">
      <c r="A1138">
        <v>2023</v>
      </c>
      <c r="B1138" t="s">
        <v>23</v>
      </c>
      <c r="C1138" t="s">
        <v>8</v>
      </c>
      <c r="D1138" t="s">
        <v>11</v>
      </c>
      <c r="E1138">
        <v>2.38</v>
      </c>
      <c r="F1138">
        <v>161.80000000000001</v>
      </c>
      <c r="G1138">
        <v>3.71</v>
      </c>
    </row>
    <row r="1139" spans="1:7" x14ac:dyDescent="0.3">
      <c r="A1139">
        <v>2023</v>
      </c>
      <c r="B1139" t="s">
        <v>23</v>
      </c>
      <c r="C1139" t="s">
        <v>8</v>
      </c>
      <c r="D1139" t="s">
        <v>12</v>
      </c>
      <c r="E1139">
        <v>6.53</v>
      </c>
      <c r="F1139">
        <v>163.80000000000001</v>
      </c>
      <c r="G1139">
        <v>3.79</v>
      </c>
    </row>
    <row r="1140" spans="1:7" x14ac:dyDescent="0.3">
      <c r="A1140">
        <v>2023</v>
      </c>
      <c r="B1140" t="s">
        <v>23</v>
      </c>
      <c r="C1140" t="s">
        <v>8</v>
      </c>
      <c r="D1140" t="s">
        <v>13</v>
      </c>
      <c r="E1140">
        <v>10.07</v>
      </c>
      <c r="F1140">
        <v>165.8</v>
      </c>
      <c r="G1140">
        <v>3.87</v>
      </c>
    </row>
    <row r="1141" spans="1:7" x14ac:dyDescent="0.3">
      <c r="A1141">
        <v>2023</v>
      </c>
      <c r="B1141" t="s">
        <v>23</v>
      </c>
      <c r="C1141" t="s">
        <v>8</v>
      </c>
      <c r="D1141" t="s">
        <v>14</v>
      </c>
      <c r="E1141">
        <v>6.84</v>
      </c>
      <c r="F1141">
        <v>167.8</v>
      </c>
      <c r="G1141">
        <v>3.95</v>
      </c>
    </row>
    <row r="1142" spans="1:7" x14ac:dyDescent="0.3">
      <c r="A1142">
        <v>2023</v>
      </c>
      <c r="B1142" t="s">
        <v>23</v>
      </c>
      <c r="C1142" t="s">
        <v>8</v>
      </c>
      <c r="D1142" t="s">
        <v>15</v>
      </c>
      <c r="E1142">
        <v>28.32</v>
      </c>
      <c r="F1142">
        <v>169.8</v>
      </c>
      <c r="G1142">
        <v>4.03</v>
      </c>
    </row>
    <row r="1143" spans="1:7" x14ac:dyDescent="0.3">
      <c r="A1143">
        <v>2023</v>
      </c>
      <c r="B1143" t="s">
        <v>23</v>
      </c>
      <c r="C1143" t="s">
        <v>16</v>
      </c>
      <c r="D1143" t="s">
        <v>9</v>
      </c>
      <c r="E1143">
        <v>100</v>
      </c>
      <c r="F1143">
        <v>158.4</v>
      </c>
      <c r="G1143">
        <v>3.55</v>
      </c>
    </row>
    <row r="1144" spans="1:7" x14ac:dyDescent="0.3">
      <c r="A1144">
        <v>2023</v>
      </c>
      <c r="B1144" t="s">
        <v>23</v>
      </c>
      <c r="C1144" t="s">
        <v>16</v>
      </c>
      <c r="D1144" t="s">
        <v>10</v>
      </c>
      <c r="E1144">
        <v>45.86</v>
      </c>
      <c r="F1144">
        <v>160.4</v>
      </c>
      <c r="G1144">
        <v>3.63</v>
      </c>
    </row>
    <row r="1145" spans="1:7" x14ac:dyDescent="0.3">
      <c r="A1145">
        <v>2023</v>
      </c>
      <c r="B1145" t="s">
        <v>23</v>
      </c>
      <c r="C1145" t="s">
        <v>16</v>
      </c>
      <c r="D1145" t="s">
        <v>11</v>
      </c>
      <c r="E1145">
        <v>2.38</v>
      </c>
      <c r="F1145">
        <v>162.4</v>
      </c>
      <c r="G1145">
        <v>3.71</v>
      </c>
    </row>
    <row r="1146" spans="1:7" x14ac:dyDescent="0.3">
      <c r="A1146">
        <v>2023</v>
      </c>
      <c r="B1146" t="s">
        <v>23</v>
      </c>
      <c r="C1146" t="s">
        <v>16</v>
      </c>
      <c r="D1146" t="s">
        <v>12</v>
      </c>
      <c r="E1146">
        <v>6.53</v>
      </c>
      <c r="F1146">
        <v>164.4</v>
      </c>
      <c r="G1146">
        <v>3.79</v>
      </c>
    </row>
    <row r="1147" spans="1:7" x14ac:dyDescent="0.3">
      <c r="A1147">
        <v>2023</v>
      </c>
      <c r="B1147" t="s">
        <v>23</v>
      </c>
      <c r="C1147" t="s">
        <v>16</v>
      </c>
      <c r="D1147" t="s">
        <v>13</v>
      </c>
      <c r="E1147">
        <v>10.07</v>
      </c>
      <c r="F1147">
        <v>166.4</v>
      </c>
      <c r="G1147">
        <v>3.87</v>
      </c>
    </row>
    <row r="1148" spans="1:7" x14ac:dyDescent="0.3">
      <c r="A1148">
        <v>2023</v>
      </c>
      <c r="B1148" t="s">
        <v>23</v>
      </c>
      <c r="C1148" t="s">
        <v>16</v>
      </c>
      <c r="D1148" t="s">
        <v>14</v>
      </c>
      <c r="E1148">
        <v>6.84</v>
      </c>
      <c r="F1148">
        <v>168.4</v>
      </c>
      <c r="G1148">
        <v>3.95</v>
      </c>
    </row>
    <row r="1149" spans="1:7" x14ac:dyDescent="0.3">
      <c r="A1149">
        <v>2023</v>
      </c>
      <c r="B1149" t="s">
        <v>23</v>
      </c>
      <c r="C1149" t="s">
        <v>16</v>
      </c>
      <c r="D1149" t="s">
        <v>15</v>
      </c>
      <c r="E1149">
        <v>28.32</v>
      </c>
      <c r="F1149">
        <v>170.4</v>
      </c>
      <c r="G1149">
        <v>4.03</v>
      </c>
    </row>
    <row r="1150" spans="1:7" x14ac:dyDescent="0.3">
      <c r="A1150">
        <v>2023</v>
      </c>
      <c r="B1150" t="s">
        <v>23</v>
      </c>
      <c r="C1150" t="s">
        <v>17</v>
      </c>
      <c r="D1150" t="s">
        <v>9</v>
      </c>
      <c r="E1150">
        <v>100</v>
      </c>
      <c r="F1150">
        <v>159</v>
      </c>
      <c r="G1150">
        <v>3.55</v>
      </c>
    </row>
    <row r="1151" spans="1:7" x14ac:dyDescent="0.3">
      <c r="A1151">
        <v>2023</v>
      </c>
      <c r="B1151" t="s">
        <v>23</v>
      </c>
      <c r="C1151" t="s">
        <v>17</v>
      </c>
      <c r="D1151" t="s">
        <v>10</v>
      </c>
      <c r="E1151">
        <v>45.86</v>
      </c>
      <c r="F1151">
        <v>161</v>
      </c>
      <c r="G1151">
        <v>3.63</v>
      </c>
    </row>
    <row r="1152" spans="1:7" x14ac:dyDescent="0.3">
      <c r="A1152">
        <v>2023</v>
      </c>
      <c r="B1152" t="s">
        <v>23</v>
      </c>
      <c r="C1152" t="s">
        <v>17</v>
      </c>
      <c r="D1152" t="s">
        <v>11</v>
      </c>
      <c r="E1152">
        <v>2.38</v>
      </c>
      <c r="F1152">
        <v>163</v>
      </c>
      <c r="G1152">
        <v>3.71</v>
      </c>
    </row>
    <row r="1153" spans="1:7" x14ac:dyDescent="0.3">
      <c r="A1153">
        <v>2023</v>
      </c>
      <c r="B1153" t="s">
        <v>23</v>
      </c>
      <c r="C1153" t="s">
        <v>17</v>
      </c>
      <c r="D1153" t="s">
        <v>12</v>
      </c>
      <c r="E1153">
        <v>6.53</v>
      </c>
      <c r="F1153">
        <v>165</v>
      </c>
      <c r="G1153">
        <v>3.79</v>
      </c>
    </row>
    <row r="1154" spans="1:7" x14ac:dyDescent="0.3">
      <c r="A1154">
        <v>2023</v>
      </c>
      <c r="B1154" t="s">
        <v>23</v>
      </c>
      <c r="C1154" t="s">
        <v>17</v>
      </c>
      <c r="D1154" t="s">
        <v>13</v>
      </c>
      <c r="E1154">
        <v>10.07</v>
      </c>
      <c r="F1154">
        <v>167</v>
      </c>
      <c r="G1154">
        <v>3.87</v>
      </c>
    </row>
    <row r="1155" spans="1:7" x14ac:dyDescent="0.3">
      <c r="A1155">
        <v>2023</v>
      </c>
      <c r="B1155" t="s">
        <v>23</v>
      </c>
      <c r="C1155" t="s">
        <v>17</v>
      </c>
      <c r="D1155" t="s">
        <v>14</v>
      </c>
      <c r="E1155">
        <v>6.84</v>
      </c>
      <c r="F1155">
        <v>169</v>
      </c>
      <c r="G1155">
        <v>3.95</v>
      </c>
    </row>
    <row r="1156" spans="1:7" x14ac:dyDescent="0.3">
      <c r="A1156">
        <v>2023</v>
      </c>
      <c r="B1156" t="s">
        <v>23</v>
      </c>
      <c r="C1156" t="s">
        <v>17</v>
      </c>
      <c r="D1156" t="s">
        <v>15</v>
      </c>
      <c r="E1156">
        <v>28.32</v>
      </c>
      <c r="F1156">
        <v>171</v>
      </c>
      <c r="G1156">
        <v>4.03</v>
      </c>
    </row>
    <row r="1157" spans="1:7" x14ac:dyDescent="0.3">
      <c r="A1157">
        <v>2023</v>
      </c>
      <c r="B1157" t="s">
        <v>24</v>
      </c>
      <c r="C1157" t="s">
        <v>8</v>
      </c>
      <c r="D1157" t="s">
        <v>9</v>
      </c>
      <c r="E1157">
        <v>100</v>
      </c>
      <c r="F1157">
        <v>158.19999999999999</v>
      </c>
      <c r="G1157">
        <v>3.7</v>
      </c>
    </row>
    <row r="1158" spans="1:7" x14ac:dyDescent="0.3">
      <c r="A1158">
        <v>2023</v>
      </c>
      <c r="B1158" t="s">
        <v>24</v>
      </c>
      <c r="C1158" t="s">
        <v>8</v>
      </c>
      <c r="D1158" t="s">
        <v>10</v>
      </c>
      <c r="E1158">
        <v>45.86</v>
      </c>
      <c r="F1158">
        <v>160.19999999999999</v>
      </c>
      <c r="G1158">
        <v>3.78</v>
      </c>
    </row>
    <row r="1159" spans="1:7" x14ac:dyDescent="0.3">
      <c r="A1159">
        <v>2023</v>
      </c>
      <c r="B1159" t="s">
        <v>24</v>
      </c>
      <c r="C1159" t="s">
        <v>8</v>
      </c>
      <c r="D1159" t="s">
        <v>11</v>
      </c>
      <c r="E1159">
        <v>2.38</v>
      </c>
      <c r="F1159">
        <v>162.19999999999999</v>
      </c>
      <c r="G1159">
        <v>3.86</v>
      </c>
    </row>
    <row r="1160" spans="1:7" x14ac:dyDescent="0.3">
      <c r="A1160">
        <v>2023</v>
      </c>
      <c r="B1160" t="s">
        <v>24</v>
      </c>
      <c r="C1160" t="s">
        <v>8</v>
      </c>
      <c r="D1160" t="s">
        <v>12</v>
      </c>
      <c r="E1160">
        <v>6.53</v>
      </c>
      <c r="F1160">
        <v>164.2</v>
      </c>
      <c r="G1160">
        <v>3.94</v>
      </c>
    </row>
    <row r="1161" spans="1:7" x14ac:dyDescent="0.3">
      <c r="A1161">
        <v>2023</v>
      </c>
      <c r="B1161" t="s">
        <v>24</v>
      </c>
      <c r="C1161" t="s">
        <v>8</v>
      </c>
      <c r="D1161" t="s">
        <v>13</v>
      </c>
      <c r="E1161">
        <v>10.07</v>
      </c>
      <c r="F1161">
        <v>166.2</v>
      </c>
      <c r="G1161">
        <v>4.0199999999999996</v>
      </c>
    </row>
    <row r="1162" spans="1:7" x14ac:dyDescent="0.3">
      <c r="A1162">
        <v>2023</v>
      </c>
      <c r="B1162" t="s">
        <v>24</v>
      </c>
      <c r="C1162" t="s">
        <v>8</v>
      </c>
      <c r="D1162" t="s">
        <v>14</v>
      </c>
      <c r="E1162">
        <v>6.84</v>
      </c>
      <c r="F1162">
        <v>168.2</v>
      </c>
      <c r="G1162">
        <v>4.0999999999999996</v>
      </c>
    </row>
    <row r="1163" spans="1:7" x14ac:dyDescent="0.3">
      <c r="A1163">
        <v>2023</v>
      </c>
      <c r="B1163" t="s">
        <v>24</v>
      </c>
      <c r="C1163" t="s">
        <v>8</v>
      </c>
      <c r="D1163" t="s">
        <v>15</v>
      </c>
      <c r="E1163">
        <v>28.32</v>
      </c>
      <c r="F1163">
        <v>170.2</v>
      </c>
      <c r="G1163">
        <v>4.18</v>
      </c>
    </row>
    <row r="1164" spans="1:7" x14ac:dyDescent="0.3">
      <c r="A1164">
        <v>2023</v>
      </c>
      <c r="B1164" t="s">
        <v>24</v>
      </c>
      <c r="C1164" t="s">
        <v>16</v>
      </c>
      <c r="D1164" t="s">
        <v>9</v>
      </c>
      <c r="E1164">
        <v>100</v>
      </c>
      <c r="F1164">
        <v>158.80000000000001</v>
      </c>
      <c r="G1164">
        <v>3.7</v>
      </c>
    </row>
    <row r="1165" spans="1:7" x14ac:dyDescent="0.3">
      <c r="A1165">
        <v>2023</v>
      </c>
      <c r="B1165" t="s">
        <v>24</v>
      </c>
      <c r="C1165" t="s">
        <v>16</v>
      </c>
      <c r="D1165" t="s">
        <v>10</v>
      </c>
      <c r="E1165">
        <v>45.86</v>
      </c>
      <c r="F1165">
        <v>160.80000000000001</v>
      </c>
      <c r="G1165">
        <v>3.78</v>
      </c>
    </row>
    <row r="1166" spans="1:7" x14ac:dyDescent="0.3">
      <c r="A1166">
        <v>2023</v>
      </c>
      <c r="B1166" t="s">
        <v>24</v>
      </c>
      <c r="C1166" t="s">
        <v>16</v>
      </c>
      <c r="D1166" t="s">
        <v>11</v>
      </c>
      <c r="E1166">
        <v>2.38</v>
      </c>
      <c r="F1166">
        <v>162.80000000000001</v>
      </c>
      <c r="G1166">
        <v>3.86</v>
      </c>
    </row>
    <row r="1167" spans="1:7" x14ac:dyDescent="0.3">
      <c r="A1167">
        <v>2023</v>
      </c>
      <c r="B1167" t="s">
        <v>24</v>
      </c>
      <c r="C1167" t="s">
        <v>16</v>
      </c>
      <c r="D1167" t="s">
        <v>12</v>
      </c>
      <c r="E1167">
        <v>6.53</v>
      </c>
      <c r="F1167">
        <v>164.8</v>
      </c>
      <c r="G1167">
        <v>3.94</v>
      </c>
    </row>
    <row r="1168" spans="1:7" x14ac:dyDescent="0.3">
      <c r="A1168">
        <v>2023</v>
      </c>
      <c r="B1168" t="s">
        <v>24</v>
      </c>
      <c r="C1168" t="s">
        <v>16</v>
      </c>
      <c r="D1168" t="s">
        <v>13</v>
      </c>
      <c r="E1168">
        <v>10.07</v>
      </c>
      <c r="F1168">
        <v>166.8</v>
      </c>
      <c r="G1168">
        <v>4.0199999999999996</v>
      </c>
    </row>
    <row r="1169" spans="1:7" x14ac:dyDescent="0.3">
      <c r="A1169">
        <v>2023</v>
      </c>
      <c r="B1169" t="s">
        <v>24</v>
      </c>
      <c r="C1169" t="s">
        <v>16</v>
      </c>
      <c r="D1169" t="s">
        <v>14</v>
      </c>
      <c r="E1169">
        <v>6.84</v>
      </c>
      <c r="F1169">
        <v>168.8</v>
      </c>
      <c r="G1169">
        <v>4.0999999999999996</v>
      </c>
    </row>
    <row r="1170" spans="1:7" x14ac:dyDescent="0.3">
      <c r="A1170">
        <v>2023</v>
      </c>
      <c r="B1170" t="s">
        <v>24</v>
      </c>
      <c r="C1170" t="s">
        <v>16</v>
      </c>
      <c r="D1170" t="s">
        <v>15</v>
      </c>
      <c r="E1170">
        <v>28.32</v>
      </c>
      <c r="F1170">
        <v>170.8</v>
      </c>
      <c r="G1170">
        <v>4.18</v>
      </c>
    </row>
    <row r="1171" spans="1:7" x14ac:dyDescent="0.3">
      <c r="A1171">
        <v>2023</v>
      </c>
      <c r="B1171" t="s">
        <v>24</v>
      </c>
      <c r="C1171" t="s">
        <v>17</v>
      </c>
      <c r="D1171" t="s">
        <v>9</v>
      </c>
      <c r="E1171">
        <v>100</v>
      </c>
      <c r="F1171">
        <v>159.4</v>
      </c>
      <c r="G1171">
        <v>3.7</v>
      </c>
    </row>
    <row r="1172" spans="1:7" x14ac:dyDescent="0.3">
      <c r="A1172">
        <v>2023</v>
      </c>
      <c r="B1172" t="s">
        <v>24</v>
      </c>
      <c r="C1172" t="s">
        <v>17</v>
      </c>
      <c r="D1172" t="s">
        <v>10</v>
      </c>
      <c r="E1172">
        <v>45.86</v>
      </c>
      <c r="F1172">
        <v>161.4</v>
      </c>
      <c r="G1172">
        <v>3.78</v>
      </c>
    </row>
    <row r="1173" spans="1:7" x14ac:dyDescent="0.3">
      <c r="A1173">
        <v>2023</v>
      </c>
      <c r="B1173" t="s">
        <v>24</v>
      </c>
      <c r="C1173" t="s">
        <v>17</v>
      </c>
      <c r="D1173" t="s">
        <v>11</v>
      </c>
      <c r="E1173">
        <v>2.38</v>
      </c>
      <c r="F1173">
        <v>163.4</v>
      </c>
      <c r="G1173">
        <v>3.86</v>
      </c>
    </row>
    <row r="1174" spans="1:7" x14ac:dyDescent="0.3">
      <c r="A1174">
        <v>2023</v>
      </c>
      <c r="B1174" t="s">
        <v>24</v>
      </c>
      <c r="C1174" t="s">
        <v>17</v>
      </c>
      <c r="D1174" t="s">
        <v>12</v>
      </c>
      <c r="E1174">
        <v>6.53</v>
      </c>
      <c r="F1174">
        <v>165.4</v>
      </c>
      <c r="G1174">
        <v>3.94</v>
      </c>
    </row>
    <row r="1175" spans="1:7" x14ac:dyDescent="0.3">
      <c r="A1175">
        <v>2023</v>
      </c>
      <c r="B1175" t="s">
        <v>24</v>
      </c>
      <c r="C1175" t="s">
        <v>17</v>
      </c>
      <c r="D1175" t="s">
        <v>13</v>
      </c>
      <c r="E1175">
        <v>10.07</v>
      </c>
      <c r="F1175">
        <v>167.4</v>
      </c>
      <c r="G1175">
        <v>4.0199999999999996</v>
      </c>
    </row>
    <row r="1176" spans="1:7" x14ac:dyDescent="0.3">
      <c r="A1176">
        <v>2023</v>
      </c>
      <c r="B1176" t="s">
        <v>24</v>
      </c>
      <c r="C1176" t="s">
        <v>17</v>
      </c>
      <c r="D1176" t="s">
        <v>14</v>
      </c>
      <c r="E1176">
        <v>6.84</v>
      </c>
      <c r="F1176">
        <v>169.4</v>
      </c>
      <c r="G1176">
        <v>4.0999999999999996</v>
      </c>
    </row>
    <row r="1177" spans="1:7" x14ac:dyDescent="0.3">
      <c r="A1177">
        <v>2023</v>
      </c>
      <c r="B1177" t="s">
        <v>24</v>
      </c>
      <c r="C1177" t="s">
        <v>17</v>
      </c>
      <c r="D1177" t="s">
        <v>15</v>
      </c>
      <c r="E1177">
        <v>28.32</v>
      </c>
      <c r="F1177">
        <v>171.4</v>
      </c>
      <c r="G1177">
        <v>4.18</v>
      </c>
    </row>
    <row r="1178" spans="1:7" x14ac:dyDescent="0.3">
      <c r="A1178">
        <v>2023</v>
      </c>
      <c r="B1178" t="s">
        <v>25</v>
      </c>
      <c r="C1178" t="s">
        <v>8</v>
      </c>
      <c r="D1178" t="s">
        <v>9</v>
      </c>
      <c r="E1178">
        <v>100</v>
      </c>
      <c r="F1178">
        <v>158.6</v>
      </c>
      <c r="G1178">
        <v>3.85</v>
      </c>
    </row>
    <row r="1179" spans="1:7" x14ac:dyDescent="0.3">
      <c r="A1179">
        <v>2023</v>
      </c>
      <c r="B1179" t="s">
        <v>25</v>
      </c>
      <c r="C1179" t="s">
        <v>8</v>
      </c>
      <c r="D1179" t="s">
        <v>10</v>
      </c>
      <c r="E1179">
        <v>45.86</v>
      </c>
      <c r="F1179">
        <v>160.6</v>
      </c>
      <c r="G1179">
        <v>3.93</v>
      </c>
    </row>
    <row r="1180" spans="1:7" x14ac:dyDescent="0.3">
      <c r="A1180">
        <v>2023</v>
      </c>
      <c r="B1180" t="s">
        <v>25</v>
      </c>
      <c r="C1180" t="s">
        <v>8</v>
      </c>
      <c r="D1180" t="s">
        <v>11</v>
      </c>
      <c r="E1180">
        <v>2.38</v>
      </c>
      <c r="F1180">
        <v>162.6</v>
      </c>
      <c r="G1180">
        <v>4.01</v>
      </c>
    </row>
    <row r="1181" spans="1:7" x14ac:dyDescent="0.3">
      <c r="A1181">
        <v>2023</v>
      </c>
      <c r="B1181" t="s">
        <v>25</v>
      </c>
      <c r="C1181" t="s">
        <v>8</v>
      </c>
      <c r="D1181" t="s">
        <v>12</v>
      </c>
      <c r="E1181">
        <v>6.53</v>
      </c>
      <c r="F1181">
        <v>164.6</v>
      </c>
      <c r="G1181">
        <v>4.09</v>
      </c>
    </row>
    <row r="1182" spans="1:7" x14ac:dyDescent="0.3">
      <c r="A1182">
        <v>2023</v>
      </c>
      <c r="B1182" t="s">
        <v>25</v>
      </c>
      <c r="C1182" t="s">
        <v>8</v>
      </c>
      <c r="D1182" t="s">
        <v>13</v>
      </c>
      <c r="E1182">
        <v>10.07</v>
      </c>
      <c r="F1182">
        <v>166.6</v>
      </c>
      <c r="G1182">
        <v>4.17</v>
      </c>
    </row>
    <row r="1183" spans="1:7" x14ac:dyDescent="0.3">
      <c r="A1183">
        <v>2023</v>
      </c>
      <c r="B1183" t="s">
        <v>25</v>
      </c>
      <c r="C1183" t="s">
        <v>8</v>
      </c>
      <c r="D1183" t="s">
        <v>14</v>
      </c>
      <c r="E1183">
        <v>6.84</v>
      </c>
      <c r="F1183">
        <v>168.6</v>
      </c>
      <c r="G1183">
        <v>4.25</v>
      </c>
    </row>
    <row r="1184" spans="1:7" x14ac:dyDescent="0.3">
      <c r="A1184">
        <v>2023</v>
      </c>
      <c r="B1184" t="s">
        <v>25</v>
      </c>
      <c r="C1184" t="s">
        <v>8</v>
      </c>
      <c r="D1184" t="s">
        <v>15</v>
      </c>
      <c r="E1184">
        <v>28.32</v>
      </c>
      <c r="F1184">
        <v>170.6</v>
      </c>
      <c r="G1184">
        <v>4.33</v>
      </c>
    </row>
    <row r="1185" spans="1:7" x14ac:dyDescent="0.3">
      <c r="A1185">
        <v>2023</v>
      </c>
      <c r="B1185" t="s">
        <v>25</v>
      </c>
      <c r="C1185" t="s">
        <v>16</v>
      </c>
      <c r="D1185" t="s">
        <v>9</v>
      </c>
      <c r="E1185">
        <v>100</v>
      </c>
      <c r="F1185">
        <v>159.19999999999999</v>
      </c>
      <c r="G1185">
        <v>3.85</v>
      </c>
    </row>
    <row r="1186" spans="1:7" x14ac:dyDescent="0.3">
      <c r="A1186">
        <v>2023</v>
      </c>
      <c r="B1186" t="s">
        <v>25</v>
      </c>
      <c r="C1186" t="s">
        <v>16</v>
      </c>
      <c r="D1186" t="s">
        <v>10</v>
      </c>
      <c r="E1186">
        <v>45.86</v>
      </c>
      <c r="F1186">
        <v>161.19999999999999</v>
      </c>
      <c r="G1186">
        <v>3.93</v>
      </c>
    </row>
    <row r="1187" spans="1:7" x14ac:dyDescent="0.3">
      <c r="A1187">
        <v>2023</v>
      </c>
      <c r="B1187" t="s">
        <v>25</v>
      </c>
      <c r="C1187" t="s">
        <v>16</v>
      </c>
      <c r="D1187" t="s">
        <v>11</v>
      </c>
      <c r="E1187">
        <v>2.38</v>
      </c>
      <c r="F1187">
        <v>163.19999999999999</v>
      </c>
      <c r="G1187">
        <v>4.01</v>
      </c>
    </row>
    <row r="1188" spans="1:7" x14ac:dyDescent="0.3">
      <c r="A1188">
        <v>2023</v>
      </c>
      <c r="B1188" t="s">
        <v>25</v>
      </c>
      <c r="C1188" t="s">
        <v>16</v>
      </c>
      <c r="D1188" t="s">
        <v>12</v>
      </c>
      <c r="E1188">
        <v>6.53</v>
      </c>
      <c r="F1188">
        <v>165.2</v>
      </c>
      <c r="G1188">
        <v>4.09</v>
      </c>
    </row>
    <row r="1189" spans="1:7" x14ac:dyDescent="0.3">
      <c r="A1189">
        <v>2023</v>
      </c>
      <c r="B1189" t="s">
        <v>25</v>
      </c>
      <c r="C1189" t="s">
        <v>16</v>
      </c>
      <c r="D1189" t="s">
        <v>13</v>
      </c>
      <c r="E1189">
        <v>10.07</v>
      </c>
      <c r="F1189">
        <v>167.2</v>
      </c>
      <c r="G1189">
        <v>4.17</v>
      </c>
    </row>
    <row r="1190" spans="1:7" x14ac:dyDescent="0.3">
      <c r="A1190">
        <v>2023</v>
      </c>
      <c r="B1190" t="s">
        <v>25</v>
      </c>
      <c r="C1190" t="s">
        <v>16</v>
      </c>
      <c r="D1190" t="s">
        <v>14</v>
      </c>
      <c r="E1190">
        <v>6.84</v>
      </c>
      <c r="F1190">
        <v>169.2</v>
      </c>
      <c r="G1190">
        <v>4.25</v>
      </c>
    </row>
    <row r="1191" spans="1:7" x14ac:dyDescent="0.3">
      <c r="A1191">
        <v>2023</v>
      </c>
      <c r="B1191" t="s">
        <v>25</v>
      </c>
      <c r="C1191" t="s">
        <v>16</v>
      </c>
      <c r="D1191" t="s">
        <v>15</v>
      </c>
      <c r="E1191">
        <v>28.32</v>
      </c>
      <c r="F1191">
        <v>171.2</v>
      </c>
      <c r="G1191">
        <v>4.33</v>
      </c>
    </row>
    <row r="1192" spans="1:7" x14ac:dyDescent="0.3">
      <c r="A1192">
        <v>2023</v>
      </c>
      <c r="B1192" t="s">
        <v>25</v>
      </c>
      <c r="C1192" t="s">
        <v>17</v>
      </c>
      <c r="D1192" t="s">
        <v>9</v>
      </c>
      <c r="E1192">
        <v>100</v>
      </c>
      <c r="F1192">
        <v>159.80000000000001</v>
      </c>
      <c r="G1192">
        <v>3.85</v>
      </c>
    </row>
    <row r="1193" spans="1:7" x14ac:dyDescent="0.3">
      <c r="A1193">
        <v>2023</v>
      </c>
      <c r="B1193" t="s">
        <v>25</v>
      </c>
      <c r="C1193" t="s">
        <v>17</v>
      </c>
      <c r="D1193" t="s">
        <v>10</v>
      </c>
      <c r="E1193">
        <v>45.86</v>
      </c>
      <c r="F1193">
        <v>161.80000000000001</v>
      </c>
      <c r="G1193">
        <v>3.93</v>
      </c>
    </row>
    <row r="1194" spans="1:7" x14ac:dyDescent="0.3">
      <c r="A1194">
        <v>2023</v>
      </c>
      <c r="B1194" t="s">
        <v>25</v>
      </c>
      <c r="C1194" t="s">
        <v>17</v>
      </c>
      <c r="D1194" t="s">
        <v>11</v>
      </c>
      <c r="E1194">
        <v>2.38</v>
      </c>
      <c r="F1194">
        <v>163.80000000000001</v>
      </c>
      <c r="G1194">
        <v>4.01</v>
      </c>
    </row>
    <row r="1195" spans="1:7" x14ac:dyDescent="0.3">
      <c r="A1195">
        <v>2023</v>
      </c>
      <c r="B1195" t="s">
        <v>25</v>
      </c>
      <c r="C1195" t="s">
        <v>17</v>
      </c>
      <c r="D1195" t="s">
        <v>12</v>
      </c>
      <c r="E1195">
        <v>6.53</v>
      </c>
      <c r="F1195">
        <v>165.8</v>
      </c>
      <c r="G1195">
        <v>4.09</v>
      </c>
    </row>
    <row r="1196" spans="1:7" x14ac:dyDescent="0.3">
      <c r="A1196">
        <v>2023</v>
      </c>
      <c r="B1196" t="s">
        <v>25</v>
      </c>
      <c r="C1196" t="s">
        <v>17</v>
      </c>
      <c r="D1196" t="s">
        <v>13</v>
      </c>
      <c r="E1196">
        <v>10.07</v>
      </c>
      <c r="F1196">
        <v>167.8</v>
      </c>
      <c r="G1196">
        <v>4.17</v>
      </c>
    </row>
    <row r="1197" spans="1:7" x14ac:dyDescent="0.3">
      <c r="A1197">
        <v>2023</v>
      </c>
      <c r="B1197" t="s">
        <v>25</v>
      </c>
      <c r="C1197" t="s">
        <v>17</v>
      </c>
      <c r="D1197" t="s">
        <v>14</v>
      </c>
      <c r="E1197">
        <v>6.84</v>
      </c>
      <c r="F1197">
        <v>169.8</v>
      </c>
      <c r="G1197">
        <v>4.25</v>
      </c>
    </row>
    <row r="1198" spans="1:7" x14ac:dyDescent="0.3">
      <c r="A1198">
        <v>2023</v>
      </c>
      <c r="B1198" t="s">
        <v>25</v>
      </c>
      <c r="C1198" t="s">
        <v>17</v>
      </c>
      <c r="D1198" t="s">
        <v>15</v>
      </c>
      <c r="E1198">
        <v>28.32</v>
      </c>
      <c r="F1198">
        <v>171.8</v>
      </c>
      <c r="G1198">
        <v>4.33</v>
      </c>
    </row>
    <row r="1199" spans="1:7" x14ac:dyDescent="0.3">
      <c r="A1199">
        <v>2023</v>
      </c>
      <c r="B1199" t="s">
        <v>26</v>
      </c>
      <c r="C1199" t="s">
        <v>8</v>
      </c>
      <c r="D1199" t="s">
        <v>9</v>
      </c>
      <c r="E1199">
        <v>100</v>
      </c>
      <c r="F1199">
        <v>159</v>
      </c>
      <c r="G1199">
        <v>4</v>
      </c>
    </row>
    <row r="1200" spans="1:7" x14ac:dyDescent="0.3">
      <c r="A1200">
        <v>2023</v>
      </c>
      <c r="B1200" t="s">
        <v>26</v>
      </c>
      <c r="C1200" t="s">
        <v>8</v>
      </c>
      <c r="D1200" t="s">
        <v>10</v>
      </c>
      <c r="E1200">
        <v>45.86</v>
      </c>
      <c r="F1200">
        <v>161</v>
      </c>
      <c r="G1200">
        <v>4.08</v>
      </c>
    </row>
    <row r="1201" spans="1:7" x14ac:dyDescent="0.3">
      <c r="A1201">
        <v>2023</v>
      </c>
      <c r="B1201" t="s">
        <v>26</v>
      </c>
      <c r="C1201" t="s">
        <v>8</v>
      </c>
      <c r="D1201" t="s">
        <v>11</v>
      </c>
      <c r="E1201">
        <v>2.38</v>
      </c>
      <c r="F1201">
        <v>163</v>
      </c>
      <c r="G1201">
        <v>4.16</v>
      </c>
    </row>
    <row r="1202" spans="1:7" x14ac:dyDescent="0.3">
      <c r="A1202">
        <v>2023</v>
      </c>
      <c r="B1202" t="s">
        <v>26</v>
      </c>
      <c r="C1202" t="s">
        <v>8</v>
      </c>
      <c r="D1202" t="s">
        <v>12</v>
      </c>
      <c r="E1202">
        <v>6.53</v>
      </c>
      <c r="F1202">
        <v>165</v>
      </c>
      <c r="G1202">
        <v>4.24</v>
      </c>
    </row>
    <row r="1203" spans="1:7" x14ac:dyDescent="0.3">
      <c r="A1203">
        <v>2023</v>
      </c>
      <c r="B1203" t="s">
        <v>26</v>
      </c>
      <c r="C1203" t="s">
        <v>8</v>
      </c>
      <c r="D1203" t="s">
        <v>13</v>
      </c>
      <c r="E1203">
        <v>10.07</v>
      </c>
      <c r="F1203">
        <v>167</v>
      </c>
      <c r="G1203">
        <v>4.32</v>
      </c>
    </row>
    <row r="1204" spans="1:7" x14ac:dyDescent="0.3">
      <c r="A1204">
        <v>2023</v>
      </c>
      <c r="B1204" t="s">
        <v>26</v>
      </c>
      <c r="C1204" t="s">
        <v>8</v>
      </c>
      <c r="D1204" t="s">
        <v>14</v>
      </c>
      <c r="E1204">
        <v>6.84</v>
      </c>
      <c r="F1204">
        <v>169</v>
      </c>
      <c r="G1204">
        <v>4.4000000000000004</v>
      </c>
    </row>
    <row r="1205" spans="1:7" x14ac:dyDescent="0.3">
      <c r="A1205">
        <v>2023</v>
      </c>
      <c r="B1205" t="s">
        <v>26</v>
      </c>
      <c r="C1205" t="s">
        <v>8</v>
      </c>
      <c r="D1205" t="s">
        <v>15</v>
      </c>
      <c r="E1205">
        <v>28.32</v>
      </c>
      <c r="F1205">
        <v>171</v>
      </c>
      <c r="G1205">
        <v>4.4800000000000004</v>
      </c>
    </row>
    <row r="1206" spans="1:7" x14ac:dyDescent="0.3">
      <c r="A1206">
        <v>2023</v>
      </c>
      <c r="B1206" t="s">
        <v>26</v>
      </c>
      <c r="C1206" t="s">
        <v>16</v>
      </c>
      <c r="D1206" t="s">
        <v>9</v>
      </c>
      <c r="E1206">
        <v>100</v>
      </c>
      <c r="F1206">
        <v>159.6</v>
      </c>
      <c r="G1206">
        <v>4</v>
      </c>
    </row>
    <row r="1207" spans="1:7" x14ac:dyDescent="0.3">
      <c r="A1207">
        <v>2023</v>
      </c>
      <c r="B1207" t="s">
        <v>26</v>
      </c>
      <c r="C1207" t="s">
        <v>16</v>
      </c>
      <c r="D1207" t="s">
        <v>10</v>
      </c>
      <c r="E1207">
        <v>45.86</v>
      </c>
      <c r="F1207">
        <v>161.6</v>
      </c>
      <c r="G1207">
        <v>4.08</v>
      </c>
    </row>
    <row r="1208" spans="1:7" x14ac:dyDescent="0.3">
      <c r="A1208">
        <v>2023</v>
      </c>
      <c r="B1208" t="s">
        <v>26</v>
      </c>
      <c r="C1208" t="s">
        <v>16</v>
      </c>
      <c r="D1208" t="s">
        <v>11</v>
      </c>
      <c r="E1208">
        <v>2.38</v>
      </c>
      <c r="F1208">
        <v>163.6</v>
      </c>
      <c r="G1208">
        <v>4.16</v>
      </c>
    </row>
    <row r="1209" spans="1:7" x14ac:dyDescent="0.3">
      <c r="A1209">
        <v>2023</v>
      </c>
      <c r="B1209" t="s">
        <v>26</v>
      </c>
      <c r="C1209" t="s">
        <v>16</v>
      </c>
      <c r="D1209" t="s">
        <v>12</v>
      </c>
      <c r="E1209">
        <v>6.53</v>
      </c>
      <c r="F1209">
        <v>165.6</v>
      </c>
      <c r="G1209">
        <v>4.24</v>
      </c>
    </row>
    <row r="1210" spans="1:7" x14ac:dyDescent="0.3">
      <c r="A1210">
        <v>2023</v>
      </c>
      <c r="B1210" t="s">
        <v>26</v>
      </c>
      <c r="C1210" t="s">
        <v>16</v>
      </c>
      <c r="D1210" t="s">
        <v>13</v>
      </c>
      <c r="E1210">
        <v>10.07</v>
      </c>
      <c r="F1210">
        <v>167.6</v>
      </c>
      <c r="G1210">
        <v>4.32</v>
      </c>
    </row>
    <row r="1211" spans="1:7" x14ac:dyDescent="0.3">
      <c r="A1211">
        <v>2023</v>
      </c>
      <c r="B1211" t="s">
        <v>26</v>
      </c>
      <c r="C1211" t="s">
        <v>16</v>
      </c>
      <c r="D1211" t="s">
        <v>14</v>
      </c>
      <c r="E1211">
        <v>6.84</v>
      </c>
      <c r="F1211">
        <v>169.6</v>
      </c>
      <c r="G1211">
        <v>4.4000000000000004</v>
      </c>
    </row>
    <row r="1212" spans="1:7" x14ac:dyDescent="0.3">
      <c r="A1212">
        <v>2023</v>
      </c>
      <c r="B1212" t="s">
        <v>26</v>
      </c>
      <c r="C1212" t="s">
        <v>16</v>
      </c>
      <c r="D1212" t="s">
        <v>15</v>
      </c>
      <c r="E1212">
        <v>28.32</v>
      </c>
      <c r="F1212">
        <v>171.6</v>
      </c>
      <c r="G1212">
        <v>4.4800000000000004</v>
      </c>
    </row>
    <row r="1213" spans="1:7" x14ac:dyDescent="0.3">
      <c r="A1213">
        <v>2023</v>
      </c>
      <c r="B1213" t="s">
        <v>26</v>
      </c>
      <c r="C1213" t="s">
        <v>17</v>
      </c>
      <c r="D1213" t="s">
        <v>9</v>
      </c>
      <c r="E1213">
        <v>100</v>
      </c>
      <c r="F1213">
        <v>160.19999999999999</v>
      </c>
      <c r="G1213">
        <v>4</v>
      </c>
    </row>
    <row r="1214" spans="1:7" x14ac:dyDescent="0.3">
      <c r="A1214">
        <v>2023</v>
      </c>
      <c r="B1214" t="s">
        <v>26</v>
      </c>
      <c r="C1214" t="s">
        <v>17</v>
      </c>
      <c r="D1214" t="s">
        <v>10</v>
      </c>
      <c r="E1214">
        <v>45.86</v>
      </c>
      <c r="F1214">
        <v>162.19999999999999</v>
      </c>
      <c r="G1214">
        <v>4.08</v>
      </c>
    </row>
    <row r="1215" spans="1:7" x14ac:dyDescent="0.3">
      <c r="A1215">
        <v>2023</v>
      </c>
      <c r="B1215" t="s">
        <v>26</v>
      </c>
      <c r="C1215" t="s">
        <v>17</v>
      </c>
      <c r="D1215" t="s">
        <v>11</v>
      </c>
      <c r="E1215">
        <v>2.38</v>
      </c>
      <c r="F1215">
        <v>164.2</v>
      </c>
      <c r="G1215">
        <v>4.16</v>
      </c>
    </row>
    <row r="1216" spans="1:7" x14ac:dyDescent="0.3">
      <c r="A1216">
        <v>2023</v>
      </c>
      <c r="B1216" t="s">
        <v>26</v>
      </c>
      <c r="C1216" t="s">
        <v>17</v>
      </c>
      <c r="D1216" t="s">
        <v>12</v>
      </c>
      <c r="E1216">
        <v>6.53</v>
      </c>
      <c r="F1216">
        <v>166.2</v>
      </c>
      <c r="G1216">
        <v>4.24</v>
      </c>
    </row>
    <row r="1217" spans="1:7" x14ac:dyDescent="0.3">
      <c r="A1217">
        <v>2023</v>
      </c>
      <c r="B1217" t="s">
        <v>26</v>
      </c>
      <c r="C1217" t="s">
        <v>17</v>
      </c>
      <c r="D1217" t="s">
        <v>13</v>
      </c>
      <c r="E1217">
        <v>10.07</v>
      </c>
      <c r="F1217">
        <v>168.2</v>
      </c>
      <c r="G1217">
        <v>4.32</v>
      </c>
    </row>
    <row r="1218" spans="1:7" x14ac:dyDescent="0.3">
      <c r="A1218">
        <v>2023</v>
      </c>
      <c r="B1218" t="s">
        <v>26</v>
      </c>
      <c r="C1218" t="s">
        <v>17</v>
      </c>
      <c r="D1218" t="s">
        <v>14</v>
      </c>
      <c r="E1218">
        <v>6.84</v>
      </c>
      <c r="F1218">
        <v>170.2</v>
      </c>
      <c r="G1218">
        <v>4.4000000000000004</v>
      </c>
    </row>
    <row r="1219" spans="1:7" x14ac:dyDescent="0.3">
      <c r="A1219">
        <v>2023</v>
      </c>
      <c r="B1219" t="s">
        <v>26</v>
      </c>
      <c r="C1219" t="s">
        <v>17</v>
      </c>
      <c r="D1219" t="s">
        <v>15</v>
      </c>
      <c r="E1219">
        <v>28.32</v>
      </c>
      <c r="F1219">
        <v>172.2</v>
      </c>
      <c r="G1219">
        <v>4.4800000000000004</v>
      </c>
    </row>
    <row r="1220" spans="1:7" x14ac:dyDescent="0.3">
      <c r="A1220">
        <v>2023</v>
      </c>
      <c r="B1220" t="s">
        <v>27</v>
      </c>
      <c r="C1220" t="s">
        <v>8</v>
      </c>
      <c r="D1220" t="s">
        <v>9</v>
      </c>
      <c r="E1220">
        <v>100</v>
      </c>
      <c r="F1220">
        <v>159.4</v>
      </c>
      <c r="G1220">
        <v>4.1500000000000004</v>
      </c>
    </row>
    <row r="1221" spans="1:7" x14ac:dyDescent="0.3">
      <c r="A1221">
        <v>2023</v>
      </c>
      <c r="B1221" t="s">
        <v>27</v>
      </c>
      <c r="C1221" t="s">
        <v>8</v>
      </c>
      <c r="D1221" t="s">
        <v>10</v>
      </c>
      <c r="E1221">
        <v>45.86</v>
      </c>
      <c r="F1221">
        <v>161.4</v>
      </c>
      <c r="G1221">
        <v>4.2300000000000004</v>
      </c>
    </row>
    <row r="1222" spans="1:7" x14ac:dyDescent="0.3">
      <c r="A1222">
        <v>2023</v>
      </c>
      <c r="B1222" t="s">
        <v>27</v>
      </c>
      <c r="C1222" t="s">
        <v>8</v>
      </c>
      <c r="D1222" t="s">
        <v>11</v>
      </c>
      <c r="E1222">
        <v>2.38</v>
      </c>
      <c r="F1222">
        <v>163.4</v>
      </c>
      <c r="G1222">
        <v>4.3099999999999996</v>
      </c>
    </row>
    <row r="1223" spans="1:7" x14ac:dyDescent="0.3">
      <c r="A1223">
        <v>2023</v>
      </c>
      <c r="B1223" t="s">
        <v>27</v>
      </c>
      <c r="C1223" t="s">
        <v>8</v>
      </c>
      <c r="D1223" t="s">
        <v>12</v>
      </c>
      <c r="E1223">
        <v>6.53</v>
      </c>
      <c r="F1223">
        <v>165.4</v>
      </c>
      <c r="G1223">
        <v>4.3899999999999997</v>
      </c>
    </row>
    <row r="1224" spans="1:7" x14ac:dyDescent="0.3">
      <c r="A1224">
        <v>2023</v>
      </c>
      <c r="B1224" t="s">
        <v>27</v>
      </c>
      <c r="C1224" t="s">
        <v>8</v>
      </c>
      <c r="D1224" t="s">
        <v>13</v>
      </c>
      <c r="E1224">
        <v>10.07</v>
      </c>
      <c r="F1224">
        <v>167.4</v>
      </c>
      <c r="G1224">
        <v>4.47</v>
      </c>
    </row>
    <row r="1225" spans="1:7" x14ac:dyDescent="0.3">
      <c r="A1225">
        <v>2023</v>
      </c>
      <c r="B1225" t="s">
        <v>27</v>
      </c>
      <c r="C1225" t="s">
        <v>8</v>
      </c>
      <c r="D1225" t="s">
        <v>14</v>
      </c>
      <c r="E1225">
        <v>6.84</v>
      </c>
      <c r="F1225">
        <v>169.4</v>
      </c>
      <c r="G1225">
        <v>4.55</v>
      </c>
    </row>
    <row r="1226" spans="1:7" x14ac:dyDescent="0.3">
      <c r="A1226">
        <v>2023</v>
      </c>
      <c r="B1226" t="s">
        <v>27</v>
      </c>
      <c r="C1226" t="s">
        <v>8</v>
      </c>
      <c r="D1226" t="s">
        <v>15</v>
      </c>
      <c r="E1226">
        <v>28.32</v>
      </c>
      <c r="F1226">
        <v>171.4</v>
      </c>
      <c r="G1226">
        <v>4.63</v>
      </c>
    </row>
    <row r="1227" spans="1:7" x14ac:dyDescent="0.3">
      <c r="A1227">
        <v>2023</v>
      </c>
      <c r="B1227" t="s">
        <v>27</v>
      </c>
      <c r="C1227" t="s">
        <v>16</v>
      </c>
      <c r="D1227" t="s">
        <v>9</v>
      </c>
      <c r="E1227">
        <v>100</v>
      </c>
      <c r="F1227">
        <v>160</v>
      </c>
      <c r="G1227">
        <v>4.1500000000000004</v>
      </c>
    </row>
    <row r="1228" spans="1:7" x14ac:dyDescent="0.3">
      <c r="A1228">
        <v>2023</v>
      </c>
      <c r="B1228" t="s">
        <v>27</v>
      </c>
      <c r="C1228" t="s">
        <v>16</v>
      </c>
      <c r="D1228" t="s">
        <v>10</v>
      </c>
      <c r="E1228">
        <v>45.86</v>
      </c>
      <c r="F1228">
        <v>162</v>
      </c>
      <c r="G1228">
        <v>4.2300000000000004</v>
      </c>
    </row>
    <row r="1229" spans="1:7" x14ac:dyDescent="0.3">
      <c r="A1229">
        <v>2023</v>
      </c>
      <c r="B1229" t="s">
        <v>27</v>
      </c>
      <c r="C1229" t="s">
        <v>16</v>
      </c>
      <c r="D1229" t="s">
        <v>11</v>
      </c>
      <c r="E1229">
        <v>2.38</v>
      </c>
      <c r="F1229">
        <v>164</v>
      </c>
      <c r="G1229">
        <v>4.3099999999999996</v>
      </c>
    </row>
    <row r="1230" spans="1:7" x14ac:dyDescent="0.3">
      <c r="A1230">
        <v>2023</v>
      </c>
      <c r="B1230" t="s">
        <v>27</v>
      </c>
      <c r="C1230" t="s">
        <v>16</v>
      </c>
      <c r="D1230" t="s">
        <v>12</v>
      </c>
      <c r="E1230">
        <v>6.53</v>
      </c>
      <c r="F1230">
        <v>166</v>
      </c>
      <c r="G1230">
        <v>4.3899999999999997</v>
      </c>
    </row>
    <row r="1231" spans="1:7" x14ac:dyDescent="0.3">
      <c r="A1231">
        <v>2023</v>
      </c>
      <c r="B1231" t="s">
        <v>27</v>
      </c>
      <c r="C1231" t="s">
        <v>16</v>
      </c>
      <c r="D1231" t="s">
        <v>13</v>
      </c>
      <c r="E1231">
        <v>10.07</v>
      </c>
      <c r="F1231">
        <v>168</v>
      </c>
      <c r="G1231">
        <v>4.47</v>
      </c>
    </row>
    <row r="1232" spans="1:7" x14ac:dyDescent="0.3">
      <c r="A1232">
        <v>2023</v>
      </c>
      <c r="B1232" t="s">
        <v>27</v>
      </c>
      <c r="C1232" t="s">
        <v>16</v>
      </c>
      <c r="D1232" t="s">
        <v>14</v>
      </c>
      <c r="E1232">
        <v>6.84</v>
      </c>
      <c r="F1232">
        <v>170</v>
      </c>
      <c r="G1232">
        <v>4.55</v>
      </c>
    </row>
    <row r="1233" spans="1:7" x14ac:dyDescent="0.3">
      <c r="A1233">
        <v>2023</v>
      </c>
      <c r="B1233" t="s">
        <v>27</v>
      </c>
      <c r="C1233" t="s">
        <v>16</v>
      </c>
      <c r="D1233" t="s">
        <v>15</v>
      </c>
      <c r="E1233">
        <v>28.32</v>
      </c>
      <c r="F1233">
        <v>172</v>
      </c>
      <c r="G1233">
        <v>4.63</v>
      </c>
    </row>
    <row r="1234" spans="1:7" x14ac:dyDescent="0.3">
      <c r="A1234">
        <v>2023</v>
      </c>
      <c r="B1234" t="s">
        <v>27</v>
      </c>
      <c r="C1234" t="s">
        <v>17</v>
      </c>
      <c r="D1234" t="s">
        <v>9</v>
      </c>
      <c r="E1234">
        <v>100</v>
      </c>
      <c r="F1234">
        <v>160.6</v>
      </c>
      <c r="G1234">
        <v>4.1500000000000004</v>
      </c>
    </row>
    <row r="1235" spans="1:7" x14ac:dyDescent="0.3">
      <c r="A1235">
        <v>2023</v>
      </c>
      <c r="B1235" t="s">
        <v>27</v>
      </c>
      <c r="C1235" t="s">
        <v>17</v>
      </c>
      <c r="D1235" t="s">
        <v>10</v>
      </c>
      <c r="E1235">
        <v>45.86</v>
      </c>
      <c r="F1235">
        <v>162.6</v>
      </c>
      <c r="G1235">
        <v>4.2300000000000004</v>
      </c>
    </row>
    <row r="1236" spans="1:7" x14ac:dyDescent="0.3">
      <c r="A1236">
        <v>2023</v>
      </c>
      <c r="B1236" t="s">
        <v>27</v>
      </c>
      <c r="C1236" t="s">
        <v>17</v>
      </c>
      <c r="D1236" t="s">
        <v>11</v>
      </c>
      <c r="E1236">
        <v>2.38</v>
      </c>
      <c r="F1236">
        <v>164.6</v>
      </c>
      <c r="G1236">
        <v>4.3099999999999996</v>
      </c>
    </row>
    <row r="1237" spans="1:7" x14ac:dyDescent="0.3">
      <c r="A1237">
        <v>2023</v>
      </c>
      <c r="B1237" t="s">
        <v>27</v>
      </c>
      <c r="C1237" t="s">
        <v>17</v>
      </c>
      <c r="D1237" t="s">
        <v>12</v>
      </c>
      <c r="E1237">
        <v>6.53</v>
      </c>
      <c r="F1237">
        <v>166.6</v>
      </c>
      <c r="G1237">
        <v>4.3899999999999997</v>
      </c>
    </row>
    <row r="1238" spans="1:7" x14ac:dyDescent="0.3">
      <c r="A1238">
        <v>2023</v>
      </c>
      <c r="B1238" t="s">
        <v>27</v>
      </c>
      <c r="C1238" t="s">
        <v>17</v>
      </c>
      <c r="D1238" t="s">
        <v>13</v>
      </c>
      <c r="E1238">
        <v>10.07</v>
      </c>
      <c r="F1238">
        <v>168.6</v>
      </c>
      <c r="G1238">
        <v>4.47</v>
      </c>
    </row>
    <row r="1239" spans="1:7" x14ac:dyDescent="0.3">
      <c r="A1239">
        <v>2023</v>
      </c>
      <c r="B1239" t="s">
        <v>27</v>
      </c>
      <c r="C1239" t="s">
        <v>17</v>
      </c>
      <c r="D1239" t="s">
        <v>14</v>
      </c>
      <c r="E1239">
        <v>6.84</v>
      </c>
      <c r="F1239">
        <v>170.6</v>
      </c>
      <c r="G1239">
        <v>4.55</v>
      </c>
    </row>
    <row r="1240" spans="1:7" x14ac:dyDescent="0.3">
      <c r="A1240">
        <v>2023</v>
      </c>
      <c r="B1240" t="s">
        <v>27</v>
      </c>
      <c r="C1240" t="s">
        <v>17</v>
      </c>
      <c r="D1240" t="s">
        <v>15</v>
      </c>
      <c r="E1240">
        <v>28.32</v>
      </c>
      <c r="F1240">
        <v>172.6</v>
      </c>
      <c r="G1240">
        <v>4.63</v>
      </c>
    </row>
    <row r="1241" spans="1:7" x14ac:dyDescent="0.3">
      <c r="A1241">
        <v>2023</v>
      </c>
      <c r="B1241" t="s">
        <v>28</v>
      </c>
      <c r="C1241" t="s">
        <v>8</v>
      </c>
      <c r="D1241" t="s">
        <v>9</v>
      </c>
      <c r="E1241">
        <v>100</v>
      </c>
      <c r="F1241">
        <v>159.80000000000001</v>
      </c>
      <c r="G1241">
        <v>3.4</v>
      </c>
    </row>
    <row r="1242" spans="1:7" x14ac:dyDescent="0.3">
      <c r="A1242">
        <v>2023</v>
      </c>
      <c r="B1242" t="s">
        <v>28</v>
      </c>
      <c r="C1242" t="s">
        <v>8</v>
      </c>
      <c r="D1242" t="s">
        <v>10</v>
      </c>
      <c r="E1242">
        <v>45.86</v>
      </c>
      <c r="F1242">
        <v>161.80000000000001</v>
      </c>
      <c r="G1242">
        <v>3.48</v>
      </c>
    </row>
    <row r="1243" spans="1:7" x14ac:dyDescent="0.3">
      <c r="A1243">
        <v>2023</v>
      </c>
      <c r="B1243" t="s">
        <v>28</v>
      </c>
      <c r="C1243" t="s">
        <v>8</v>
      </c>
      <c r="D1243" t="s">
        <v>11</v>
      </c>
      <c r="E1243">
        <v>2.38</v>
      </c>
      <c r="F1243">
        <v>163.80000000000001</v>
      </c>
      <c r="G1243">
        <v>3.56</v>
      </c>
    </row>
    <row r="1244" spans="1:7" x14ac:dyDescent="0.3">
      <c r="A1244">
        <v>2023</v>
      </c>
      <c r="B1244" t="s">
        <v>28</v>
      </c>
      <c r="C1244" t="s">
        <v>8</v>
      </c>
      <c r="D1244" t="s">
        <v>12</v>
      </c>
      <c r="E1244">
        <v>6.53</v>
      </c>
      <c r="F1244">
        <v>165.8</v>
      </c>
      <c r="G1244">
        <v>3.64</v>
      </c>
    </row>
    <row r="1245" spans="1:7" x14ac:dyDescent="0.3">
      <c r="A1245">
        <v>2023</v>
      </c>
      <c r="B1245" t="s">
        <v>28</v>
      </c>
      <c r="C1245" t="s">
        <v>8</v>
      </c>
      <c r="D1245" t="s">
        <v>13</v>
      </c>
      <c r="E1245">
        <v>10.07</v>
      </c>
      <c r="F1245">
        <v>167.8</v>
      </c>
      <c r="G1245">
        <v>3.72</v>
      </c>
    </row>
    <row r="1246" spans="1:7" x14ac:dyDescent="0.3">
      <c r="A1246">
        <v>2023</v>
      </c>
      <c r="B1246" t="s">
        <v>28</v>
      </c>
      <c r="C1246" t="s">
        <v>8</v>
      </c>
      <c r="D1246" t="s">
        <v>14</v>
      </c>
      <c r="E1246">
        <v>6.84</v>
      </c>
      <c r="F1246">
        <v>169.8</v>
      </c>
      <c r="G1246">
        <v>3.8</v>
      </c>
    </row>
    <row r="1247" spans="1:7" x14ac:dyDescent="0.3">
      <c r="A1247">
        <v>2023</v>
      </c>
      <c r="B1247" t="s">
        <v>28</v>
      </c>
      <c r="C1247" t="s">
        <v>8</v>
      </c>
      <c r="D1247" t="s">
        <v>15</v>
      </c>
      <c r="E1247">
        <v>28.32</v>
      </c>
      <c r="F1247">
        <v>171.8</v>
      </c>
      <c r="G1247">
        <v>3.88</v>
      </c>
    </row>
    <row r="1248" spans="1:7" x14ac:dyDescent="0.3">
      <c r="A1248">
        <v>2023</v>
      </c>
      <c r="B1248" t="s">
        <v>28</v>
      </c>
      <c r="C1248" t="s">
        <v>16</v>
      </c>
      <c r="D1248" t="s">
        <v>9</v>
      </c>
      <c r="E1248">
        <v>100</v>
      </c>
      <c r="F1248">
        <v>160.4</v>
      </c>
      <c r="G1248">
        <v>3.4</v>
      </c>
    </row>
    <row r="1249" spans="1:7" x14ac:dyDescent="0.3">
      <c r="A1249">
        <v>2023</v>
      </c>
      <c r="B1249" t="s">
        <v>28</v>
      </c>
      <c r="C1249" t="s">
        <v>16</v>
      </c>
      <c r="D1249" t="s">
        <v>10</v>
      </c>
      <c r="E1249">
        <v>45.86</v>
      </c>
      <c r="F1249">
        <v>162.4</v>
      </c>
      <c r="G1249">
        <v>3.48</v>
      </c>
    </row>
    <row r="1250" spans="1:7" x14ac:dyDescent="0.3">
      <c r="A1250">
        <v>2023</v>
      </c>
      <c r="B1250" t="s">
        <v>28</v>
      </c>
      <c r="C1250" t="s">
        <v>16</v>
      </c>
      <c r="D1250" t="s">
        <v>11</v>
      </c>
      <c r="E1250">
        <v>2.38</v>
      </c>
      <c r="F1250">
        <v>164.4</v>
      </c>
      <c r="G1250">
        <v>3.56</v>
      </c>
    </row>
    <row r="1251" spans="1:7" x14ac:dyDescent="0.3">
      <c r="A1251">
        <v>2023</v>
      </c>
      <c r="B1251" t="s">
        <v>28</v>
      </c>
      <c r="C1251" t="s">
        <v>16</v>
      </c>
      <c r="D1251" t="s">
        <v>12</v>
      </c>
      <c r="E1251">
        <v>6.53</v>
      </c>
      <c r="F1251">
        <v>166.4</v>
      </c>
      <c r="G1251">
        <v>3.64</v>
      </c>
    </row>
    <row r="1252" spans="1:7" x14ac:dyDescent="0.3">
      <c r="A1252">
        <v>2023</v>
      </c>
      <c r="B1252" t="s">
        <v>28</v>
      </c>
      <c r="C1252" t="s">
        <v>16</v>
      </c>
      <c r="D1252" t="s">
        <v>13</v>
      </c>
      <c r="E1252">
        <v>10.07</v>
      </c>
      <c r="F1252">
        <v>168.4</v>
      </c>
      <c r="G1252">
        <v>3.72</v>
      </c>
    </row>
    <row r="1253" spans="1:7" x14ac:dyDescent="0.3">
      <c r="A1253">
        <v>2023</v>
      </c>
      <c r="B1253" t="s">
        <v>28</v>
      </c>
      <c r="C1253" t="s">
        <v>16</v>
      </c>
      <c r="D1253" t="s">
        <v>14</v>
      </c>
      <c r="E1253">
        <v>6.84</v>
      </c>
      <c r="F1253">
        <v>170.4</v>
      </c>
      <c r="G1253">
        <v>3.8</v>
      </c>
    </row>
    <row r="1254" spans="1:7" x14ac:dyDescent="0.3">
      <c r="A1254">
        <v>2023</v>
      </c>
      <c r="B1254" t="s">
        <v>28</v>
      </c>
      <c r="C1254" t="s">
        <v>16</v>
      </c>
      <c r="D1254" t="s">
        <v>15</v>
      </c>
      <c r="E1254">
        <v>28.32</v>
      </c>
      <c r="F1254">
        <v>172.4</v>
      </c>
      <c r="G1254">
        <v>3.88</v>
      </c>
    </row>
    <row r="1255" spans="1:7" x14ac:dyDescent="0.3">
      <c r="A1255">
        <v>2023</v>
      </c>
      <c r="B1255" t="s">
        <v>28</v>
      </c>
      <c r="C1255" t="s">
        <v>17</v>
      </c>
      <c r="D1255" t="s">
        <v>9</v>
      </c>
      <c r="E1255">
        <v>100</v>
      </c>
      <c r="F1255">
        <v>161</v>
      </c>
      <c r="G1255">
        <v>3.4</v>
      </c>
    </row>
    <row r="1256" spans="1:7" x14ac:dyDescent="0.3">
      <c r="A1256">
        <v>2023</v>
      </c>
      <c r="B1256" t="s">
        <v>28</v>
      </c>
      <c r="C1256" t="s">
        <v>17</v>
      </c>
      <c r="D1256" t="s">
        <v>10</v>
      </c>
      <c r="E1256">
        <v>45.86</v>
      </c>
      <c r="F1256">
        <v>163</v>
      </c>
      <c r="G1256">
        <v>3.48</v>
      </c>
    </row>
    <row r="1257" spans="1:7" x14ac:dyDescent="0.3">
      <c r="A1257">
        <v>2023</v>
      </c>
      <c r="B1257" t="s">
        <v>28</v>
      </c>
      <c r="C1257" t="s">
        <v>17</v>
      </c>
      <c r="D1257" t="s">
        <v>11</v>
      </c>
      <c r="E1257">
        <v>2.38</v>
      </c>
      <c r="F1257">
        <v>165</v>
      </c>
      <c r="G1257">
        <v>3.56</v>
      </c>
    </row>
    <row r="1258" spans="1:7" x14ac:dyDescent="0.3">
      <c r="A1258">
        <v>2023</v>
      </c>
      <c r="B1258" t="s">
        <v>28</v>
      </c>
      <c r="C1258" t="s">
        <v>17</v>
      </c>
      <c r="D1258" t="s">
        <v>12</v>
      </c>
      <c r="E1258">
        <v>6.53</v>
      </c>
      <c r="F1258">
        <v>167</v>
      </c>
      <c r="G1258">
        <v>3.64</v>
      </c>
    </row>
    <row r="1259" spans="1:7" x14ac:dyDescent="0.3">
      <c r="A1259">
        <v>2023</v>
      </c>
      <c r="B1259" t="s">
        <v>28</v>
      </c>
      <c r="C1259" t="s">
        <v>17</v>
      </c>
      <c r="D1259" t="s">
        <v>13</v>
      </c>
      <c r="E1259">
        <v>10.07</v>
      </c>
      <c r="F1259">
        <v>169</v>
      </c>
      <c r="G1259">
        <v>3.72</v>
      </c>
    </row>
    <row r="1260" spans="1:7" x14ac:dyDescent="0.3">
      <c r="A1260">
        <v>2023</v>
      </c>
      <c r="B1260" t="s">
        <v>28</v>
      </c>
      <c r="C1260" t="s">
        <v>17</v>
      </c>
      <c r="D1260" t="s">
        <v>14</v>
      </c>
      <c r="E1260">
        <v>6.84</v>
      </c>
      <c r="F1260">
        <v>171</v>
      </c>
      <c r="G1260">
        <v>3.8</v>
      </c>
    </row>
    <row r="1261" spans="1:7" x14ac:dyDescent="0.3">
      <c r="A1261">
        <v>2023</v>
      </c>
      <c r="B1261" t="s">
        <v>28</v>
      </c>
      <c r="C1261" t="s">
        <v>17</v>
      </c>
      <c r="D1261" t="s">
        <v>15</v>
      </c>
      <c r="E1261">
        <v>28.32</v>
      </c>
      <c r="F1261">
        <v>173</v>
      </c>
      <c r="G1261">
        <v>3.88</v>
      </c>
    </row>
    <row r="1262" spans="1:7" x14ac:dyDescent="0.3">
      <c r="A1262">
        <v>2024</v>
      </c>
      <c r="B1262" t="s">
        <v>7</v>
      </c>
      <c r="C1262" t="s">
        <v>8</v>
      </c>
      <c r="D1262" t="s">
        <v>9</v>
      </c>
      <c r="E1262">
        <v>100</v>
      </c>
      <c r="F1262">
        <v>160.4</v>
      </c>
      <c r="G1262">
        <v>3.9</v>
      </c>
    </row>
    <row r="1263" spans="1:7" x14ac:dyDescent="0.3">
      <c r="A1263">
        <v>2024</v>
      </c>
      <c r="B1263" t="s">
        <v>7</v>
      </c>
      <c r="C1263" t="s">
        <v>8</v>
      </c>
      <c r="D1263" t="s">
        <v>10</v>
      </c>
      <c r="E1263">
        <v>45.86</v>
      </c>
      <c r="F1263">
        <v>162.4</v>
      </c>
      <c r="G1263">
        <v>3.98</v>
      </c>
    </row>
    <row r="1264" spans="1:7" x14ac:dyDescent="0.3">
      <c r="A1264">
        <v>2024</v>
      </c>
      <c r="B1264" t="s">
        <v>7</v>
      </c>
      <c r="C1264" t="s">
        <v>8</v>
      </c>
      <c r="D1264" t="s">
        <v>11</v>
      </c>
      <c r="E1264">
        <v>2.38</v>
      </c>
      <c r="F1264">
        <v>164.4</v>
      </c>
      <c r="G1264">
        <v>4.0599999999999996</v>
      </c>
    </row>
    <row r="1265" spans="1:7" x14ac:dyDescent="0.3">
      <c r="A1265">
        <v>2024</v>
      </c>
      <c r="B1265" t="s">
        <v>7</v>
      </c>
      <c r="C1265" t="s">
        <v>8</v>
      </c>
      <c r="D1265" t="s">
        <v>12</v>
      </c>
      <c r="E1265">
        <v>6.53</v>
      </c>
      <c r="F1265">
        <v>166.4</v>
      </c>
      <c r="G1265">
        <v>4.1399999999999997</v>
      </c>
    </row>
    <row r="1266" spans="1:7" x14ac:dyDescent="0.3">
      <c r="A1266">
        <v>2024</v>
      </c>
      <c r="B1266" t="s">
        <v>7</v>
      </c>
      <c r="C1266" t="s">
        <v>8</v>
      </c>
      <c r="D1266" t="s">
        <v>13</v>
      </c>
      <c r="E1266">
        <v>10.07</v>
      </c>
      <c r="F1266">
        <v>168.4</v>
      </c>
      <c r="G1266">
        <v>4.22</v>
      </c>
    </row>
    <row r="1267" spans="1:7" x14ac:dyDescent="0.3">
      <c r="A1267">
        <v>2024</v>
      </c>
      <c r="B1267" t="s">
        <v>7</v>
      </c>
      <c r="C1267" t="s">
        <v>8</v>
      </c>
      <c r="D1267" t="s">
        <v>14</v>
      </c>
      <c r="E1267">
        <v>6.84</v>
      </c>
      <c r="F1267">
        <v>170.4</v>
      </c>
      <c r="G1267">
        <v>4.3</v>
      </c>
    </row>
    <row r="1268" spans="1:7" x14ac:dyDescent="0.3">
      <c r="A1268">
        <v>2024</v>
      </c>
      <c r="B1268" t="s">
        <v>7</v>
      </c>
      <c r="C1268" t="s">
        <v>8</v>
      </c>
      <c r="D1268" t="s">
        <v>15</v>
      </c>
      <c r="E1268">
        <v>28.32</v>
      </c>
      <c r="F1268">
        <v>172.4</v>
      </c>
      <c r="G1268">
        <v>4.38</v>
      </c>
    </row>
    <row r="1269" spans="1:7" x14ac:dyDescent="0.3">
      <c r="A1269">
        <v>2024</v>
      </c>
      <c r="B1269" t="s">
        <v>7</v>
      </c>
      <c r="C1269" t="s">
        <v>16</v>
      </c>
      <c r="D1269" t="s">
        <v>9</v>
      </c>
      <c r="E1269">
        <v>100</v>
      </c>
      <c r="F1269">
        <v>161</v>
      </c>
      <c r="G1269">
        <v>3.9</v>
      </c>
    </row>
    <row r="1270" spans="1:7" x14ac:dyDescent="0.3">
      <c r="A1270">
        <v>2024</v>
      </c>
      <c r="B1270" t="s">
        <v>7</v>
      </c>
      <c r="C1270" t="s">
        <v>16</v>
      </c>
      <c r="D1270" t="s">
        <v>10</v>
      </c>
      <c r="E1270">
        <v>45.86</v>
      </c>
      <c r="F1270">
        <v>163</v>
      </c>
      <c r="G1270">
        <v>3.98</v>
      </c>
    </row>
    <row r="1271" spans="1:7" x14ac:dyDescent="0.3">
      <c r="A1271">
        <v>2024</v>
      </c>
      <c r="B1271" t="s">
        <v>7</v>
      </c>
      <c r="C1271" t="s">
        <v>16</v>
      </c>
      <c r="D1271" t="s">
        <v>11</v>
      </c>
      <c r="E1271">
        <v>2.38</v>
      </c>
      <c r="F1271">
        <v>165</v>
      </c>
      <c r="G1271">
        <v>4.0599999999999996</v>
      </c>
    </row>
    <row r="1272" spans="1:7" x14ac:dyDescent="0.3">
      <c r="A1272">
        <v>2024</v>
      </c>
      <c r="B1272" t="s">
        <v>7</v>
      </c>
      <c r="C1272" t="s">
        <v>16</v>
      </c>
      <c r="D1272" t="s">
        <v>12</v>
      </c>
      <c r="E1272">
        <v>6.53</v>
      </c>
      <c r="F1272">
        <v>167</v>
      </c>
      <c r="G1272">
        <v>4.1399999999999997</v>
      </c>
    </row>
    <row r="1273" spans="1:7" x14ac:dyDescent="0.3">
      <c r="A1273">
        <v>2024</v>
      </c>
      <c r="B1273" t="s">
        <v>7</v>
      </c>
      <c r="C1273" t="s">
        <v>16</v>
      </c>
      <c r="D1273" t="s">
        <v>13</v>
      </c>
      <c r="E1273">
        <v>10.07</v>
      </c>
      <c r="F1273">
        <v>169</v>
      </c>
      <c r="G1273">
        <v>4.22</v>
      </c>
    </row>
    <row r="1274" spans="1:7" x14ac:dyDescent="0.3">
      <c r="A1274">
        <v>2024</v>
      </c>
      <c r="B1274" t="s">
        <v>7</v>
      </c>
      <c r="C1274" t="s">
        <v>16</v>
      </c>
      <c r="D1274" t="s">
        <v>14</v>
      </c>
      <c r="E1274">
        <v>6.84</v>
      </c>
      <c r="F1274">
        <v>171</v>
      </c>
      <c r="G1274">
        <v>4.3</v>
      </c>
    </row>
    <row r="1275" spans="1:7" x14ac:dyDescent="0.3">
      <c r="A1275">
        <v>2024</v>
      </c>
      <c r="B1275" t="s">
        <v>7</v>
      </c>
      <c r="C1275" t="s">
        <v>16</v>
      </c>
      <c r="D1275" t="s">
        <v>15</v>
      </c>
      <c r="E1275">
        <v>28.32</v>
      </c>
      <c r="F1275">
        <v>173</v>
      </c>
      <c r="G1275">
        <v>4.38</v>
      </c>
    </row>
    <row r="1276" spans="1:7" x14ac:dyDescent="0.3">
      <c r="A1276">
        <v>2024</v>
      </c>
      <c r="B1276" t="s">
        <v>7</v>
      </c>
      <c r="C1276" t="s">
        <v>17</v>
      </c>
      <c r="D1276" t="s">
        <v>9</v>
      </c>
      <c r="E1276">
        <v>100</v>
      </c>
      <c r="F1276">
        <v>161.6</v>
      </c>
      <c r="G1276">
        <v>3.9</v>
      </c>
    </row>
    <row r="1277" spans="1:7" x14ac:dyDescent="0.3">
      <c r="A1277">
        <v>2024</v>
      </c>
      <c r="B1277" t="s">
        <v>7</v>
      </c>
      <c r="C1277" t="s">
        <v>17</v>
      </c>
      <c r="D1277" t="s">
        <v>10</v>
      </c>
      <c r="E1277">
        <v>45.86</v>
      </c>
      <c r="F1277">
        <v>163.6</v>
      </c>
      <c r="G1277">
        <v>3.98</v>
      </c>
    </row>
    <row r="1278" spans="1:7" x14ac:dyDescent="0.3">
      <c r="A1278">
        <v>2024</v>
      </c>
      <c r="B1278" t="s">
        <v>7</v>
      </c>
      <c r="C1278" t="s">
        <v>17</v>
      </c>
      <c r="D1278" t="s">
        <v>11</v>
      </c>
      <c r="E1278">
        <v>2.38</v>
      </c>
      <c r="F1278">
        <v>165.6</v>
      </c>
      <c r="G1278">
        <v>4.0599999999999996</v>
      </c>
    </row>
    <row r="1279" spans="1:7" x14ac:dyDescent="0.3">
      <c r="A1279">
        <v>2024</v>
      </c>
      <c r="B1279" t="s">
        <v>7</v>
      </c>
      <c r="C1279" t="s">
        <v>17</v>
      </c>
      <c r="D1279" t="s">
        <v>12</v>
      </c>
      <c r="E1279">
        <v>6.53</v>
      </c>
      <c r="F1279">
        <v>167.6</v>
      </c>
      <c r="G1279">
        <v>4.1399999999999997</v>
      </c>
    </row>
    <row r="1280" spans="1:7" x14ac:dyDescent="0.3">
      <c r="A1280">
        <v>2024</v>
      </c>
      <c r="B1280" t="s">
        <v>7</v>
      </c>
      <c r="C1280" t="s">
        <v>17</v>
      </c>
      <c r="D1280" t="s">
        <v>13</v>
      </c>
      <c r="E1280">
        <v>10.07</v>
      </c>
      <c r="F1280">
        <v>169.6</v>
      </c>
      <c r="G1280">
        <v>4.22</v>
      </c>
    </row>
    <row r="1281" spans="1:7" x14ac:dyDescent="0.3">
      <c r="A1281">
        <v>2024</v>
      </c>
      <c r="B1281" t="s">
        <v>7</v>
      </c>
      <c r="C1281" t="s">
        <v>17</v>
      </c>
      <c r="D1281" t="s">
        <v>14</v>
      </c>
      <c r="E1281">
        <v>6.84</v>
      </c>
      <c r="F1281">
        <v>171.6</v>
      </c>
      <c r="G1281">
        <v>4.3</v>
      </c>
    </row>
    <row r="1282" spans="1:7" x14ac:dyDescent="0.3">
      <c r="A1282">
        <v>2024</v>
      </c>
      <c r="B1282" t="s">
        <v>7</v>
      </c>
      <c r="C1282" t="s">
        <v>17</v>
      </c>
      <c r="D1282" t="s">
        <v>15</v>
      </c>
      <c r="E1282">
        <v>28.32</v>
      </c>
      <c r="F1282">
        <v>173.6</v>
      </c>
      <c r="G1282">
        <v>4.38</v>
      </c>
    </row>
    <row r="1283" spans="1:7" x14ac:dyDescent="0.3">
      <c r="A1283">
        <v>2024</v>
      </c>
      <c r="B1283" t="s">
        <v>18</v>
      </c>
      <c r="C1283" t="s">
        <v>8</v>
      </c>
      <c r="D1283" t="s">
        <v>9</v>
      </c>
      <c r="E1283">
        <v>100</v>
      </c>
      <c r="F1283">
        <v>160.80000000000001</v>
      </c>
      <c r="G1283">
        <v>4.05</v>
      </c>
    </row>
    <row r="1284" spans="1:7" x14ac:dyDescent="0.3">
      <c r="A1284">
        <v>2024</v>
      </c>
      <c r="B1284" t="s">
        <v>18</v>
      </c>
      <c r="C1284" t="s">
        <v>8</v>
      </c>
      <c r="D1284" t="s">
        <v>10</v>
      </c>
      <c r="E1284">
        <v>45.86</v>
      </c>
      <c r="F1284">
        <v>162.80000000000001</v>
      </c>
      <c r="G1284">
        <v>4.13</v>
      </c>
    </row>
    <row r="1285" spans="1:7" x14ac:dyDescent="0.3">
      <c r="A1285">
        <v>2024</v>
      </c>
      <c r="B1285" t="s">
        <v>18</v>
      </c>
      <c r="C1285" t="s">
        <v>8</v>
      </c>
      <c r="D1285" t="s">
        <v>11</v>
      </c>
      <c r="E1285">
        <v>2.38</v>
      </c>
      <c r="F1285">
        <v>164.8</v>
      </c>
      <c r="G1285">
        <v>4.21</v>
      </c>
    </row>
    <row r="1286" spans="1:7" x14ac:dyDescent="0.3">
      <c r="A1286">
        <v>2024</v>
      </c>
      <c r="B1286" t="s">
        <v>18</v>
      </c>
      <c r="C1286" t="s">
        <v>8</v>
      </c>
      <c r="D1286" t="s">
        <v>12</v>
      </c>
      <c r="E1286">
        <v>6.53</v>
      </c>
      <c r="F1286">
        <v>166.8</v>
      </c>
      <c r="G1286">
        <v>4.29</v>
      </c>
    </row>
    <row r="1287" spans="1:7" x14ac:dyDescent="0.3">
      <c r="A1287">
        <v>2024</v>
      </c>
      <c r="B1287" t="s">
        <v>18</v>
      </c>
      <c r="C1287" t="s">
        <v>8</v>
      </c>
      <c r="D1287" t="s">
        <v>13</v>
      </c>
      <c r="E1287">
        <v>10.07</v>
      </c>
      <c r="F1287">
        <v>168.8</v>
      </c>
      <c r="G1287">
        <v>4.37</v>
      </c>
    </row>
    <row r="1288" spans="1:7" x14ac:dyDescent="0.3">
      <c r="A1288">
        <v>2024</v>
      </c>
      <c r="B1288" t="s">
        <v>18</v>
      </c>
      <c r="C1288" t="s">
        <v>8</v>
      </c>
      <c r="D1288" t="s">
        <v>14</v>
      </c>
      <c r="E1288">
        <v>6.84</v>
      </c>
      <c r="F1288">
        <v>170.8</v>
      </c>
      <c r="G1288">
        <v>4.45</v>
      </c>
    </row>
    <row r="1289" spans="1:7" x14ac:dyDescent="0.3">
      <c r="A1289">
        <v>2024</v>
      </c>
      <c r="B1289" t="s">
        <v>18</v>
      </c>
      <c r="C1289" t="s">
        <v>8</v>
      </c>
      <c r="D1289" t="s">
        <v>15</v>
      </c>
      <c r="E1289">
        <v>28.32</v>
      </c>
      <c r="F1289">
        <v>172.8</v>
      </c>
      <c r="G1289">
        <v>4.53</v>
      </c>
    </row>
    <row r="1290" spans="1:7" x14ac:dyDescent="0.3">
      <c r="A1290">
        <v>2024</v>
      </c>
      <c r="B1290" t="s">
        <v>18</v>
      </c>
      <c r="C1290" t="s">
        <v>16</v>
      </c>
      <c r="D1290" t="s">
        <v>9</v>
      </c>
      <c r="E1290">
        <v>100</v>
      </c>
      <c r="F1290">
        <v>161.4</v>
      </c>
      <c r="G1290">
        <v>4.05</v>
      </c>
    </row>
    <row r="1291" spans="1:7" x14ac:dyDescent="0.3">
      <c r="A1291">
        <v>2024</v>
      </c>
      <c r="B1291" t="s">
        <v>18</v>
      </c>
      <c r="C1291" t="s">
        <v>16</v>
      </c>
      <c r="D1291" t="s">
        <v>10</v>
      </c>
      <c r="E1291">
        <v>45.86</v>
      </c>
      <c r="F1291">
        <v>163.4</v>
      </c>
      <c r="G1291">
        <v>4.13</v>
      </c>
    </row>
    <row r="1292" spans="1:7" x14ac:dyDescent="0.3">
      <c r="A1292">
        <v>2024</v>
      </c>
      <c r="B1292" t="s">
        <v>18</v>
      </c>
      <c r="C1292" t="s">
        <v>16</v>
      </c>
      <c r="D1292" t="s">
        <v>11</v>
      </c>
      <c r="E1292">
        <v>2.38</v>
      </c>
      <c r="F1292">
        <v>165.4</v>
      </c>
      <c r="G1292">
        <v>4.21</v>
      </c>
    </row>
    <row r="1293" spans="1:7" x14ac:dyDescent="0.3">
      <c r="A1293">
        <v>2024</v>
      </c>
      <c r="B1293" t="s">
        <v>18</v>
      </c>
      <c r="C1293" t="s">
        <v>16</v>
      </c>
      <c r="D1293" t="s">
        <v>12</v>
      </c>
      <c r="E1293">
        <v>6.53</v>
      </c>
      <c r="F1293">
        <v>167.4</v>
      </c>
      <c r="G1293">
        <v>4.29</v>
      </c>
    </row>
    <row r="1294" spans="1:7" x14ac:dyDescent="0.3">
      <c r="A1294">
        <v>2024</v>
      </c>
      <c r="B1294" t="s">
        <v>18</v>
      </c>
      <c r="C1294" t="s">
        <v>16</v>
      </c>
      <c r="D1294" t="s">
        <v>13</v>
      </c>
      <c r="E1294">
        <v>10.07</v>
      </c>
      <c r="F1294">
        <v>169.4</v>
      </c>
      <c r="G1294">
        <v>4.37</v>
      </c>
    </row>
    <row r="1295" spans="1:7" x14ac:dyDescent="0.3">
      <c r="A1295">
        <v>2024</v>
      </c>
      <c r="B1295" t="s">
        <v>18</v>
      </c>
      <c r="C1295" t="s">
        <v>16</v>
      </c>
      <c r="D1295" t="s">
        <v>14</v>
      </c>
      <c r="E1295">
        <v>6.84</v>
      </c>
      <c r="F1295">
        <v>171.4</v>
      </c>
      <c r="G1295">
        <v>4.45</v>
      </c>
    </row>
    <row r="1296" spans="1:7" x14ac:dyDescent="0.3">
      <c r="A1296">
        <v>2024</v>
      </c>
      <c r="B1296" t="s">
        <v>18</v>
      </c>
      <c r="C1296" t="s">
        <v>16</v>
      </c>
      <c r="D1296" t="s">
        <v>15</v>
      </c>
      <c r="E1296">
        <v>28.32</v>
      </c>
      <c r="F1296">
        <v>173.4</v>
      </c>
      <c r="G1296">
        <v>4.53</v>
      </c>
    </row>
    <row r="1297" spans="1:7" x14ac:dyDescent="0.3">
      <c r="A1297">
        <v>2024</v>
      </c>
      <c r="B1297" t="s">
        <v>18</v>
      </c>
      <c r="C1297" t="s">
        <v>17</v>
      </c>
      <c r="D1297" t="s">
        <v>9</v>
      </c>
      <c r="E1297">
        <v>100</v>
      </c>
      <c r="F1297">
        <v>162</v>
      </c>
      <c r="G1297">
        <v>4.05</v>
      </c>
    </row>
    <row r="1298" spans="1:7" x14ac:dyDescent="0.3">
      <c r="A1298">
        <v>2024</v>
      </c>
      <c r="B1298" t="s">
        <v>18</v>
      </c>
      <c r="C1298" t="s">
        <v>17</v>
      </c>
      <c r="D1298" t="s">
        <v>10</v>
      </c>
      <c r="E1298">
        <v>45.86</v>
      </c>
      <c r="F1298">
        <v>164</v>
      </c>
      <c r="G1298">
        <v>4.13</v>
      </c>
    </row>
    <row r="1299" spans="1:7" x14ac:dyDescent="0.3">
      <c r="A1299">
        <v>2024</v>
      </c>
      <c r="B1299" t="s">
        <v>18</v>
      </c>
      <c r="C1299" t="s">
        <v>17</v>
      </c>
      <c r="D1299" t="s">
        <v>11</v>
      </c>
      <c r="E1299">
        <v>2.38</v>
      </c>
      <c r="F1299">
        <v>166</v>
      </c>
      <c r="G1299">
        <v>4.21</v>
      </c>
    </row>
    <row r="1300" spans="1:7" x14ac:dyDescent="0.3">
      <c r="A1300">
        <v>2024</v>
      </c>
      <c r="B1300" t="s">
        <v>18</v>
      </c>
      <c r="C1300" t="s">
        <v>17</v>
      </c>
      <c r="D1300" t="s">
        <v>12</v>
      </c>
      <c r="E1300">
        <v>6.53</v>
      </c>
      <c r="F1300">
        <v>168</v>
      </c>
      <c r="G1300">
        <v>4.29</v>
      </c>
    </row>
    <row r="1301" spans="1:7" x14ac:dyDescent="0.3">
      <c r="A1301">
        <v>2024</v>
      </c>
      <c r="B1301" t="s">
        <v>18</v>
      </c>
      <c r="C1301" t="s">
        <v>17</v>
      </c>
      <c r="D1301" t="s">
        <v>13</v>
      </c>
      <c r="E1301">
        <v>10.07</v>
      </c>
      <c r="F1301">
        <v>170</v>
      </c>
      <c r="G1301">
        <v>4.37</v>
      </c>
    </row>
    <row r="1302" spans="1:7" x14ac:dyDescent="0.3">
      <c r="A1302">
        <v>2024</v>
      </c>
      <c r="B1302" t="s">
        <v>18</v>
      </c>
      <c r="C1302" t="s">
        <v>17</v>
      </c>
      <c r="D1302" t="s">
        <v>14</v>
      </c>
      <c r="E1302">
        <v>6.84</v>
      </c>
      <c r="F1302">
        <v>172</v>
      </c>
      <c r="G1302">
        <v>4.45</v>
      </c>
    </row>
    <row r="1303" spans="1:7" x14ac:dyDescent="0.3">
      <c r="A1303">
        <v>2024</v>
      </c>
      <c r="B1303" t="s">
        <v>18</v>
      </c>
      <c r="C1303" t="s">
        <v>17</v>
      </c>
      <c r="D1303" t="s">
        <v>15</v>
      </c>
      <c r="E1303">
        <v>28.32</v>
      </c>
      <c r="F1303">
        <v>174</v>
      </c>
      <c r="G1303">
        <v>4.53</v>
      </c>
    </row>
    <row r="1304" spans="1:7" x14ac:dyDescent="0.3">
      <c r="A1304">
        <v>2024</v>
      </c>
      <c r="B1304" t="s">
        <v>19</v>
      </c>
      <c r="C1304" t="s">
        <v>8</v>
      </c>
      <c r="D1304" t="s">
        <v>9</v>
      </c>
      <c r="E1304">
        <v>100</v>
      </c>
      <c r="F1304">
        <v>161.19999999999999</v>
      </c>
      <c r="G1304">
        <v>4.2</v>
      </c>
    </row>
    <row r="1305" spans="1:7" x14ac:dyDescent="0.3">
      <c r="A1305">
        <v>2024</v>
      </c>
      <c r="B1305" t="s">
        <v>19</v>
      </c>
      <c r="C1305" t="s">
        <v>8</v>
      </c>
      <c r="D1305" t="s">
        <v>10</v>
      </c>
      <c r="E1305">
        <v>45.86</v>
      </c>
      <c r="F1305">
        <v>163.19999999999999</v>
      </c>
      <c r="G1305">
        <v>4.28</v>
      </c>
    </row>
    <row r="1306" spans="1:7" x14ac:dyDescent="0.3">
      <c r="A1306">
        <v>2024</v>
      </c>
      <c r="B1306" t="s">
        <v>19</v>
      </c>
      <c r="C1306" t="s">
        <v>8</v>
      </c>
      <c r="D1306" t="s">
        <v>11</v>
      </c>
      <c r="E1306">
        <v>2.38</v>
      </c>
      <c r="F1306">
        <v>165.2</v>
      </c>
      <c r="G1306">
        <v>4.3600000000000003</v>
      </c>
    </row>
    <row r="1307" spans="1:7" x14ac:dyDescent="0.3">
      <c r="A1307">
        <v>2024</v>
      </c>
      <c r="B1307" t="s">
        <v>19</v>
      </c>
      <c r="C1307" t="s">
        <v>8</v>
      </c>
      <c r="D1307" t="s">
        <v>12</v>
      </c>
      <c r="E1307">
        <v>6.53</v>
      </c>
      <c r="F1307">
        <v>167.2</v>
      </c>
      <c r="G1307">
        <v>4.4400000000000004</v>
      </c>
    </row>
    <row r="1308" spans="1:7" x14ac:dyDescent="0.3">
      <c r="A1308">
        <v>2024</v>
      </c>
      <c r="B1308" t="s">
        <v>19</v>
      </c>
      <c r="C1308" t="s">
        <v>8</v>
      </c>
      <c r="D1308" t="s">
        <v>13</v>
      </c>
      <c r="E1308">
        <v>10.07</v>
      </c>
      <c r="F1308">
        <v>169.2</v>
      </c>
      <c r="G1308">
        <v>4.5199999999999996</v>
      </c>
    </row>
    <row r="1309" spans="1:7" x14ac:dyDescent="0.3">
      <c r="A1309">
        <v>2024</v>
      </c>
      <c r="B1309" t="s">
        <v>19</v>
      </c>
      <c r="C1309" t="s">
        <v>8</v>
      </c>
      <c r="D1309" t="s">
        <v>14</v>
      </c>
      <c r="E1309">
        <v>6.84</v>
      </c>
      <c r="F1309">
        <v>171.2</v>
      </c>
      <c r="G1309">
        <v>4.5999999999999996</v>
      </c>
    </row>
    <row r="1310" spans="1:7" x14ac:dyDescent="0.3">
      <c r="A1310">
        <v>2024</v>
      </c>
      <c r="B1310" t="s">
        <v>19</v>
      </c>
      <c r="C1310" t="s">
        <v>8</v>
      </c>
      <c r="D1310" t="s">
        <v>15</v>
      </c>
      <c r="E1310">
        <v>28.32</v>
      </c>
      <c r="F1310">
        <v>173.2</v>
      </c>
      <c r="G1310">
        <v>4.68</v>
      </c>
    </row>
    <row r="1311" spans="1:7" x14ac:dyDescent="0.3">
      <c r="A1311">
        <v>2024</v>
      </c>
      <c r="B1311" t="s">
        <v>19</v>
      </c>
      <c r="C1311" t="s">
        <v>16</v>
      </c>
      <c r="D1311" t="s">
        <v>9</v>
      </c>
      <c r="E1311">
        <v>100</v>
      </c>
      <c r="F1311">
        <v>161.80000000000001</v>
      </c>
      <c r="G1311">
        <v>4.2</v>
      </c>
    </row>
    <row r="1312" spans="1:7" x14ac:dyDescent="0.3">
      <c r="A1312">
        <v>2024</v>
      </c>
      <c r="B1312" t="s">
        <v>19</v>
      </c>
      <c r="C1312" t="s">
        <v>16</v>
      </c>
      <c r="D1312" t="s">
        <v>10</v>
      </c>
      <c r="E1312">
        <v>45.86</v>
      </c>
      <c r="F1312">
        <v>163.80000000000001</v>
      </c>
      <c r="G1312">
        <v>4.28</v>
      </c>
    </row>
    <row r="1313" spans="1:7" x14ac:dyDescent="0.3">
      <c r="A1313">
        <v>2024</v>
      </c>
      <c r="B1313" t="s">
        <v>19</v>
      </c>
      <c r="C1313" t="s">
        <v>16</v>
      </c>
      <c r="D1313" t="s">
        <v>11</v>
      </c>
      <c r="E1313">
        <v>2.38</v>
      </c>
      <c r="F1313">
        <v>165.8</v>
      </c>
      <c r="G1313">
        <v>4.3600000000000003</v>
      </c>
    </row>
    <row r="1314" spans="1:7" x14ac:dyDescent="0.3">
      <c r="A1314">
        <v>2024</v>
      </c>
      <c r="B1314" t="s">
        <v>19</v>
      </c>
      <c r="C1314" t="s">
        <v>16</v>
      </c>
      <c r="D1314" t="s">
        <v>12</v>
      </c>
      <c r="E1314">
        <v>6.53</v>
      </c>
      <c r="F1314">
        <v>167.8</v>
      </c>
      <c r="G1314">
        <v>4.4400000000000004</v>
      </c>
    </row>
    <row r="1315" spans="1:7" x14ac:dyDescent="0.3">
      <c r="A1315">
        <v>2024</v>
      </c>
      <c r="B1315" t="s">
        <v>19</v>
      </c>
      <c r="C1315" t="s">
        <v>16</v>
      </c>
      <c r="D1315" t="s">
        <v>13</v>
      </c>
      <c r="E1315">
        <v>10.07</v>
      </c>
      <c r="F1315">
        <v>169.8</v>
      </c>
      <c r="G1315">
        <v>4.5199999999999996</v>
      </c>
    </row>
    <row r="1316" spans="1:7" x14ac:dyDescent="0.3">
      <c r="A1316">
        <v>2024</v>
      </c>
      <c r="B1316" t="s">
        <v>19</v>
      </c>
      <c r="C1316" t="s">
        <v>16</v>
      </c>
      <c r="D1316" t="s">
        <v>14</v>
      </c>
      <c r="E1316">
        <v>6.84</v>
      </c>
      <c r="F1316">
        <v>171.8</v>
      </c>
      <c r="G1316">
        <v>4.5999999999999996</v>
      </c>
    </row>
    <row r="1317" spans="1:7" x14ac:dyDescent="0.3">
      <c r="A1317">
        <v>2024</v>
      </c>
      <c r="B1317" t="s">
        <v>19</v>
      </c>
      <c r="C1317" t="s">
        <v>16</v>
      </c>
      <c r="D1317" t="s">
        <v>15</v>
      </c>
      <c r="E1317">
        <v>28.32</v>
      </c>
      <c r="F1317">
        <v>173.8</v>
      </c>
      <c r="G1317">
        <v>4.68</v>
      </c>
    </row>
    <row r="1318" spans="1:7" x14ac:dyDescent="0.3">
      <c r="A1318">
        <v>2024</v>
      </c>
      <c r="B1318" t="s">
        <v>19</v>
      </c>
      <c r="C1318" t="s">
        <v>17</v>
      </c>
      <c r="D1318" t="s">
        <v>9</v>
      </c>
      <c r="E1318">
        <v>100</v>
      </c>
      <c r="F1318">
        <v>162.4</v>
      </c>
      <c r="G1318">
        <v>4.2</v>
      </c>
    </row>
    <row r="1319" spans="1:7" x14ac:dyDescent="0.3">
      <c r="A1319">
        <v>2024</v>
      </c>
      <c r="B1319" t="s">
        <v>19</v>
      </c>
      <c r="C1319" t="s">
        <v>17</v>
      </c>
      <c r="D1319" t="s">
        <v>10</v>
      </c>
      <c r="E1319">
        <v>45.86</v>
      </c>
      <c r="F1319">
        <v>164.4</v>
      </c>
      <c r="G1319">
        <v>4.28</v>
      </c>
    </row>
    <row r="1320" spans="1:7" x14ac:dyDescent="0.3">
      <c r="A1320">
        <v>2024</v>
      </c>
      <c r="B1320" t="s">
        <v>19</v>
      </c>
      <c r="C1320" t="s">
        <v>17</v>
      </c>
      <c r="D1320" t="s">
        <v>11</v>
      </c>
      <c r="E1320">
        <v>2.38</v>
      </c>
      <c r="F1320">
        <v>166.4</v>
      </c>
      <c r="G1320">
        <v>4.3600000000000003</v>
      </c>
    </row>
    <row r="1321" spans="1:7" x14ac:dyDescent="0.3">
      <c r="A1321">
        <v>2024</v>
      </c>
      <c r="B1321" t="s">
        <v>19</v>
      </c>
      <c r="C1321" t="s">
        <v>17</v>
      </c>
      <c r="D1321" t="s">
        <v>12</v>
      </c>
      <c r="E1321">
        <v>6.53</v>
      </c>
      <c r="F1321">
        <v>168.4</v>
      </c>
      <c r="G1321">
        <v>4.4400000000000004</v>
      </c>
    </row>
    <row r="1322" spans="1:7" x14ac:dyDescent="0.3">
      <c r="A1322">
        <v>2024</v>
      </c>
      <c r="B1322" t="s">
        <v>19</v>
      </c>
      <c r="C1322" t="s">
        <v>17</v>
      </c>
      <c r="D1322" t="s">
        <v>13</v>
      </c>
      <c r="E1322">
        <v>10.07</v>
      </c>
      <c r="F1322">
        <v>170.4</v>
      </c>
      <c r="G1322">
        <v>4.5199999999999996</v>
      </c>
    </row>
    <row r="1323" spans="1:7" x14ac:dyDescent="0.3">
      <c r="A1323">
        <v>2024</v>
      </c>
      <c r="B1323" t="s">
        <v>19</v>
      </c>
      <c r="C1323" t="s">
        <v>17</v>
      </c>
      <c r="D1323" t="s">
        <v>14</v>
      </c>
      <c r="E1323">
        <v>6.84</v>
      </c>
      <c r="F1323">
        <v>172.4</v>
      </c>
      <c r="G1323">
        <v>4.5999999999999996</v>
      </c>
    </row>
    <row r="1324" spans="1:7" x14ac:dyDescent="0.3">
      <c r="A1324">
        <v>2024</v>
      </c>
      <c r="B1324" t="s">
        <v>19</v>
      </c>
      <c r="C1324" t="s">
        <v>17</v>
      </c>
      <c r="D1324" t="s">
        <v>15</v>
      </c>
      <c r="E1324">
        <v>28.32</v>
      </c>
      <c r="F1324">
        <v>174.4</v>
      </c>
      <c r="G1324">
        <v>4.68</v>
      </c>
    </row>
    <row r="1325" spans="1:7" x14ac:dyDescent="0.3">
      <c r="A1325">
        <v>2024</v>
      </c>
      <c r="B1325" t="s">
        <v>20</v>
      </c>
      <c r="C1325" t="s">
        <v>8</v>
      </c>
      <c r="D1325" t="s">
        <v>9</v>
      </c>
      <c r="E1325">
        <v>100</v>
      </c>
      <c r="F1325">
        <v>161.6</v>
      </c>
      <c r="G1325">
        <v>4.3499999999999996</v>
      </c>
    </row>
    <row r="1326" spans="1:7" x14ac:dyDescent="0.3">
      <c r="A1326">
        <v>2024</v>
      </c>
      <c r="B1326" t="s">
        <v>20</v>
      </c>
      <c r="C1326" t="s">
        <v>8</v>
      </c>
      <c r="D1326" t="s">
        <v>10</v>
      </c>
      <c r="E1326">
        <v>45.86</v>
      </c>
      <c r="F1326">
        <v>163.6</v>
      </c>
      <c r="G1326">
        <v>4.43</v>
      </c>
    </row>
    <row r="1327" spans="1:7" x14ac:dyDescent="0.3">
      <c r="A1327">
        <v>2024</v>
      </c>
      <c r="B1327" t="s">
        <v>20</v>
      </c>
      <c r="C1327" t="s">
        <v>8</v>
      </c>
      <c r="D1327" t="s">
        <v>11</v>
      </c>
      <c r="E1327">
        <v>2.38</v>
      </c>
      <c r="F1327">
        <v>165.6</v>
      </c>
      <c r="G1327">
        <v>4.51</v>
      </c>
    </row>
    <row r="1328" spans="1:7" x14ac:dyDescent="0.3">
      <c r="A1328">
        <v>2024</v>
      </c>
      <c r="B1328" t="s">
        <v>20</v>
      </c>
      <c r="C1328" t="s">
        <v>8</v>
      </c>
      <c r="D1328" t="s">
        <v>12</v>
      </c>
      <c r="E1328">
        <v>6.53</v>
      </c>
      <c r="F1328">
        <v>167.6</v>
      </c>
      <c r="G1328">
        <v>4.59</v>
      </c>
    </row>
    <row r="1329" spans="1:7" x14ac:dyDescent="0.3">
      <c r="A1329">
        <v>2024</v>
      </c>
      <c r="B1329" t="s">
        <v>20</v>
      </c>
      <c r="C1329" t="s">
        <v>8</v>
      </c>
      <c r="D1329" t="s">
        <v>13</v>
      </c>
      <c r="E1329">
        <v>10.07</v>
      </c>
      <c r="F1329">
        <v>169.6</v>
      </c>
      <c r="G1329">
        <v>4.67</v>
      </c>
    </row>
    <row r="1330" spans="1:7" x14ac:dyDescent="0.3">
      <c r="A1330">
        <v>2024</v>
      </c>
      <c r="B1330" t="s">
        <v>20</v>
      </c>
      <c r="C1330" t="s">
        <v>8</v>
      </c>
      <c r="D1330" t="s">
        <v>14</v>
      </c>
      <c r="E1330">
        <v>6.84</v>
      </c>
      <c r="F1330">
        <v>171.6</v>
      </c>
      <c r="G1330">
        <v>4.75</v>
      </c>
    </row>
    <row r="1331" spans="1:7" x14ac:dyDescent="0.3">
      <c r="A1331">
        <v>2024</v>
      </c>
      <c r="B1331" t="s">
        <v>20</v>
      </c>
      <c r="C1331" t="s">
        <v>8</v>
      </c>
      <c r="D1331" t="s">
        <v>15</v>
      </c>
      <c r="E1331">
        <v>28.32</v>
      </c>
      <c r="F1331">
        <v>173.6</v>
      </c>
      <c r="G1331">
        <v>4.83</v>
      </c>
    </row>
    <row r="1332" spans="1:7" x14ac:dyDescent="0.3">
      <c r="A1332">
        <v>2024</v>
      </c>
      <c r="B1332" t="s">
        <v>20</v>
      </c>
      <c r="C1332" t="s">
        <v>16</v>
      </c>
      <c r="D1332" t="s">
        <v>9</v>
      </c>
      <c r="E1332">
        <v>100</v>
      </c>
      <c r="F1332">
        <v>162.19999999999999</v>
      </c>
      <c r="G1332">
        <v>4.3499999999999996</v>
      </c>
    </row>
    <row r="1333" spans="1:7" x14ac:dyDescent="0.3">
      <c r="A1333">
        <v>2024</v>
      </c>
      <c r="B1333" t="s">
        <v>20</v>
      </c>
      <c r="C1333" t="s">
        <v>16</v>
      </c>
      <c r="D1333" t="s">
        <v>10</v>
      </c>
      <c r="E1333">
        <v>45.86</v>
      </c>
      <c r="F1333">
        <v>164.2</v>
      </c>
      <c r="G1333">
        <v>4.43</v>
      </c>
    </row>
    <row r="1334" spans="1:7" x14ac:dyDescent="0.3">
      <c r="A1334">
        <v>2024</v>
      </c>
      <c r="B1334" t="s">
        <v>20</v>
      </c>
      <c r="C1334" t="s">
        <v>16</v>
      </c>
      <c r="D1334" t="s">
        <v>11</v>
      </c>
      <c r="E1334">
        <v>2.38</v>
      </c>
      <c r="F1334">
        <v>166.2</v>
      </c>
      <c r="G1334">
        <v>4.51</v>
      </c>
    </row>
    <row r="1335" spans="1:7" x14ac:dyDescent="0.3">
      <c r="A1335">
        <v>2024</v>
      </c>
      <c r="B1335" t="s">
        <v>20</v>
      </c>
      <c r="C1335" t="s">
        <v>16</v>
      </c>
      <c r="D1335" t="s">
        <v>12</v>
      </c>
      <c r="E1335">
        <v>6.53</v>
      </c>
      <c r="F1335">
        <v>168.2</v>
      </c>
      <c r="G1335">
        <v>4.59</v>
      </c>
    </row>
    <row r="1336" spans="1:7" x14ac:dyDescent="0.3">
      <c r="A1336">
        <v>2024</v>
      </c>
      <c r="B1336" t="s">
        <v>20</v>
      </c>
      <c r="C1336" t="s">
        <v>16</v>
      </c>
      <c r="D1336" t="s">
        <v>13</v>
      </c>
      <c r="E1336">
        <v>10.07</v>
      </c>
      <c r="F1336">
        <v>170.2</v>
      </c>
      <c r="G1336">
        <v>4.67</v>
      </c>
    </row>
    <row r="1337" spans="1:7" x14ac:dyDescent="0.3">
      <c r="A1337">
        <v>2024</v>
      </c>
      <c r="B1337" t="s">
        <v>20</v>
      </c>
      <c r="C1337" t="s">
        <v>16</v>
      </c>
      <c r="D1337" t="s">
        <v>14</v>
      </c>
      <c r="E1337">
        <v>6.84</v>
      </c>
      <c r="F1337">
        <v>172.2</v>
      </c>
      <c r="G1337">
        <v>4.75</v>
      </c>
    </row>
    <row r="1338" spans="1:7" x14ac:dyDescent="0.3">
      <c r="A1338">
        <v>2024</v>
      </c>
      <c r="B1338" t="s">
        <v>20</v>
      </c>
      <c r="C1338" t="s">
        <v>16</v>
      </c>
      <c r="D1338" t="s">
        <v>15</v>
      </c>
      <c r="E1338">
        <v>28.32</v>
      </c>
      <c r="F1338">
        <v>174.2</v>
      </c>
      <c r="G1338">
        <v>4.83</v>
      </c>
    </row>
    <row r="1339" spans="1:7" x14ac:dyDescent="0.3">
      <c r="A1339">
        <v>2024</v>
      </c>
      <c r="B1339" t="s">
        <v>20</v>
      </c>
      <c r="C1339" t="s">
        <v>17</v>
      </c>
      <c r="D1339" t="s">
        <v>9</v>
      </c>
      <c r="E1339">
        <v>100</v>
      </c>
      <c r="F1339">
        <v>162.80000000000001</v>
      </c>
      <c r="G1339">
        <v>4.3499999999999996</v>
      </c>
    </row>
    <row r="1340" spans="1:7" x14ac:dyDescent="0.3">
      <c r="A1340">
        <v>2024</v>
      </c>
      <c r="B1340" t="s">
        <v>20</v>
      </c>
      <c r="C1340" t="s">
        <v>17</v>
      </c>
      <c r="D1340" t="s">
        <v>10</v>
      </c>
      <c r="E1340">
        <v>45.86</v>
      </c>
      <c r="F1340">
        <v>164.8</v>
      </c>
      <c r="G1340">
        <v>4.43</v>
      </c>
    </row>
    <row r="1341" spans="1:7" x14ac:dyDescent="0.3">
      <c r="A1341">
        <v>2024</v>
      </c>
      <c r="B1341" t="s">
        <v>20</v>
      </c>
      <c r="C1341" t="s">
        <v>17</v>
      </c>
      <c r="D1341" t="s">
        <v>11</v>
      </c>
      <c r="E1341">
        <v>2.38</v>
      </c>
      <c r="F1341">
        <v>166.8</v>
      </c>
      <c r="G1341">
        <v>4.51</v>
      </c>
    </row>
    <row r="1342" spans="1:7" x14ac:dyDescent="0.3">
      <c r="A1342">
        <v>2024</v>
      </c>
      <c r="B1342" t="s">
        <v>20</v>
      </c>
      <c r="C1342" t="s">
        <v>17</v>
      </c>
      <c r="D1342" t="s">
        <v>12</v>
      </c>
      <c r="E1342">
        <v>6.53</v>
      </c>
      <c r="F1342">
        <v>168.8</v>
      </c>
      <c r="G1342">
        <v>4.59</v>
      </c>
    </row>
    <row r="1343" spans="1:7" x14ac:dyDescent="0.3">
      <c r="A1343">
        <v>2024</v>
      </c>
      <c r="B1343" t="s">
        <v>20</v>
      </c>
      <c r="C1343" t="s">
        <v>17</v>
      </c>
      <c r="D1343" t="s">
        <v>13</v>
      </c>
      <c r="E1343">
        <v>10.07</v>
      </c>
      <c r="F1343">
        <v>170.8</v>
      </c>
      <c r="G1343">
        <v>4.67</v>
      </c>
    </row>
    <row r="1344" spans="1:7" x14ac:dyDescent="0.3">
      <c r="A1344">
        <v>2024</v>
      </c>
      <c r="B1344" t="s">
        <v>20</v>
      </c>
      <c r="C1344" t="s">
        <v>17</v>
      </c>
      <c r="D1344" t="s">
        <v>14</v>
      </c>
      <c r="E1344">
        <v>6.84</v>
      </c>
      <c r="F1344">
        <v>172.8</v>
      </c>
      <c r="G1344">
        <v>4.75</v>
      </c>
    </row>
    <row r="1345" spans="1:7" x14ac:dyDescent="0.3">
      <c r="A1345">
        <v>2024</v>
      </c>
      <c r="B1345" t="s">
        <v>20</v>
      </c>
      <c r="C1345" t="s">
        <v>17</v>
      </c>
      <c r="D1345" t="s">
        <v>15</v>
      </c>
      <c r="E1345">
        <v>28.32</v>
      </c>
      <c r="F1345">
        <v>174.8</v>
      </c>
      <c r="G1345">
        <v>4.83</v>
      </c>
    </row>
    <row r="1346" spans="1:7" x14ac:dyDescent="0.3">
      <c r="A1346">
        <v>2024</v>
      </c>
      <c r="B1346" t="s">
        <v>21</v>
      </c>
      <c r="C1346" t="s">
        <v>8</v>
      </c>
      <c r="D1346" t="s">
        <v>9</v>
      </c>
      <c r="E1346">
        <v>100</v>
      </c>
      <c r="F1346">
        <v>162</v>
      </c>
      <c r="G1346">
        <v>4.5</v>
      </c>
    </row>
    <row r="1347" spans="1:7" x14ac:dyDescent="0.3">
      <c r="A1347">
        <v>2024</v>
      </c>
      <c r="B1347" t="s">
        <v>21</v>
      </c>
      <c r="C1347" t="s">
        <v>8</v>
      </c>
      <c r="D1347" t="s">
        <v>10</v>
      </c>
      <c r="E1347">
        <v>45.86</v>
      </c>
      <c r="F1347">
        <v>164</v>
      </c>
      <c r="G1347">
        <v>4.58</v>
      </c>
    </row>
    <row r="1348" spans="1:7" x14ac:dyDescent="0.3">
      <c r="A1348">
        <v>2024</v>
      </c>
      <c r="B1348" t="s">
        <v>21</v>
      </c>
      <c r="C1348" t="s">
        <v>8</v>
      </c>
      <c r="D1348" t="s">
        <v>11</v>
      </c>
      <c r="E1348">
        <v>2.38</v>
      </c>
      <c r="F1348">
        <v>166</v>
      </c>
      <c r="G1348">
        <v>4.66</v>
      </c>
    </row>
    <row r="1349" spans="1:7" x14ac:dyDescent="0.3">
      <c r="A1349">
        <v>2024</v>
      </c>
      <c r="B1349" t="s">
        <v>21</v>
      </c>
      <c r="C1349" t="s">
        <v>8</v>
      </c>
      <c r="D1349" t="s">
        <v>12</v>
      </c>
      <c r="E1349">
        <v>6.53</v>
      </c>
      <c r="F1349">
        <v>168</v>
      </c>
      <c r="G1349">
        <v>4.74</v>
      </c>
    </row>
    <row r="1350" spans="1:7" x14ac:dyDescent="0.3">
      <c r="A1350">
        <v>2024</v>
      </c>
      <c r="B1350" t="s">
        <v>21</v>
      </c>
      <c r="C1350" t="s">
        <v>8</v>
      </c>
      <c r="D1350" t="s">
        <v>13</v>
      </c>
      <c r="E1350">
        <v>10.07</v>
      </c>
      <c r="F1350">
        <v>170</v>
      </c>
      <c r="G1350">
        <v>4.82</v>
      </c>
    </row>
    <row r="1351" spans="1:7" x14ac:dyDescent="0.3">
      <c r="A1351">
        <v>2024</v>
      </c>
      <c r="B1351" t="s">
        <v>21</v>
      </c>
      <c r="C1351" t="s">
        <v>8</v>
      </c>
      <c r="D1351" t="s">
        <v>14</v>
      </c>
      <c r="E1351">
        <v>6.84</v>
      </c>
      <c r="F1351">
        <v>172</v>
      </c>
      <c r="G1351">
        <v>4.9000000000000004</v>
      </c>
    </row>
    <row r="1352" spans="1:7" x14ac:dyDescent="0.3">
      <c r="A1352">
        <v>2024</v>
      </c>
      <c r="B1352" t="s">
        <v>21</v>
      </c>
      <c r="C1352" t="s">
        <v>8</v>
      </c>
      <c r="D1352" t="s">
        <v>15</v>
      </c>
      <c r="E1352">
        <v>28.32</v>
      </c>
      <c r="F1352">
        <v>174</v>
      </c>
      <c r="G1352">
        <v>4.9800000000000004</v>
      </c>
    </row>
    <row r="1353" spans="1:7" x14ac:dyDescent="0.3">
      <c r="A1353">
        <v>2024</v>
      </c>
      <c r="B1353" t="s">
        <v>21</v>
      </c>
      <c r="C1353" t="s">
        <v>16</v>
      </c>
      <c r="D1353" t="s">
        <v>9</v>
      </c>
      <c r="E1353">
        <v>100</v>
      </c>
      <c r="F1353">
        <v>162.6</v>
      </c>
      <c r="G1353">
        <v>4.5</v>
      </c>
    </row>
    <row r="1354" spans="1:7" x14ac:dyDescent="0.3">
      <c r="A1354">
        <v>2024</v>
      </c>
      <c r="B1354" t="s">
        <v>21</v>
      </c>
      <c r="C1354" t="s">
        <v>16</v>
      </c>
      <c r="D1354" t="s">
        <v>10</v>
      </c>
      <c r="E1354">
        <v>45.86</v>
      </c>
      <c r="F1354">
        <v>164.6</v>
      </c>
      <c r="G1354">
        <v>4.58</v>
      </c>
    </row>
    <row r="1355" spans="1:7" x14ac:dyDescent="0.3">
      <c r="A1355">
        <v>2024</v>
      </c>
      <c r="B1355" t="s">
        <v>21</v>
      </c>
      <c r="C1355" t="s">
        <v>16</v>
      </c>
      <c r="D1355" t="s">
        <v>11</v>
      </c>
      <c r="E1355">
        <v>2.38</v>
      </c>
      <c r="F1355">
        <v>166.6</v>
      </c>
      <c r="G1355">
        <v>4.66</v>
      </c>
    </row>
    <row r="1356" spans="1:7" x14ac:dyDescent="0.3">
      <c r="A1356">
        <v>2024</v>
      </c>
      <c r="B1356" t="s">
        <v>21</v>
      </c>
      <c r="C1356" t="s">
        <v>16</v>
      </c>
      <c r="D1356" t="s">
        <v>12</v>
      </c>
      <c r="E1356">
        <v>6.53</v>
      </c>
      <c r="F1356">
        <v>168.6</v>
      </c>
      <c r="G1356">
        <v>4.74</v>
      </c>
    </row>
    <row r="1357" spans="1:7" x14ac:dyDescent="0.3">
      <c r="A1357">
        <v>2024</v>
      </c>
      <c r="B1357" t="s">
        <v>21</v>
      </c>
      <c r="C1357" t="s">
        <v>16</v>
      </c>
      <c r="D1357" t="s">
        <v>13</v>
      </c>
      <c r="E1357">
        <v>10.07</v>
      </c>
      <c r="F1357">
        <v>170.6</v>
      </c>
      <c r="G1357">
        <v>4.82</v>
      </c>
    </row>
    <row r="1358" spans="1:7" x14ac:dyDescent="0.3">
      <c r="A1358">
        <v>2024</v>
      </c>
      <c r="B1358" t="s">
        <v>21</v>
      </c>
      <c r="C1358" t="s">
        <v>16</v>
      </c>
      <c r="D1358" t="s">
        <v>14</v>
      </c>
      <c r="E1358">
        <v>6.84</v>
      </c>
      <c r="F1358">
        <v>172.6</v>
      </c>
      <c r="G1358">
        <v>4.9000000000000004</v>
      </c>
    </row>
    <row r="1359" spans="1:7" x14ac:dyDescent="0.3">
      <c r="A1359">
        <v>2024</v>
      </c>
      <c r="B1359" t="s">
        <v>21</v>
      </c>
      <c r="C1359" t="s">
        <v>16</v>
      </c>
      <c r="D1359" t="s">
        <v>15</v>
      </c>
      <c r="E1359">
        <v>28.32</v>
      </c>
      <c r="F1359">
        <v>174.6</v>
      </c>
      <c r="G1359">
        <v>4.9800000000000004</v>
      </c>
    </row>
    <row r="1360" spans="1:7" x14ac:dyDescent="0.3">
      <c r="A1360">
        <v>2024</v>
      </c>
      <c r="B1360" t="s">
        <v>21</v>
      </c>
      <c r="C1360" t="s">
        <v>17</v>
      </c>
      <c r="D1360" t="s">
        <v>9</v>
      </c>
      <c r="E1360">
        <v>100</v>
      </c>
      <c r="F1360">
        <v>163.19999999999999</v>
      </c>
      <c r="G1360">
        <v>4.5</v>
      </c>
    </row>
    <row r="1361" spans="1:7" x14ac:dyDescent="0.3">
      <c r="A1361">
        <v>2024</v>
      </c>
      <c r="B1361" t="s">
        <v>21</v>
      </c>
      <c r="C1361" t="s">
        <v>17</v>
      </c>
      <c r="D1361" t="s">
        <v>10</v>
      </c>
      <c r="E1361">
        <v>45.86</v>
      </c>
      <c r="F1361">
        <v>165.2</v>
      </c>
      <c r="G1361">
        <v>4.58</v>
      </c>
    </row>
    <row r="1362" spans="1:7" x14ac:dyDescent="0.3">
      <c r="A1362">
        <v>2024</v>
      </c>
      <c r="B1362" t="s">
        <v>21</v>
      </c>
      <c r="C1362" t="s">
        <v>17</v>
      </c>
      <c r="D1362" t="s">
        <v>11</v>
      </c>
      <c r="E1362">
        <v>2.38</v>
      </c>
      <c r="F1362">
        <v>167.2</v>
      </c>
      <c r="G1362">
        <v>4.66</v>
      </c>
    </row>
    <row r="1363" spans="1:7" x14ac:dyDescent="0.3">
      <c r="A1363">
        <v>2024</v>
      </c>
      <c r="B1363" t="s">
        <v>21</v>
      </c>
      <c r="C1363" t="s">
        <v>17</v>
      </c>
      <c r="D1363" t="s">
        <v>12</v>
      </c>
      <c r="E1363">
        <v>6.53</v>
      </c>
      <c r="F1363">
        <v>169.2</v>
      </c>
      <c r="G1363">
        <v>4.74</v>
      </c>
    </row>
    <row r="1364" spans="1:7" x14ac:dyDescent="0.3">
      <c r="A1364">
        <v>2024</v>
      </c>
      <c r="B1364" t="s">
        <v>21</v>
      </c>
      <c r="C1364" t="s">
        <v>17</v>
      </c>
      <c r="D1364" t="s">
        <v>13</v>
      </c>
      <c r="E1364">
        <v>10.07</v>
      </c>
      <c r="F1364">
        <v>171.2</v>
      </c>
      <c r="G1364">
        <v>4.82</v>
      </c>
    </row>
    <row r="1365" spans="1:7" x14ac:dyDescent="0.3">
      <c r="A1365">
        <v>2024</v>
      </c>
      <c r="B1365" t="s">
        <v>21</v>
      </c>
      <c r="C1365" t="s">
        <v>17</v>
      </c>
      <c r="D1365" t="s">
        <v>14</v>
      </c>
      <c r="E1365">
        <v>6.84</v>
      </c>
      <c r="F1365">
        <v>173.2</v>
      </c>
      <c r="G1365">
        <v>4.9000000000000004</v>
      </c>
    </row>
    <row r="1366" spans="1:7" x14ac:dyDescent="0.3">
      <c r="A1366">
        <v>2024</v>
      </c>
      <c r="B1366" t="s">
        <v>21</v>
      </c>
      <c r="C1366" t="s">
        <v>17</v>
      </c>
      <c r="D1366" t="s">
        <v>15</v>
      </c>
      <c r="E1366">
        <v>28.32</v>
      </c>
      <c r="F1366">
        <v>175.2</v>
      </c>
      <c r="G1366">
        <v>4.9800000000000004</v>
      </c>
    </row>
    <row r="1367" spans="1:7" x14ac:dyDescent="0.3">
      <c r="A1367">
        <v>2024</v>
      </c>
      <c r="B1367" t="s">
        <v>22</v>
      </c>
      <c r="C1367" t="s">
        <v>8</v>
      </c>
      <c r="D1367" t="s">
        <v>9</v>
      </c>
      <c r="E1367">
        <v>100</v>
      </c>
      <c r="F1367">
        <v>162.4</v>
      </c>
      <c r="G1367">
        <v>3.75</v>
      </c>
    </row>
    <row r="1368" spans="1:7" x14ac:dyDescent="0.3">
      <c r="A1368">
        <v>2024</v>
      </c>
      <c r="B1368" t="s">
        <v>22</v>
      </c>
      <c r="C1368" t="s">
        <v>8</v>
      </c>
      <c r="D1368" t="s">
        <v>10</v>
      </c>
      <c r="E1368">
        <v>45.86</v>
      </c>
      <c r="F1368">
        <v>164.4</v>
      </c>
      <c r="G1368">
        <v>3.83</v>
      </c>
    </row>
    <row r="1369" spans="1:7" x14ac:dyDescent="0.3">
      <c r="A1369">
        <v>2024</v>
      </c>
      <c r="B1369" t="s">
        <v>22</v>
      </c>
      <c r="C1369" t="s">
        <v>8</v>
      </c>
      <c r="D1369" t="s">
        <v>11</v>
      </c>
      <c r="E1369">
        <v>2.38</v>
      </c>
      <c r="F1369">
        <v>166.4</v>
      </c>
      <c r="G1369">
        <v>3.91</v>
      </c>
    </row>
    <row r="1370" spans="1:7" x14ac:dyDescent="0.3">
      <c r="A1370">
        <v>2024</v>
      </c>
      <c r="B1370" t="s">
        <v>22</v>
      </c>
      <c r="C1370" t="s">
        <v>8</v>
      </c>
      <c r="D1370" t="s">
        <v>12</v>
      </c>
      <c r="E1370">
        <v>6.53</v>
      </c>
      <c r="F1370">
        <v>168.4</v>
      </c>
      <c r="G1370">
        <v>3.99</v>
      </c>
    </row>
    <row r="1371" spans="1:7" x14ac:dyDescent="0.3">
      <c r="A1371">
        <v>2024</v>
      </c>
      <c r="B1371" t="s">
        <v>22</v>
      </c>
      <c r="C1371" t="s">
        <v>8</v>
      </c>
      <c r="D1371" t="s">
        <v>13</v>
      </c>
      <c r="E1371">
        <v>10.07</v>
      </c>
      <c r="F1371">
        <v>170.4</v>
      </c>
      <c r="G1371">
        <v>4.07</v>
      </c>
    </row>
    <row r="1372" spans="1:7" x14ac:dyDescent="0.3">
      <c r="A1372">
        <v>2024</v>
      </c>
      <c r="B1372" t="s">
        <v>22</v>
      </c>
      <c r="C1372" t="s">
        <v>8</v>
      </c>
      <c r="D1372" t="s">
        <v>14</v>
      </c>
      <c r="E1372">
        <v>6.84</v>
      </c>
      <c r="F1372">
        <v>172.4</v>
      </c>
      <c r="G1372">
        <v>4.1500000000000004</v>
      </c>
    </row>
    <row r="1373" spans="1:7" x14ac:dyDescent="0.3">
      <c r="A1373">
        <v>2024</v>
      </c>
      <c r="B1373" t="s">
        <v>22</v>
      </c>
      <c r="C1373" t="s">
        <v>8</v>
      </c>
      <c r="D1373" t="s">
        <v>15</v>
      </c>
      <c r="E1373">
        <v>28.32</v>
      </c>
      <c r="F1373">
        <v>174.4</v>
      </c>
      <c r="G1373">
        <v>4.2300000000000004</v>
      </c>
    </row>
    <row r="1374" spans="1:7" x14ac:dyDescent="0.3">
      <c r="A1374">
        <v>2024</v>
      </c>
      <c r="B1374" t="s">
        <v>22</v>
      </c>
      <c r="C1374" t="s">
        <v>16</v>
      </c>
      <c r="D1374" t="s">
        <v>9</v>
      </c>
      <c r="E1374">
        <v>100</v>
      </c>
      <c r="F1374">
        <v>163</v>
      </c>
      <c r="G1374">
        <v>3.75</v>
      </c>
    </row>
    <row r="1375" spans="1:7" x14ac:dyDescent="0.3">
      <c r="A1375">
        <v>2024</v>
      </c>
      <c r="B1375" t="s">
        <v>22</v>
      </c>
      <c r="C1375" t="s">
        <v>16</v>
      </c>
      <c r="D1375" t="s">
        <v>10</v>
      </c>
      <c r="E1375">
        <v>45.86</v>
      </c>
      <c r="F1375">
        <v>165</v>
      </c>
      <c r="G1375">
        <v>3.83</v>
      </c>
    </row>
    <row r="1376" spans="1:7" x14ac:dyDescent="0.3">
      <c r="A1376">
        <v>2024</v>
      </c>
      <c r="B1376" t="s">
        <v>22</v>
      </c>
      <c r="C1376" t="s">
        <v>16</v>
      </c>
      <c r="D1376" t="s">
        <v>11</v>
      </c>
      <c r="E1376">
        <v>2.38</v>
      </c>
      <c r="F1376">
        <v>167</v>
      </c>
      <c r="G1376">
        <v>3.91</v>
      </c>
    </row>
    <row r="1377" spans="1:7" x14ac:dyDescent="0.3">
      <c r="A1377">
        <v>2024</v>
      </c>
      <c r="B1377" t="s">
        <v>22</v>
      </c>
      <c r="C1377" t="s">
        <v>16</v>
      </c>
      <c r="D1377" t="s">
        <v>12</v>
      </c>
      <c r="E1377">
        <v>6.53</v>
      </c>
      <c r="F1377">
        <v>169</v>
      </c>
      <c r="G1377">
        <v>3.99</v>
      </c>
    </row>
    <row r="1378" spans="1:7" x14ac:dyDescent="0.3">
      <c r="A1378">
        <v>2024</v>
      </c>
      <c r="B1378" t="s">
        <v>22</v>
      </c>
      <c r="C1378" t="s">
        <v>16</v>
      </c>
      <c r="D1378" t="s">
        <v>13</v>
      </c>
      <c r="E1378">
        <v>10.07</v>
      </c>
      <c r="F1378">
        <v>171</v>
      </c>
      <c r="G1378">
        <v>4.07</v>
      </c>
    </row>
    <row r="1379" spans="1:7" x14ac:dyDescent="0.3">
      <c r="A1379">
        <v>2024</v>
      </c>
      <c r="B1379" t="s">
        <v>22</v>
      </c>
      <c r="C1379" t="s">
        <v>16</v>
      </c>
      <c r="D1379" t="s">
        <v>14</v>
      </c>
      <c r="E1379">
        <v>6.84</v>
      </c>
      <c r="F1379">
        <v>173</v>
      </c>
      <c r="G1379">
        <v>4.1500000000000004</v>
      </c>
    </row>
    <row r="1380" spans="1:7" x14ac:dyDescent="0.3">
      <c r="A1380">
        <v>2024</v>
      </c>
      <c r="B1380" t="s">
        <v>22</v>
      </c>
      <c r="C1380" t="s">
        <v>16</v>
      </c>
      <c r="D1380" t="s">
        <v>15</v>
      </c>
      <c r="E1380">
        <v>28.32</v>
      </c>
      <c r="F1380">
        <v>175</v>
      </c>
      <c r="G1380">
        <v>4.2300000000000004</v>
      </c>
    </row>
    <row r="1381" spans="1:7" x14ac:dyDescent="0.3">
      <c r="A1381">
        <v>2024</v>
      </c>
      <c r="B1381" t="s">
        <v>22</v>
      </c>
      <c r="C1381" t="s">
        <v>17</v>
      </c>
      <c r="D1381" t="s">
        <v>9</v>
      </c>
      <c r="E1381">
        <v>100</v>
      </c>
      <c r="F1381">
        <v>163.6</v>
      </c>
      <c r="G1381">
        <v>3.75</v>
      </c>
    </row>
    <row r="1382" spans="1:7" x14ac:dyDescent="0.3">
      <c r="A1382">
        <v>2024</v>
      </c>
      <c r="B1382" t="s">
        <v>22</v>
      </c>
      <c r="C1382" t="s">
        <v>17</v>
      </c>
      <c r="D1382" t="s">
        <v>10</v>
      </c>
      <c r="E1382">
        <v>45.86</v>
      </c>
      <c r="F1382">
        <v>165.6</v>
      </c>
      <c r="G1382">
        <v>3.83</v>
      </c>
    </row>
    <row r="1383" spans="1:7" x14ac:dyDescent="0.3">
      <c r="A1383">
        <v>2024</v>
      </c>
      <c r="B1383" t="s">
        <v>22</v>
      </c>
      <c r="C1383" t="s">
        <v>17</v>
      </c>
      <c r="D1383" t="s">
        <v>11</v>
      </c>
      <c r="E1383">
        <v>2.38</v>
      </c>
      <c r="F1383">
        <v>167.6</v>
      </c>
      <c r="G1383">
        <v>3.91</v>
      </c>
    </row>
    <row r="1384" spans="1:7" x14ac:dyDescent="0.3">
      <c r="A1384">
        <v>2024</v>
      </c>
      <c r="B1384" t="s">
        <v>22</v>
      </c>
      <c r="C1384" t="s">
        <v>17</v>
      </c>
      <c r="D1384" t="s">
        <v>12</v>
      </c>
      <c r="E1384">
        <v>6.53</v>
      </c>
      <c r="F1384">
        <v>169.6</v>
      </c>
      <c r="G1384">
        <v>3.99</v>
      </c>
    </row>
    <row r="1385" spans="1:7" x14ac:dyDescent="0.3">
      <c r="A1385">
        <v>2024</v>
      </c>
      <c r="B1385" t="s">
        <v>22</v>
      </c>
      <c r="C1385" t="s">
        <v>17</v>
      </c>
      <c r="D1385" t="s">
        <v>13</v>
      </c>
      <c r="E1385">
        <v>10.07</v>
      </c>
      <c r="F1385">
        <v>171.6</v>
      </c>
      <c r="G1385">
        <v>4.07</v>
      </c>
    </row>
    <row r="1386" spans="1:7" x14ac:dyDescent="0.3">
      <c r="A1386">
        <v>2024</v>
      </c>
      <c r="B1386" t="s">
        <v>22</v>
      </c>
      <c r="C1386" t="s">
        <v>17</v>
      </c>
      <c r="D1386" t="s">
        <v>14</v>
      </c>
      <c r="E1386">
        <v>6.84</v>
      </c>
      <c r="F1386">
        <v>173.6</v>
      </c>
      <c r="G1386">
        <v>4.1500000000000004</v>
      </c>
    </row>
    <row r="1387" spans="1:7" x14ac:dyDescent="0.3">
      <c r="A1387">
        <v>2024</v>
      </c>
      <c r="B1387" t="s">
        <v>22</v>
      </c>
      <c r="C1387" t="s">
        <v>17</v>
      </c>
      <c r="D1387" t="s">
        <v>15</v>
      </c>
      <c r="E1387">
        <v>28.32</v>
      </c>
      <c r="F1387">
        <v>175.6</v>
      </c>
      <c r="G1387">
        <v>4.2300000000000004</v>
      </c>
    </row>
    <row r="1388" spans="1:7" x14ac:dyDescent="0.3">
      <c r="A1388">
        <v>2024</v>
      </c>
      <c r="B1388" t="s">
        <v>23</v>
      </c>
      <c r="C1388" t="s">
        <v>8</v>
      </c>
      <c r="D1388" t="s">
        <v>9</v>
      </c>
      <c r="E1388">
        <v>100</v>
      </c>
      <c r="F1388">
        <v>162.80000000000001</v>
      </c>
      <c r="G1388">
        <v>3.9</v>
      </c>
    </row>
    <row r="1389" spans="1:7" x14ac:dyDescent="0.3">
      <c r="A1389">
        <v>2024</v>
      </c>
      <c r="B1389" t="s">
        <v>23</v>
      </c>
      <c r="C1389" t="s">
        <v>8</v>
      </c>
      <c r="D1389" t="s">
        <v>10</v>
      </c>
      <c r="E1389">
        <v>45.86</v>
      </c>
      <c r="F1389">
        <v>164.8</v>
      </c>
      <c r="G1389">
        <v>3.98</v>
      </c>
    </row>
    <row r="1390" spans="1:7" x14ac:dyDescent="0.3">
      <c r="A1390">
        <v>2024</v>
      </c>
      <c r="B1390" t="s">
        <v>23</v>
      </c>
      <c r="C1390" t="s">
        <v>8</v>
      </c>
      <c r="D1390" t="s">
        <v>11</v>
      </c>
      <c r="E1390">
        <v>2.38</v>
      </c>
      <c r="F1390">
        <v>166.8</v>
      </c>
      <c r="G1390">
        <v>4.0599999999999996</v>
      </c>
    </row>
    <row r="1391" spans="1:7" x14ac:dyDescent="0.3">
      <c r="A1391">
        <v>2024</v>
      </c>
      <c r="B1391" t="s">
        <v>23</v>
      </c>
      <c r="C1391" t="s">
        <v>8</v>
      </c>
      <c r="D1391" t="s">
        <v>12</v>
      </c>
      <c r="E1391">
        <v>6.53</v>
      </c>
      <c r="F1391">
        <v>168.8</v>
      </c>
      <c r="G1391">
        <v>4.1399999999999997</v>
      </c>
    </row>
    <row r="1392" spans="1:7" x14ac:dyDescent="0.3">
      <c r="A1392">
        <v>2024</v>
      </c>
      <c r="B1392" t="s">
        <v>23</v>
      </c>
      <c r="C1392" t="s">
        <v>8</v>
      </c>
      <c r="D1392" t="s">
        <v>13</v>
      </c>
      <c r="E1392">
        <v>10.07</v>
      </c>
      <c r="F1392">
        <v>170.8</v>
      </c>
      <c r="G1392">
        <v>4.22</v>
      </c>
    </row>
    <row r="1393" spans="1:7" x14ac:dyDescent="0.3">
      <c r="A1393">
        <v>2024</v>
      </c>
      <c r="B1393" t="s">
        <v>23</v>
      </c>
      <c r="C1393" t="s">
        <v>8</v>
      </c>
      <c r="D1393" t="s">
        <v>14</v>
      </c>
      <c r="E1393">
        <v>6.84</v>
      </c>
      <c r="F1393">
        <v>172.8</v>
      </c>
      <c r="G1393">
        <v>4.3</v>
      </c>
    </row>
    <row r="1394" spans="1:7" x14ac:dyDescent="0.3">
      <c r="A1394">
        <v>2024</v>
      </c>
      <c r="B1394" t="s">
        <v>23</v>
      </c>
      <c r="C1394" t="s">
        <v>8</v>
      </c>
      <c r="D1394" t="s">
        <v>15</v>
      </c>
      <c r="E1394">
        <v>28.32</v>
      </c>
      <c r="F1394">
        <v>174.8</v>
      </c>
      <c r="G1394">
        <v>4.38</v>
      </c>
    </row>
    <row r="1395" spans="1:7" x14ac:dyDescent="0.3">
      <c r="A1395">
        <v>2024</v>
      </c>
      <c r="B1395" t="s">
        <v>23</v>
      </c>
      <c r="C1395" t="s">
        <v>16</v>
      </c>
      <c r="D1395" t="s">
        <v>9</v>
      </c>
      <c r="E1395">
        <v>100</v>
      </c>
      <c r="F1395">
        <v>163.4</v>
      </c>
      <c r="G1395">
        <v>3.9</v>
      </c>
    </row>
    <row r="1396" spans="1:7" x14ac:dyDescent="0.3">
      <c r="A1396">
        <v>2024</v>
      </c>
      <c r="B1396" t="s">
        <v>23</v>
      </c>
      <c r="C1396" t="s">
        <v>16</v>
      </c>
      <c r="D1396" t="s">
        <v>10</v>
      </c>
      <c r="E1396">
        <v>45.86</v>
      </c>
      <c r="F1396">
        <v>165.4</v>
      </c>
      <c r="G1396">
        <v>3.98</v>
      </c>
    </row>
    <row r="1397" spans="1:7" x14ac:dyDescent="0.3">
      <c r="A1397">
        <v>2024</v>
      </c>
      <c r="B1397" t="s">
        <v>23</v>
      </c>
      <c r="C1397" t="s">
        <v>16</v>
      </c>
      <c r="D1397" t="s">
        <v>11</v>
      </c>
      <c r="E1397">
        <v>2.38</v>
      </c>
      <c r="F1397">
        <v>167.4</v>
      </c>
      <c r="G1397">
        <v>4.0599999999999996</v>
      </c>
    </row>
    <row r="1398" spans="1:7" x14ac:dyDescent="0.3">
      <c r="A1398">
        <v>2024</v>
      </c>
      <c r="B1398" t="s">
        <v>23</v>
      </c>
      <c r="C1398" t="s">
        <v>16</v>
      </c>
      <c r="D1398" t="s">
        <v>12</v>
      </c>
      <c r="E1398">
        <v>6.53</v>
      </c>
      <c r="F1398">
        <v>169.4</v>
      </c>
      <c r="G1398">
        <v>4.1399999999999997</v>
      </c>
    </row>
    <row r="1399" spans="1:7" x14ac:dyDescent="0.3">
      <c r="A1399">
        <v>2024</v>
      </c>
      <c r="B1399" t="s">
        <v>23</v>
      </c>
      <c r="C1399" t="s">
        <v>16</v>
      </c>
      <c r="D1399" t="s">
        <v>13</v>
      </c>
      <c r="E1399">
        <v>10.07</v>
      </c>
      <c r="F1399">
        <v>171.4</v>
      </c>
      <c r="G1399">
        <v>4.22</v>
      </c>
    </row>
    <row r="1400" spans="1:7" x14ac:dyDescent="0.3">
      <c r="A1400">
        <v>2024</v>
      </c>
      <c r="B1400" t="s">
        <v>23</v>
      </c>
      <c r="C1400" t="s">
        <v>16</v>
      </c>
      <c r="D1400" t="s">
        <v>14</v>
      </c>
      <c r="E1400">
        <v>6.84</v>
      </c>
      <c r="F1400">
        <v>173.4</v>
      </c>
      <c r="G1400">
        <v>4.3</v>
      </c>
    </row>
    <row r="1401" spans="1:7" x14ac:dyDescent="0.3">
      <c r="A1401">
        <v>2024</v>
      </c>
      <c r="B1401" t="s">
        <v>23</v>
      </c>
      <c r="C1401" t="s">
        <v>16</v>
      </c>
      <c r="D1401" t="s">
        <v>15</v>
      </c>
      <c r="E1401">
        <v>28.32</v>
      </c>
      <c r="F1401">
        <v>175.4</v>
      </c>
      <c r="G1401">
        <v>4.38</v>
      </c>
    </row>
    <row r="1402" spans="1:7" x14ac:dyDescent="0.3">
      <c r="A1402">
        <v>2024</v>
      </c>
      <c r="B1402" t="s">
        <v>23</v>
      </c>
      <c r="C1402" t="s">
        <v>17</v>
      </c>
      <c r="D1402" t="s">
        <v>9</v>
      </c>
      <c r="E1402">
        <v>100</v>
      </c>
      <c r="F1402">
        <v>164</v>
      </c>
      <c r="G1402">
        <v>3.9</v>
      </c>
    </row>
    <row r="1403" spans="1:7" x14ac:dyDescent="0.3">
      <c r="A1403">
        <v>2024</v>
      </c>
      <c r="B1403" t="s">
        <v>23</v>
      </c>
      <c r="C1403" t="s">
        <v>17</v>
      </c>
      <c r="D1403" t="s">
        <v>10</v>
      </c>
      <c r="E1403">
        <v>45.86</v>
      </c>
      <c r="F1403">
        <v>166</v>
      </c>
      <c r="G1403">
        <v>3.98</v>
      </c>
    </row>
    <row r="1404" spans="1:7" x14ac:dyDescent="0.3">
      <c r="A1404">
        <v>2024</v>
      </c>
      <c r="B1404" t="s">
        <v>23</v>
      </c>
      <c r="C1404" t="s">
        <v>17</v>
      </c>
      <c r="D1404" t="s">
        <v>11</v>
      </c>
      <c r="E1404">
        <v>2.38</v>
      </c>
      <c r="F1404">
        <v>168</v>
      </c>
      <c r="G1404">
        <v>4.0599999999999996</v>
      </c>
    </row>
    <row r="1405" spans="1:7" x14ac:dyDescent="0.3">
      <c r="A1405">
        <v>2024</v>
      </c>
      <c r="B1405" t="s">
        <v>23</v>
      </c>
      <c r="C1405" t="s">
        <v>17</v>
      </c>
      <c r="D1405" t="s">
        <v>12</v>
      </c>
      <c r="E1405">
        <v>6.53</v>
      </c>
      <c r="F1405">
        <v>170</v>
      </c>
      <c r="G1405">
        <v>4.1399999999999997</v>
      </c>
    </row>
    <row r="1406" spans="1:7" x14ac:dyDescent="0.3">
      <c r="A1406">
        <v>2024</v>
      </c>
      <c r="B1406" t="s">
        <v>23</v>
      </c>
      <c r="C1406" t="s">
        <v>17</v>
      </c>
      <c r="D1406" t="s">
        <v>13</v>
      </c>
      <c r="E1406">
        <v>10.07</v>
      </c>
      <c r="F1406">
        <v>172</v>
      </c>
      <c r="G1406">
        <v>4.22</v>
      </c>
    </row>
    <row r="1407" spans="1:7" x14ac:dyDescent="0.3">
      <c r="A1407">
        <v>2024</v>
      </c>
      <c r="B1407" t="s">
        <v>23</v>
      </c>
      <c r="C1407" t="s">
        <v>17</v>
      </c>
      <c r="D1407" t="s">
        <v>14</v>
      </c>
      <c r="E1407">
        <v>6.84</v>
      </c>
      <c r="F1407">
        <v>174</v>
      </c>
      <c r="G1407">
        <v>4.3</v>
      </c>
    </row>
    <row r="1408" spans="1:7" x14ac:dyDescent="0.3">
      <c r="A1408">
        <v>2024</v>
      </c>
      <c r="B1408" t="s">
        <v>23</v>
      </c>
      <c r="C1408" t="s">
        <v>17</v>
      </c>
      <c r="D1408" t="s">
        <v>15</v>
      </c>
      <c r="E1408">
        <v>28.32</v>
      </c>
      <c r="F1408">
        <v>176</v>
      </c>
      <c r="G1408">
        <v>4.38</v>
      </c>
    </row>
    <row r="1409" spans="1:7" x14ac:dyDescent="0.3">
      <c r="A1409">
        <v>2024</v>
      </c>
      <c r="B1409" t="s">
        <v>24</v>
      </c>
      <c r="C1409" t="s">
        <v>8</v>
      </c>
      <c r="D1409" t="s">
        <v>9</v>
      </c>
      <c r="E1409">
        <v>100</v>
      </c>
      <c r="F1409">
        <v>163.19999999999999</v>
      </c>
      <c r="G1409">
        <v>4.05</v>
      </c>
    </row>
    <row r="1410" spans="1:7" x14ac:dyDescent="0.3">
      <c r="A1410">
        <v>2024</v>
      </c>
      <c r="B1410" t="s">
        <v>24</v>
      </c>
      <c r="C1410" t="s">
        <v>8</v>
      </c>
      <c r="D1410" t="s">
        <v>10</v>
      </c>
      <c r="E1410">
        <v>45.86</v>
      </c>
      <c r="F1410">
        <v>165.2</v>
      </c>
      <c r="G1410">
        <v>4.13</v>
      </c>
    </row>
    <row r="1411" spans="1:7" x14ac:dyDescent="0.3">
      <c r="A1411">
        <v>2024</v>
      </c>
      <c r="B1411" t="s">
        <v>24</v>
      </c>
      <c r="C1411" t="s">
        <v>8</v>
      </c>
      <c r="D1411" t="s">
        <v>11</v>
      </c>
      <c r="E1411">
        <v>2.38</v>
      </c>
      <c r="F1411">
        <v>167.2</v>
      </c>
      <c r="G1411">
        <v>4.21</v>
      </c>
    </row>
    <row r="1412" spans="1:7" x14ac:dyDescent="0.3">
      <c r="A1412">
        <v>2024</v>
      </c>
      <c r="B1412" t="s">
        <v>24</v>
      </c>
      <c r="C1412" t="s">
        <v>8</v>
      </c>
      <c r="D1412" t="s">
        <v>12</v>
      </c>
      <c r="E1412">
        <v>6.53</v>
      </c>
      <c r="F1412">
        <v>169.2</v>
      </c>
      <c r="G1412">
        <v>4.29</v>
      </c>
    </row>
    <row r="1413" spans="1:7" x14ac:dyDescent="0.3">
      <c r="A1413">
        <v>2024</v>
      </c>
      <c r="B1413" t="s">
        <v>24</v>
      </c>
      <c r="C1413" t="s">
        <v>8</v>
      </c>
      <c r="D1413" t="s">
        <v>13</v>
      </c>
      <c r="E1413">
        <v>10.07</v>
      </c>
      <c r="F1413">
        <v>171.2</v>
      </c>
      <c r="G1413">
        <v>4.37</v>
      </c>
    </row>
    <row r="1414" spans="1:7" x14ac:dyDescent="0.3">
      <c r="A1414">
        <v>2024</v>
      </c>
      <c r="B1414" t="s">
        <v>24</v>
      </c>
      <c r="C1414" t="s">
        <v>8</v>
      </c>
      <c r="D1414" t="s">
        <v>14</v>
      </c>
      <c r="E1414">
        <v>6.84</v>
      </c>
      <c r="F1414">
        <v>173.2</v>
      </c>
      <c r="G1414">
        <v>4.45</v>
      </c>
    </row>
    <row r="1415" spans="1:7" x14ac:dyDescent="0.3">
      <c r="A1415">
        <v>2024</v>
      </c>
      <c r="B1415" t="s">
        <v>24</v>
      </c>
      <c r="C1415" t="s">
        <v>8</v>
      </c>
      <c r="D1415" t="s">
        <v>15</v>
      </c>
      <c r="E1415">
        <v>28.32</v>
      </c>
      <c r="F1415">
        <v>175.2</v>
      </c>
      <c r="G1415">
        <v>4.53</v>
      </c>
    </row>
    <row r="1416" spans="1:7" x14ac:dyDescent="0.3">
      <c r="A1416">
        <v>2024</v>
      </c>
      <c r="B1416" t="s">
        <v>24</v>
      </c>
      <c r="C1416" t="s">
        <v>16</v>
      </c>
      <c r="D1416" t="s">
        <v>9</v>
      </c>
      <c r="E1416">
        <v>100</v>
      </c>
      <c r="F1416">
        <v>163.80000000000001</v>
      </c>
      <c r="G1416">
        <v>4.05</v>
      </c>
    </row>
    <row r="1417" spans="1:7" x14ac:dyDescent="0.3">
      <c r="A1417">
        <v>2024</v>
      </c>
      <c r="B1417" t="s">
        <v>24</v>
      </c>
      <c r="C1417" t="s">
        <v>16</v>
      </c>
      <c r="D1417" t="s">
        <v>10</v>
      </c>
      <c r="E1417">
        <v>45.86</v>
      </c>
      <c r="F1417">
        <v>165.8</v>
      </c>
      <c r="G1417">
        <v>4.13</v>
      </c>
    </row>
    <row r="1418" spans="1:7" x14ac:dyDescent="0.3">
      <c r="A1418">
        <v>2024</v>
      </c>
      <c r="B1418" t="s">
        <v>24</v>
      </c>
      <c r="C1418" t="s">
        <v>16</v>
      </c>
      <c r="D1418" t="s">
        <v>11</v>
      </c>
      <c r="E1418">
        <v>2.38</v>
      </c>
      <c r="F1418">
        <v>167.8</v>
      </c>
      <c r="G1418">
        <v>4.21</v>
      </c>
    </row>
    <row r="1419" spans="1:7" x14ac:dyDescent="0.3">
      <c r="A1419">
        <v>2024</v>
      </c>
      <c r="B1419" t="s">
        <v>24</v>
      </c>
      <c r="C1419" t="s">
        <v>16</v>
      </c>
      <c r="D1419" t="s">
        <v>12</v>
      </c>
      <c r="E1419">
        <v>6.53</v>
      </c>
      <c r="F1419">
        <v>169.8</v>
      </c>
      <c r="G1419">
        <v>4.29</v>
      </c>
    </row>
    <row r="1420" spans="1:7" x14ac:dyDescent="0.3">
      <c r="A1420">
        <v>2024</v>
      </c>
      <c r="B1420" t="s">
        <v>24</v>
      </c>
      <c r="C1420" t="s">
        <v>16</v>
      </c>
      <c r="D1420" t="s">
        <v>13</v>
      </c>
      <c r="E1420">
        <v>10.07</v>
      </c>
      <c r="F1420">
        <v>171.8</v>
      </c>
      <c r="G1420">
        <v>4.37</v>
      </c>
    </row>
    <row r="1421" spans="1:7" x14ac:dyDescent="0.3">
      <c r="A1421">
        <v>2024</v>
      </c>
      <c r="B1421" t="s">
        <v>24</v>
      </c>
      <c r="C1421" t="s">
        <v>16</v>
      </c>
      <c r="D1421" t="s">
        <v>14</v>
      </c>
      <c r="E1421">
        <v>6.84</v>
      </c>
      <c r="F1421">
        <v>173.8</v>
      </c>
      <c r="G1421">
        <v>4.45</v>
      </c>
    </row>
    <row r="1422" spans="1:7" x14ac:dyDescent="0.3">
      <c r="A1422">
        <v>2024</v>
      </c>
      <c r="B1422" t="s">
        <v>24</v>
      </c>
      <c r="C1422" t="s">
        <v>16</v>
      </c>
      <c r="D1422" t="s">
        <v>15</v>
      </c>
      <c r="E1422">
        <v>28.32</v>
      </c>
      <c r="F1422">
        <v>175.8</v>
      </c>
      <c r="G1422">
        <v>4.53</v>
      </c>
    </row>
    <row r="1423" spans="1:7" x14ac:dyDescent="0.3">
      <c r="A1423">
        <v>2024</v>
      </c>
      <c r="B1423" t="s">
        <v>24</v>
      </c>
      <c r="C1423" t="s">
        <v>17</v>
      </c>
      <c r="D1423" t="s">
        <v>9</v>
      </c>
      <c r="E1423">
        <v>100</v>
      </c>
      <c r="F1423">
        <v>164.4</v>
      </c>
      <c r="G1423">
        <v>4.05</v>
      </c>
    </row>
    <row r="1424" spans="1:7" x14ac:dyDescent="0.3">
      <c r="A1424">
        <v>2024</v>
      </c>
      <c r="B1424" t="s">
        <v>24</v>
      </c>
      <c r="C1424" t="s">
        <v>17</v>
      </c>
      <c r="D1424" t="s">
        <v>10</v>
      </c>
      <c r="E1424">
        <v>45.86</v>
      </c>
      <c r="F1424">
        <v>166.4</v>
      </c>
      <c r="G1424">
        <v>4.13</v>
      </c>
    </row>
    <row r="1425" spans="1:7" x14ac:dyDescent="0.3">
      <c r="A1425">
        <v>2024</v>
      </c>
      <c r="B1425" t="s">
        <v>24</v>
      </c>
      <c r="C1425" t="s">
        <v>17</v>
      </c>
      <c r="D1425" t="s">
        <v>11</v>
      </c>
      <c r="E1425">
        <v>2.38</v>
      </c>
      <c r="F1425">
        <v>168.4</v>
      </c>
      <c r="G1425">
        <v>4.21</v>
      </c>
    </row>
    <row r="1426" spans="1:7" x14ac:dyDescent="0.3">
      <c r="A1426">
        <v>2024</v>
      </c>
      <c r="B1426" t="s">
        <v>24</v>
      </c>
      <c r="C1426" t="s">
        <v>17</v>
      </c>
      <c r="D1426" t="s">
        <v>12</v>
      </c>
      <c r="E1426">
        <v>6.53</v>
      </c>
      <c r="F1426">
        <v>170.4</v>
      </c>
      <c r="G1426">
        <v>4.29</v>
      </c>
    </row>
    <row r="1427" spans="1:7" x14ac:dyDescent="0.3">
      <c r="A1427">
        <v>2024</v>
      </c>
      <c r="B1427" t="s">
        <v>24</v>
      </c>
      <c r="C1427" t="s">
        <v>17</v>
      </c>
      <c r="D1427" t="s">
        <v>13</v>
      </c>
      <c r="E1427">
        <v>10.07</v>
      </c>
      <c r="F1427">
        <v>172.4</v>
      </c>
      <c r="G1427">
        <v>4.37</v>
      </c>
    </row>
    <row r="1428" spans="1:7" x14ac:dyDescent="0.3">
      <c r="A1428">
        <v>2024</v>
      </c>
      <c r="B1428" t="s">
        <v>24</v>
      </c>
      <c r="C1428" t="s">
        <v>17</v>
      </c>
      <c r="D1428" t="s">
        <v>14</v>
      </c>
      <c r="E1428">
        <v>6.84</v>
      </c>
      <c r="F1428">
        <v>174.4</v>
      </c>
      <c r="G1428">
        <v>4.45</v>
      </c>
    </row>
    <row r="1429" spans="1:7" x14ac:dyDescent="0.3">
      <c r="A1429">
        <v>2024</v>
      </c>
      <c r="B1429" t="s">
        <v>24</v>
      </c>
      <c r="C1429" t="s">
        <v>17</v>
      </c>
      <c r="D1429" t="s">
        <v>15</v>
      </c>
      <c r="E1429">
        <v>28.32</v>
      </c>
      <c r="F1429">
        <v>176.4</v>
      </c>
      <c r="G1429">
        <v>4.53</v>
      </c>
    </row>
    <row r="1430" spans="1:7" x14ac:dyDescent="0.3">
      <c r="A1430">
        <v>2024</v>
      </c>
      <c r="B1430" t="s">
        <v>25</v>
      </c>
      <c r="C1430" t="s">
        <v>8</v>
      </c>
      <c r="D1430" t="s">
        <v>9</v>
      </c>
      <c r="E1430">
        <v>100</v>
      </c>
      <c r="F1430">
        <v>163.6</v>
      </c>
      <c r="G1430">
        <v>4.2</v>
      </c>
    </row>
    <row r="1431" spans="1:7" x14ac:dyDescent="0.3">
      <c r="A1431">
        <v>2024</v>
      </c>
      <c r="B1431" t="s">
        <v>25</v>
      </c>
      <c r="C1431" t="s">
        <v>8</v>
      </c>
      <c r="D1431" t="s">
        <v>10</v>
      </c>
      <c r="E1431">
        <v>45.86</v>
      </c>
      <c r="F1431">
        <v>165.6</v>
      </c>
      <c r="G1431">
        <v>4.28</v>
      </c>
    </row>
    <row r="1432" spans="1:7" x14ac:dyDescent="0.3">
      <c r="A1432">
        <v>2024</v>
      </c>
      <c r="B1432" t="s">
        <v>25</v>
      </c>
      <c r="C1432" t="s">
        <v>8</v>
      </c>
      <c r="D1432" t="s">
        <v>11</v>
      </c>
      <c r="E1432">
        <v>2.38</v>
      </c>
      <c r="F1432">
        <v>167.6</v>
      </c>
      <c r="G1432">
        <v>4.3600000000000003</v>
      </c>
    </row>
    <row r="1433" spans="1:7" x14ac:dyDescent="0.3">
      <c r="A1433">
        <v>2024</v>
      </c>
      <c r="B1433" t="s">
        <v>25</v>
      </c>
      <c r="C1433" t="s">
        <v>8</v>
      </c>
      <c r="D1433" t="s">
        <v>12</v>
      </c>
      <c r="E1433">
        <v>6.53</v>
      </c>
      <c r="F1433">
        <v>169.6</v>
      </c>
      <c r="G1433">
        <v>4.4400000000000004</v>
      </c>
    </row>
    <row r="1434" spans="1:7" x14ac:dyDescent="0.3">
      <c r="A1434">
        <v>2024</v>
      </c>
      <c r="B1434" t="s">
        <v>25</v>
      </c>
      <c r="C1434" t="s">
        <v>8</v>
      </c>
      <c r="D1434" t="s">
        <v>13</v>
      </c>
      <c r="E1434">
        <v>10.07</v>
      </c>
      <c r="F1434">
        <v>171.6</v>
      </c>
      <c r="G1434">
        <v>4.5199999999999996</v>
      </c>
    </row>
    <row r="1435" spans="1:7" x14ac:dyDescent="0.3">
      <c r="A1435">
        <v>2024</v>
      </c>
      <c r="B1435" t="s">
        <v>25</v>
      </c>
      <c r="C1435" t="s">
        <v>8</v>
      </c>
      <c r="D1435" t="s">
        <v>14</v>
      </c>
      <c r="E1435">
        <v>6.84</v>
      </c>
      <c r="F1435">
        <v>173.6</v>
      </c>
      <c r="G1435">
        <v>4.5999999999999996</v>
      </c>
    </row>
    <row r="1436" spans="1:7" x14ac:dyDescent="0.3">
      <c r="A1436">
        <v>2024</v>
      </c>
      <c r="B1436" t="s">
        <v>25</v>
      </c>
      <c r="C1436" t="s">
        <v>8</v>
      </c>
      <c r="D1436" t="s">
        <v>15</v>
      </c>
      <c r="E1436">
        <v>28.32</v>
      </c>
      <c r="F1436">
        <v>175.6</v>
      </c>
      <c r="G1436">
        <v>4.68</v>
      </c>
    </row>
    <row r="1437" spans="1:7" x14ac:dyDescent="0.3">
      <c r="A1437">
        <v>2024</v>
      </c>
      <c r="B1437" t="s">
        <v>25</v>
      </c>
      <c r="C1437" t="s">
        <v>16</v>
      </c>
      <c r="D1437" t="s">
        <v>9</v>
      </c>
      <c r="E1437">
        <v>100</v>
      </c>
      <c r="F1437">
        <v>164.2</v>
      </c>
      <c r="G1437">
        <v>4.2</v>
      </c>
    </row>
    <row r="1438" spans="1:7" x14ac:dyDescent="0.3">
      <c r="A1438">
        <v>2024</v>
      </c>
      <c r="B1438" t="s">
        <v>25</v>
      </c>
      <c r="C1438" t="s">
        <v>16</v>
      </c>
      <c r="D1438" t="s">
        <v>10</v>
      </c>
      <c r="E1438">
        <v>45.86</v>
      </c>
      <c r="F1438">
        <v>166.2</v>
      </c>
      <c r="G1438">
        <v>4.28</v>
      </c>
    </row>
    <row r="1439" spans="1:7" x14ac:dyDescent="0.3">
      <c r="A1439">
        <v>2024</v>
      </c>
      <c r="B1439" t="s">
        <v>25</v>
      </c>
      <c r="C1439" t="s">
        <v>16</v>
      </c>
      <c r="D1439" t="s">
        <v>11</v>
      </c>
      <c r="E1439">
        <v>2.38</v>
      </c>
      <c r="F1439">
        <v>168.2</v>
      </c>
      <c r="G1439">
        <v>4.3600000000000003</v>
      </c>
    </row>
    <row r="1440" spans="1:7" x14ac:dyDescent="0.3">
      <c r="A1440">
        <v>2024</v>
      </c>
      <c r="B1440" t="s">
        <v>25</v>
      </c>
      <c r="C1440" t="s">
        <v>16</v>
      </c>
      <c r="D1440" t="s">
        <v>12</v>
      </c>
      <c r="E1440">
        <v>6.53</v>
      </c>
      <c r="F1440">
        <v>170.2</v>
      </c>
      <c r="G1440">
        <v>4.4400000000000004</v>
      </c>
    </row>
    <row r="1441" spans="1:7" x14ac:dyDescent="0.3">
      <c r="A1441">
        <v>2024</v>
      </c>
      <c r="B1441" t="s">
        <v>25</v>
      </c>
      <c r="C1441" t="s">
        <v>16</v>
      </c>
      <c r="D1441" t="s">
        <v>13</v>
      </c>
      <c r="E1441">
        <v>10.07</v>
      </c>
      <c r="F1441">
        <v>172.2</v>
      </c>
      <c r="G1441">
        <v>4.5199999999999996</v>
      </c>
    </row>
    <row r="1442" spans="1:7" x14ac:dyDescent="0.3">
      <c r="A1442">
        <v>2024</v>
      </c>
      <c r="B1442" t="s">
        <v>25</v>
      </c>
      <c r="C1442" t="s">
        <v>16</v>
      </c>
      <c r="D1442" t="s">
        <v>14</v>
      </c>
      <c r="E1442">
        <v>6.84</v>
      </c>
      <c r="F1442">
        <v>174.2</v>
      </c>
      <c r="G1442">
        <v>4.5999999999999996</v>
      </c>
    </row>
    <row r="1443" spans="1:7" x14ac:dyDescent="0.3">
      <c r="A1443">
        <v>2024</v>
      </c>
      <c r="B1443" t="s">
        <v>25</v>
      </c>
      <c r="C1443" t="s">
        <v>16</v>
      </c>
      <c r="D1443" t="s">
        <v>15</v>
      </c>
      <c r="E1443">
        <v>28.32</v>
      </c>
      <c r="F1443">
        <v>176.2</v>
      </c>
      <c r="G1443">
        <v>4.68</v>
      </c>
    </row>
    <row r="1444" spans="1:7" x14ac:dyDescent="0.3">
      <c r="A1444">
        <v>2024</v>
      </c>
      <c r="B1444" t="s">
        <v>25</v>
      </c>
      <c r="C1444" t="s">
        <v>17</v>
      </c>
      <c r="D1444" t="s">
        <v>9</v>
      </c>
      <c r="E1444">
        <v>100</v>
      </c>
      <c r="F1444">
        <v>164.8</v>
      </c>
      <c r="G1444">
        <v>4.2</v>
      </c>
    </row>
    <row r="1445" spans="1:7" x14ac:dyDescent="0.3">
      <c r="A1445">
        <v>2024</v>
      </c>
      <c r="B1445" t="s">
        <v>25</v>
      </c>
      <c r="C1445" t="s">
        <v>17</v>
      </c>
      <c r="D1445" t="s">
        <v>10</v>
      </c>
      <c r="E1445">
        <v>45.86</v>
      </c>
      <c r="F1445">
        <v>166.8</v>
      </c>
      <c r="G1445">
        <v>4.28</v>
      </c>
    </row>
    <row r="1446" spans="1:7" x14ac:dyDescent="0.3">
      <c r="A1446">
        <v>2024</v>
      </c>
      <c r="B1446" t="s">
        <v>25</v>
      </c>
      <c r="C1446" t="s">
        <v>17</v>
      </c>
      <c r="D1446" t="s">
        <v>11</v>
      </c>
      <c r="E1446">
        <v>2.38</v>
      </c>
      <c r="F1446">
        <v>168.8</v>
      </c>
      <c r="G1446">
        <v>4.3600000000000003</v>
      </c>
    </row>
    <row r="1447" spans="1:7" x14ac:dyDescent="0.3">
      <c r="A1447">
        <v>2024</v>
      </c>
      <c r="B1447" t="s">
        <v>25</v>
      </c>
      <c r="C1447" t="s">
        <v>17</v>
      </c>
      <c r="D1447" t="s">
        <v>12</v>
      </c>
      <c r="E1447">
        <v>6.53</v>
      </c>
      <c r="F1447">
        <v>170.8</v>
      </c>
      <c r="G1447">
        <v>4.4400000000000004</v>
      </c>
    </row>
    <row r="1448" spans="1:7" x14ac:dyDescent="0.3">
      <c r="A1448">
        <v>2024</v>
      </c>
      <c r="B1448" t="s">
        <v>25</v>
      </c>
      <c r="C1448" t="s">
        <v>17</v>
      </c>
      <c r="D1448" t="s">
        <v>13</v>
      </c>
      <c r="E1448">
        <v>10.07</v>
      </c>
      <c r="F1448">
        <v>172.8</v>
      </c>
      <c r="G1448">
        <v>4.5199999999999996</v>
      </c>
    </row>
    <row r="1449" spans="1:7" x14ac:dyDescent="0.3">
      <c r="A1449">
        <v>2024</v>
      </c>
      <c r="B1449" t="s">
        <v>25</v>
      </c>
      <c r="C1449" t="s">
        <v>17</v>
      </c>
      <c r="D1449" t="s">
        <v>14</v>
      </c>
      <c r="E1449">
        <v>6.84</v>
      </c>
      <c r="F1449">
        <v>174.8</v>
      </c>
      <c r="G1449">
        <v>4.5999999999999996</v>
      </c>
    </row>
    <row r="1450" spans="1:7" x14ac:dyDescent="0.3">
      <c r="A1450">
        <v>2024</v>
      </c>
      <c r="B1450" t="s">
        <v>25</v>
      </c>
      <c r="C1450" t="s">
        <v>17</v>
      </c>
      <c r="D1450" t="s">
        <v>15</v>
      </c>
      <c r="E1450">
        <v>28.32</v>
      </c>
      <c r="F1450">
        <v>176.8</v>
      </c>
      <c r="G1450">
        <v>4.68</v>
      </c>
    </row>
    <row r="1451" spans="1:7" x14ac:dyDescent="0.3">
      <c r="A1451">
        <v>2024</v>
      </c>
      <c r="B1451" t="s">
        <v>26</v>
      </c>
      <c r="C1451" t="s">
        <v>8</v>
      </c>
      <c r="D1451" t="s">
        <v>9</v>
      </c>
      <c r="E1451">
        <v>100</v>
      </c>
      <c r="F1451">
        <v>164</v>
      </c>
      <c r="G1451">
        <v>4.3499999999999996</v>
      </c>
    </row>
    <row r="1452" spans="1:7" x14ac:dyDescent="0.3">
      <c r="A1452">
        <v>2024</v>
      </c>
      <c r="B1452" t="s">
        <v>26</v>
      </c>
      <c r="C1452" t="s">
        <v>8</v>
      </c>
      <c r="D1452" t="s">
        <v>10</v>
      </c>
      <c r="E1452">
        <v>45.86</v>
      </c>
      <c r="F1452">
        <v>166</v>
      </c>
      <c r="G1452">
        <v>4.43</v>
      </c>
    </row>
    <row r="1453" spans="1:7" x14ac:dyDescent="0.3">
      <c r="A1453">
        <v>2024</v>
      </c>
      <c r="B1453" t="s">
        <v>26</v>
      </c>
      <c r="C1453" t="s">
        <v>8</v>
      </c>
      <c r="D1453" t="s">
        <v>11</v>
      </c>
      <c r="E1453">
        <v>2.38</v>
      </c>
      <c r="F1453">
        <v>168</v>
      </c>
      <c r="G1453">
        <v>4.51</v>
      </c>
    </row>
    <row r="1454" spans="1:7" x14ac:dyDescent="0.3">
      <c r="A1454">
        <v>2024</v>
      </c>
      <c r="B1454" t="s">
        <v>26</v>
      </c>
      <c r="C1454" t="s">
        <v>8</v>
      </c>
      <c r="D1454" t="s">
        <v>12</v>
      </c>
      <c r="E1454">
        <v>6.53</v>
      </c>
      <c r="F1454">
        <v>170</v>
      </c>
      <c r="G1454">
        <v>4.59</v>
      </c>
    </row>
    <row r="1455" spans="1:7" x14ac:dyDescent="0.3">
      <c r="A1455">
        <v>2024</v>
      </c>
      <c r="B1455" t="s">
        <v>26</v>
      </c>
      <c r="C1455" t="s">
        <v>8</v>
      </c>
      <c r="D1455" t="s">
        <v>13</v>
      </c>
      <c r="E1455">
        <v>10.07</v>
      </c>
      <c r="F1455">
        <v>172</v>
      </c>
      <c r="G1455">
        <v>4.67</v>
      </c>
    </row>
    <row r="1456" spans="1:7" x14ac:dyDescent="0.3">
      <c r="A1456">
        <v>2024</v>
      </c>
      <c r="B1456" t="s">
        <v>26</v>
      </c>
      <c r="C1456" t="s">
        <v>8</v>
      </c>
      <c r="D1456" t="s">
        <v>14</v>
      </c>
      <c r="E1456">
        <v>6.84</v>
      </c>
      <c r="F1456">
        <v>174</v>
      </c>
      <c r="G1456">
        <v>4.75</v>
      </c>
    </row>
    <row r="1457" spans="1:7" x14ac:dyDescent="0.3">
      <c r="A1457">
        <v>2024</v>
      </c>
      <c r="B1457" t="s">
        <v>26</v>
      </c>
      <c r="C1457" t="s">
        <v>8</v>
      </c>
      <c r="D1457" t="s">
        <v>15</v>
      </c>
      <c r="E1457">
        <v>28.32</v>
      </c>
      <c r="F1457">
        <v>176</v>
      </c>
      <c r="G1457">
        <v>4.83</v>
      </c>
    </row>
    <row r="1458" spans="1:7" x14ac:dyDescent="0.3">
      <c r="A1458">
        <v>2024</v>
      </c>
      <c r="B1458" t="s">
        <v>26</v>
      </c>
      <c r="C1458" t="s">
        <v>16</v>
      </c>
      <c r="D1458" t="s">
        <v>9</v>
      </c>
      <c r="E1458">
        <v>100</v>
      </c>
      <c r="F1458">
        <v>164.6</v>
      </c>
      <c r="G1458">
        <v>4.3499999999999996</v>
      </c>
    </row>
    <row r="1459" spans="1:7" x14ac:dyDescent="0.3">
      <c r="A1459">
        <v>2024</v>
      </c>
      <c r="B1459" t="s">
        <v>26</v>
      </c>
      <c r="C1459" t="s">
        <v>16</v>
      </c>
      <c r="D1459" t="s">
        <v>10</v>
      </c>
      <c r="E1459">
        <v>45.86</v>
      </c>
      <c r="F1459">
        <v>166.6</v>
      </c>
      <c r="G1459">
        <v>4.43</v>
      </c>
    </row>
    <row r="1460" spans="1:7" x14ac:dyDescent="0.3">
      <c r="A1460">
        <v>2024</v>
      </c>
      <c r="B1460" t="s">
        <v>26</v>
      </c>
      <c r="C1460" t="s">
        <v>16</v>
      </c>
      <c r="D1460" t="s">
        <v>11</v>
      </c>
      <c r="E1460">
        <v>2.38</v>
      </c>
      <c r="F1460">
        <v>168.6</v>
      </c>
      <c r="G1460">
        <v>4.51</v>
      </c>
    </row>
    <row r="1461" spans="1:7" x14ac:dyDescent="0.3">
      <c r="A1461">
        <v>2024</v>
      </c>
      <c r="B1461" t="s">
        <v>26</v>
      </c>
      <c r="C1461" t="s">
        <v>16</v>
      </c>
      <c r="D1461" t="s">
        <v>12</v>
      </c>
      <c r="E1461">
        <v>6.53</v>
      </c>
      <c r="F1461">
        <v>170.6</v>
      </c>
      <c r="G1461">
        <v>4.59</v>
      </c>
    </row>
    <row r="1462" spans="1:7" x14ac:dyDescent="0.3">
      <c r="A1462">
        <v>2024</v>
      </c>
      <c r="B1462" t="s">
        <v>26</v>
      </c>
      <c r="C1462" t="s">
        <v>16</v>
      </c>
      <c r="D1462" t="s">
        <v>13</v>
      </c>
      <c r="E1462">
        <v>10.07</v>
      </c>
      <c r="F1462">
        <v>172.6</v>
      </c>
      <c r="G1462">
        <v>4.67</v>
      </c>
    </row>
    <row r="1463" spans="1:7" x14ac:dyDescent="0.3">
      <c r="A1463">
        <v>2024</v>
      </c>
      <c r="B1463" t="s">
        <v>26</v>
      </c>
      <c r="C1463" t="s">
        <v>16</v>
      </c>
      <c r="D1463" t="s">
        <v>14</v>
      </c>
      <c r="E1463">
        <v>6.84</v>
      </c>
      <c r="F1463">
        <v>174.6</v>
      </c>
      <c r="G1463">
        <v>4.75</v>
      </c>
    </row>
    <row r="1464" spans="1:7" x14ac:dyDescent="0.3">
      <c r="A1464">
        <v>2024</v>
      </c>
      <c r="B1464" t="s">
        <v>26</v>
      </c>
      <c r="C1464" t="s">
        <v>16</v>
      </c>
      <c r="D1464" t="s">
        <v>15</v>
      </c>
      <c r="E1464">
        <v>28.32</v>
      </c>
      <c r="F1464">
        <v>176.6</v>
      </c>
      <c r="G1464">
        <v>4.83</v>
      </c>
    </row>
    <row r="1465" spans="1:7" x14ac:dyDescent="0.3">
      <c r="A1465">
        <v>2024</v>
      </c>
      <c r="B1465" t="s">
        <v>26</v>
      </c>
      <c r="C1465" t="s">
        <v>17</v>
      </c>
      <c r="D1465" t="s">
        <v>9</v>
      </c>
      <c r="E1465">
        <v>100</v>
      </c>
      <c r="F1465">
        <v>165.2</v>
      </c>
      <c r="G1465">
        <v>4.3499999999999996</v>
      </c>
    </row>
    <row r="1466" spans="1:7" x14ac:dyDescent="0.3">
      <c r="A1466">
        <v>2024</v>
      </c>
      <c r="B1466" t="s">
        <v>26</v>
      </c>
      <c r="C1466" t="s">
        <v>17</v>
      </c>
      <c r="D1466" t="s">
        <v>10</v>
      </c>
      <c r="E1466">
        <v>45.86</v>
      </c>
      <c r="F1466">
        <v>167.2</v>
      </c>
      <c r="G1466">
        <v>4.43</v>
      </c>
    </row>
    <row r="1467" spans="1:7" x14ac:dyDescent="0.3">
      <c r="A1467">
        <v>2024</v>
      </c>
      <c r="B1467" t="s">
        <v>26</v>
      </c>
      <c r="C1467" t="s">
        <v>17</v>
      </c>
      <c r="D1467" t="s">
        <v>11</v>
      </c>
      <c r="E1467">
        <v>2.38</v>
      </c>
      <c r="F1467">
        <v>169.2</v>
      </c>
      <c r="G1467">
        <v>4.51</v>
      </c>
    </row>
    <row r="1468" spans="1:7" x14ac:dyDescent="0.3">
      <c r="A1468">
        <v>2024</v>
      </c>
      <c r="B1468" t="s">
        <v>26</v>
      </c>
      <c r="C1468" t="s">
        <v>17</v>
      </c>
      <c r="D1468" t="s">
        <v>12</v>
      </c>
      <c r="E1468">
        <v>6.53</v>
      </c>
      <c r="F1468">
        <v>171.2</v>
      </c>
      <c r="G1468">
        <v>4.59</v>
      </c>
    </row>
    <row r="1469" spans="1:7" x14ac:dyDescent="0.3">
      <c r="A1469">
        <v>2024</v>
      </c>
      <c r="B1469" t="s">
        <v>26</v>
      </c>
      <c r="C1469" t="s">
        <v>17</v>
      </c>
      <c r="D1469" t="s">
        <v>13</v>
      </c>
      <c r="E1469">
        <v>10.07</v>
      </c>
      <c r="F1469">
        <v>173.2</v>
      </c>
      <c r="G1469">
        <v>4.67</v>
      </c>
    </row>
    <row r="1470" spans="1:7" x14ac:dyDescent="0.3">
      <c r="A1470">
        <v>2024</v>
      </c>
      <c r="B1470" t="s">
        <v>26</v>
      </c>
      <c r="C1470" t="s">
        <v>17</v>
      </c>
      <c r="D1470" t="s">
        <v>14</v>
      </c>
      <c r="E1470">
        <v>6.84</v>
      </c>
      <c r="F1470">
        <v>175.2</v>
      </c>
      <c r="G1470">
        <v>4.75</v>
      </c>
    </row>
    <row r="1471" spans="1:7" x14ac:dyDescent="0.3">
      <c r="A1471">
        <v>2024</v>
      </c>
      <c r="B1471" t="s">
        <v>26</v>
      </c>
      <c r="C1471" t="s">
        <v>17</v>
      </c>
      <c r="D1471" t="s">
        <v>15</v>
      </c>
      <c r="E1471">
        <v>28.32</v>
      </c>
      <c r="F1471">
        <v>177.2</v>
      </c>
      <c r="G1471">
        <v>4.83</v>
      </c>
    </row>
    <row r="1472" spans="1:7" x14ac:dyDescent="0.3">
      <c r="A1472">
        <v>2024</v>
      </c>
      <c r="B1472" t="s">
        <v>27</v>
      </c>
      <c r="C1472" t="s">
        <v>8</v>
      </c>
      <c r="D1472" t="s">
        <v>9</v>
      </c>
      <c r="E1472">
        <v>100</v>
      </c>
      <c r="F1472">
        <v>164.4</v>
      </c>
      <c r="G1472">
        <v>4.5</v>
      </c>
    </row>
    <row r="1473" spans="1:7" x14ac:dyDescent="0.3">
      <c r="A1473">
        <v>2024</v>
      </c>
      <c r="B1473" t="s">
        <v>27</v>
      </c>
      <c r="C1473" t="s">
        <v>8</v>
      </c>
      <c r="D1473" t="s">
        <v>10</v>
      </c>
      <c r="E1473">
        <v>45.86</v>
      </c>
      <c r="F1473">
        <v>166.4</v>
      </c>
      <c r="G1473">
        <v>4.58</v>
      </c>
    </row>
    <row r="1474" spans="1:7" x14ac:dyDescent="0.3">
      <c r="A1474">
        <v>2024</v>
      </c>
      <c r="B1474" t="s">
        <v>27</v>
      </c>
      <c r="C1474" t="s">
        <v>8</v>
      </c>
      <c r="D1474" t="s">
        <v>11</v>
      </c>
      <c r="E1474">
        <v>2.38</v>
      </c>
      <c r="F1474">
        <v>168.4</v>
      </c>
      <c r="G1474">
        <v>4.66</v>
      </c>
    </row>
    <row r="1475" spans="1:7" x14ac:dyDescent="0.3">
      <c r="A1475">
        <v>2024</v>
      </c>
      <c r="B1475" t="s">
        <v>27</v>
      </c>
      <c r="C1475" t="s">
        <v>8</v>
      </c>
      <c r="D1475" t="s">
        <v>12</v>
      </c>
      <c r="E1475">
        <v>6.53</v>
      </c>
      <c r="F1475">
        <v>170.4</v>
      </c>
      <c r="G1475">
        <v>4.74</v>
      </c>
    </row>
    <row r="1476" spans="1:7" x14ac:dyDescent="0.3">
      <c r="A1476">
        <v>2024</v>
      </c>
      <c r="B1476" t="s">
        <v>27</v>
      </c>
      <c r="C1476" t="s">
        <v>8</v>
      </c>
      <c r="D1476" t="s">
        <v>13</v>
      </c>
      <c r="E1476">
        <v>10.07</v>
      </c>
      <c r="F1476">
        <v>172.4</v>
      </c>
      <c r="G1476">
        <v>4.82</v>
      </c>
    </row>
    <row r="1477" spans="1:7" x14ac:dyDescent="0.3">
      <c r="A1477">
        <v>2024</v>
      </c>
      <c r="B1477" t="s">
        <v>27</v>
      </c>
      <c r="C1477" t="s">
        <v>8</v>
      </c>
      <c r="D1477" t="s">
        <v>14</v>
      </c>
      <c r="E1477">
        <v>6.84</v>
      </c>
      <c r="F1477">
        <v>174.4</v>
      </c>
      <c r="G1477">
        <v>4.9000000000000004</v>
      </c>
    </row>
    <row r="1478" spans="1:7" x14ac:dyDescent="0.3">
      <c r="A1478">
        <v>2024</v>
      </c>
      <c r="B1478" t="s">
        <v>27</v>
      </c>
      <c r="C1478" t="s">
        <v>8</v>
      </c>
      <c r="D1478" t="s">
        <v>15</v>
      </c>
      <c r="E1478">
        <v>28.32</v>
      </c>
      <c r="F1478">
        <v>176.4</v>
      </c>
      <c r="G1478">
        <v>4.9800000000000004</v>
      </c>
    </row>
    <row r="1479" spans="1:7" x14ac:dyDescent="0.3">
      <c r="A1479">
        <v>2024</v>
      </c>
      <c r="B1479" t="s">
        <v>27</v>
      </c>
      <c r="C1479" t="s">
        <v>16</v>
      </c>
      <c r="D1479" t="s">
        <v>9</v>
      </c>
      <c r="E1479">
        <v>100</v>
      </c>
      <c r="F1479">
        <v>165</v>
      </c>
      <c r="G1479">
        <v>4.5</v>
      </c>
    </row>
    <row r="1480" spans="1:7" x14ac:dyDescent="0.3">
      <c r="A1480">
        <v>2024</v>
      </c>
      <c r="B1480" t="s">
        <v>27</v>
      </c>
      <c r="C1480" t="s">
        <v>16</v>
      </c>
      <c r="D1480" t="s">
        <v>10</v>
      </c>
      <c r="E1480">
        <v>45.86</v>
      </c>
      <c r="F1480">
        <v>167</v>
      </c>
      <c r="G1480">
        <v>4.58</v>
      </c>
    </row>
    <row r="1481" spans="1:7" x14ac:dyDescent="0.3">
      <c r="A1481">
        <v>2024</v>
      </c>
      <c r="B1481" t="s">
        <v>27</v>
      </c>
      <c r="C1481" t="s">
        <v>16</v>
      </c>
      <c r="D1481" t="s">
        <v>11</v>
      </c>
      <c r="E1481">
        <v>2.38</v>
      </c>
      <c r="F1481">
        <v>169</v>
      </c>
      <c r="G1481">
        <v>4.66</v>
      </c>
    </row>
    <row r="1482" spans="1:7" x14ac:dyDescent="0.3">
      <c r="A1482">
        <v>2024</v>
      </c>
      <c r="B1482" t="s">
        <v>27</v>
      </c>
      <c r="C1482" t="s">
        <v>16</v>
      </c>
      <c r="D1482" t="s">
        <v>12</v>
      </c>
      <c r="E1482">
        <v>6.53</v>
      </c>
      <c r="F1482">
        <v>171</v>
      </c>
      <c r="G1482">
        <v>4.74</v>
      </c>
    </row>
    <row r="1483" spans="1:7" x14ac:dyDescent="0.3">
      <c r="A1483">
        <v>2024</v>
      </c>
      <c r="B1483" t="s">
        <v>27</v>
      </c>
      <c r="C1483" t="s">
        <v>16</v>
      </c>
      <c r="D1483" t="s">
        <v>13</v>
      </c>
      <c r="E1483">
        <v>10.07</v>
      </c>
      <c r="F1483">
        <v>173</v>
      </c>
      <c r="G1483">
        <v>4.82</v>
      </c>
    </row>
    <row r="1484" spans="1:7" x14ac:dyDescent="0.3">
      <c r="A1484">
        <v>2024</v>
      </c>
      <c r="B1484" t="s">
        <v>27</v>
      </c>
      <c r="C1484" t="s">
        <v>16</v>
      </c>
      <c r="D1484" t="s">
        <v>14</v>
      </c>
      <c r="E1484">
        <v>6.84</v>
      </c>
      <c r="F1484">
        <v>175</v>
      </c>
      <c r="G1484">
        <v>4.9000000000000004</v>
      </c>
    </row>
    <row r="1485" spans="1:7" x14ac:dyDescent="0.3">
      <c r="A1485">
        <v>2024</v>
      </c>
      <c r="B1485" t="s">
        <v>27</v>
      </c>
      <c r="C1485" t="s">
        <v>16</v>
      </c>
      <c r="D1485" t="s">
        <v>15</v>
      </c>
      <c r="E1485">
        <v>28.32</v>
      </c>
      <c r="F1485">
        <v>177</v>
      </c>
      <c r="G1485">
        <v>4.9800000000000004</v>
      </c>
    </row>
    <row r="1486" spans="1:7" x14ac:dyDescent="0.3">
      <c r="A1486">
        <v>2024</v>
      </c>
      <c r="B1486" t="s">
        <v>27</v>
      </c>
      <c r="C1486" t="s">
        <v>17</v>
      </c>
      <c r="D1486" t="s">
        <v>9</v>
      </c>
      <c r="E1486">
        <v>100</v>
      </c>
      <c r="F1486">
        <v>165.6</v>
      </c>
      <c r="G1486">
        <v>4.5</v>
      </c>
    </row>
    <row r="1487" spans="1:7" x14ac:dyDescent="0.3">
      <c r="A1487">
        <v>2024</v>
      </c>
      <c r="B1487" t="s">
        <v>27</v>
      </c>
      <c r="C1487" t="s">
        <v>17</v>
      </c>
      <c r="D1487" t="s">
        <v>10</v>
      </c>
      <c r="E1487">
        <v>45.86</v>
      </c>
      <c r="F1487">
        <v>167.6</v>
      </c>
      <c r="G1487">
        <v>4.58</v>
      </c>
    </row>
    <row r="1488" spans="1:7" x14ac:dyDescent="0.3">
      <c r="A1488">
        <v>2024</v>
      </c>
      <c r="B1488" t="s">
        <v>27</v>
      </c>
      <c r="C1488" t="s">
        <v>17</v>
      </c>
      <c r="D1488" t="s">
        <v>11</v>
      </c>
      <c r="E1488">
        <v>2.38</v>
      </c>
      <c r="F1488">
        <v>169.6</v>
      </c>
      <c r="G1488">
        <v>4.66</v>
      </c>
    </row>
    <row r="1489" spans="1:7" x14ac:dyDescent="0.3">
      <c r="A1489">
        <v>2024</v>
      </c>
      <c r="B1489" t="s">
        <v>27</v>
      </c>
      <c r="C1489" t="s">
        <v>17</v>
      </c>
      <c r="D1489" t="s">
        <v>12</v>
      </c>
      <c r="E1489">
        <v>6.53</v>
      </c>
      <c r="F1489">
        <v>171.6</v>
      </c>
      <c r="G1489">
        <v>4.74</v>
      </c>
    </row>
    <row r="1490" spans="1:7" x14ac:dyDescent="0.3">
      <c r="A1490">
        <v>2024</v>
      </c>
      <c r="B1490" t="s">
        <v>27</v>
      </c>
      <c r="C1490" t="s">
        <v>17</v>
      </c>
      <c r="D1490" t="s">
        <v>13</v>
      </c>
      <c r="E1490">
        <v>10.07</v>
      </c>
      <c r="F1490">
        <v>173.6</v>
      </c>
      <c r="G1490">
        <v>4.82</v>
      </c>
    </row>
    <row r="1491" spans="1:7" x14ac:dyDescent="0.3">
      <c r="A1491">
        <v>2024</v>
      </c>
      <c r="B1491" t="s">
        <v>27</v>
      </c>
      <c r="C1491" t="s">
        <v>17</v>
      </c>
      <c r="D1491" t="s">
        <v>14</v>
      </c>
      <c r="E1491">
        <v>6.84</v>
      </c>
      <c r="F1491">
        <v>175.6</v>
      </c>
      <c r="G1491">
        <v>4.9000000000000004</v>
      </c>
    </row>
    <row r="1492" spans="1:7" x14ac:dyDescent="0.3">
      <c r="A1492">
        <v>2024</v>
      </c>
      <c r="B1492" t="s">
        <v>27</v>
      </c>
      <c r="C1492" t="s">
        <v>17</v>
      </c>
      <c r="D1492" t="s">
        <v>15</v>
      </c>
      <c r="E1492">
        <v>28.32</v>
      </c>
      <c r="F1492">
        <v>177.6</v>
      </c>
      <c r="G1492">
        <v>4.9800000000000004</v>
      </c>
    </row>
    <row r="1493" spans="1:7" x14ac:dyDescent="0.3">
      <c r="A1493">
        <v>2024</v>
      </c>
      <c r="B1493" t="s">
        <v>28</v>
      </c>
      <c r="C1493" t="s">
        <v>8</v>
      </c>
      <c r="D1493" t="s">
        <v>9</v>
      </c>
      <c r="E1493">
        <v>100</v>
      </c>
      <c r="F1493">
        <v>164.8</v>
      </c>
      <c r="G1493">
        <v>3.75</v>
      </c>
    </row>
    <row r="1494" spans="1:7" x14ac:dyDescent="0.3">
      <c r="A1494">
        <v>2024</v>
      </c>
      <c r="B1494" t="s">
        <v>28</v>
      </c>
      <c r="C1494" t="s">
        <v>8</v>
      </c>
      <c r="D1494" t="s">
        <v>10</v>
      </c>
      <c r="E1494">
        <v>45.86</v>
      </c>
      <c r="F1494">
        <v>166.8</v>
      </c>
      <c r="G1494">
        <v>3.83</v>
      </c>
    </row>
    <row r="1495" spans="1:7" x14ac:dyDescent="0.3">
      <c r="A1495">
        <v>2024</v>
      </c>
      <c r="B1495" t="s">
        <v>28</v>
      </c>
      <c r="C1495" t="s">
        <v>8</v>
      </c>
      <c r="D1495" t="s">
        <v>11</v>
      </c>
      <c r="E1495">
        <v>2.38</v>
      </c>
      <c r="F1495">
        <v>168.8</v>
      </c>
      <c r="G1495">
        <v>3.91</v>
      </c>
    </row>
    <row r="1496" spans="1:7" x14ac:dyDescent="0.3">
      <c r="A1496">
        <v>2024</v>
      </c>
      <c r="B1496" t="s">
        <v>28</v>
      </c>
      <c r="C1496" t="s">
        <v>8</v>
      </c>
      <c r="D1496" t="s">
        <v>12</v>
      </c>
      <c r="E1496">
        <v>6.53</v>
      </c>
      <c r="F1496">
        <v>170.8</v>
      </c>
      <c r="G1496">
        <v>3.99</v>
      </c>
    </row>
    <row r="1497" spans="1:7" x14ac:dyDescent="0.3">
      <c r="A1497">
        <v>2024</v>
      </c>
      <c r="B1497" t="s">
        <v>28</v>
      </c>
      <c r="C1497" t="s">
        <v>8</v>
      </c>
      <c r="D1497" t="s">
        <v>13</v>
      </c>
      <c r="E1497">
        <v>10.07</v>
      </c>
      <c r="F1497">
        <v>172.8</v>
      </c>
      <c r="G1497">
        <v>4.07</v>
      </c>
    </row>
    <row r="1498" spans="1:7" x14ac:dyDescent="0.3">
      <c r="A1498">
        <v>2024</v>
      </c>
      <c r="B1498" t="s">
        <v>28</v>
      </c>
      <c r="C1498" t="s">
        <v>8</v>
      </c>
      <c r="D1498" t="s">
        <v>14</v>
      </c>
      <c r="E1498">
        <v>6.84</v>
      </c>
      <c r="F1498">
        <v>174.8</v>
      </c>
      <c r="G1498">
        <v>4.1500000000000004</v>
      </c>
    </row>
    <row r="1499" spans="1:7" x14ac:dyDescent="0.3">
      <c r="A1499">
        <v>2024</v>
      </c>
      <c r="B1499" t="s">
        <v>28</v>
      </c>
      <c r="C1499" t="s">
        <v>8</v>
      </c>
      <c r="D1499" t="s">
        <v>15</v>
      </c>
      <c r="E1499">
        <v>28.32</v>
      </c>
      <c r="F1499">
        <v>176.8</v>
      </c>
      <c r="G1499">
        <v>4.2300000000000004</v>
      </c>
    </row>
    <row r="1500" spans="1:7" x14ac:dyDescent="0.3">
      <c r="A1500">
        <v>2024</v>
      </c>
      <c r="B1500" t="s">
        <v>28</v>
      </c>
      <c r="C1500" t="s">
        <v>16</v>
      </c>
      <c r="D1500" t="s">
        <v>9</v>
      </c>
      <c r="E1500">
        <v>100</v>
      </c>
      <c r="F1500">
        <v>165.4</v>
      </c>
      <c r="G1500">
        <v>3.75</v>
      </c>
    </row>
    <row r="1501" spans="1:7" x14ac:dyDescent="0.3">
      <c r="A1501">
        <v>2024</v>
      </c>
      <c r="B1501" t="s">
        <v>28</v>
      </c>
      <c r="C1501" t="s">
        <v>16</v>
      </c>
      <c r="D1501" t="s">
        <v>10</v>
      </c>
      <c r="E1501">
        <v>45.86</v>
      </c>
      <c r="F1501">
        <v>167.4</v>
      </c>
      <c r="G1501">
        <v>3.83</v>
      </c>
    </row>
    <row r="1502" spans="1:7" x14ac:dyDescent="0.3">
      <c r="A1502">
        <v>2024</v>
      </c>
      <c r="B1502" t="s">
        <v>28</v>
      </c>
      <c r="C1502" t="s">
        <v>16</v>
      </c>
      <c r="D1502" t="s">
        <v>11</v>
      </c>
      <c r="E1502">
        <v>2.38</v>
      </c>
      <c r="F1502">
        <v>169.4</v>
      </c>
      <c r="G1502">
        <v>3.91</v>
      </c>
    </row>
    <row r="1503" spans="1:7" x14ac:dyDescent="0.3">
      <c r="A1503">
        <v>2024</v>
      </c>
      <c r="B1503" t="s">
        <v>28</v>
      </c>
      <c r="C1503" t="s">
        <v>16</v>
      </c>
      <c r="D1503" t="s">
        <v>12</v>
      </c>
      <c r="E1503">
        <v>6.53</v>
      </c>
      <c r="F1503">
        <v>171.4</v>
      </c>
      <c r="G1503">
        <v>3.99</v>
      </c>
    </row>
    <row r="1504" spans="1:7" x14ac:dyDescent="0.3">
      <c r="A1504">
        <v>2024</v>
      </c>
      <c r="B1504" t="s">
        <v>28</v>
      </c>
      <c r="C1504" t="s">
        <v>16</v>
      </c>
      <c r="D1504" t="s">
        <v>13</v>
      </c>
      <c r="E1504">
        <v>10.07</v>
      </c>
      <c r="F1504">
        <v>173.4</v>
      </c>
      <c r="G1504">
        <v>4.07</v>
      </c>
    </row>
    <row r="1505" spans="1:7" x14ac:dyDescent="0.3">
      <c r="A1505">
        <v>2024</v>
      </c>
      <c r="B1505" t="s">
        <v>28</v>
      </c>
      <c r="C1505" t="s">
        <v>16</v>
      </c>
      <c r="D1505" t="s">
        <v>14</v>
      </c>
      <c r="E1505">
        <v>6.84</v>
      </c>
      <c r="F1505">
        <v>175.4</v>
      </c>
      <c r="G1505">
        <v>4.1500000000000004</v>
      </c>
    </row>
    <row r="1506" spans="1:7" x14ac:dyDescent="0.3">
      <c r="A1506">
        <v>2024</v>
      </c>
      <c r="B1506" t="s">
        <v>28</v>
      </c>
      <c r="C1506" t="s">
        <v>16</v>
      </c>
      <c r="D1506" t="s">
        <v>15</v>
      </c>
      <c r="E1506">
        <v>28.32</v>
      </c>
      <c r="F1506">
        <v>177.4</v>
      </c>
      <c r="G1506">
        <v>4.2300000000000004</v>
      </c>
    </row>
    <row r="1507" spans="1:7" x14ac:dyDescent="0.3">
      <c r="A1507">
        <v>2024</v>
      </c>
      <c r="B1507" t="s">
        <v>28</v>
      </c>
      <c r="C1507" t="s">
        <v>17</v>
      </c>
      <c r="D1507" t="s">
        <v>9</v>
      </c>
      <c r="E1507">
        <v>100</v>
      </c>
      <c r="F1507">
        <v>166</v>
      </c>
      <c r="G1507">
        <v>3.75</v>
      </c>
    </row>
    <row r="1508" spans="1:7" x14ac:dyDescent="0.3">
      <c r="A1508">
        <v>2024</v>
      </c>
      <c r="B1508" t="s">
        <v>28</v>
      </c>
      <c r="C1508" t="s">
        <v>17</v>
      </c>
      <c r="D1508" t="s">
        <v>10</v>
      </c>
      <c r="E1508">
        <v>45.86</v>
      </c>
      <c r="F1508">
        <v>168</v>
      </c>
      <c r="G1508">
        <v>3.83</v>
      </c>
    </row>
    <row r="1509" spans="1:7" x14ac:dyDescent="0.3">
      <c r="A1509">
        <v>2024</v>
      </c>
      <c r="B1509" t="s">
        <v>28</v>
      </c>
      <c r="C1509" t="s">
        <v>17</v>
      </c>
      <c r="D1509" t="s">
        <v>11</v>
      </c>
      <c r="E1509">
        <v>2.38</v>
      </c>
      <c r="F1509">
        <v>170</v>
      </c>
      <c r="G1509">
        <v>3.91</v>
      </c>
    </row>
    <row r="1510" spans="1:7" x14ac:dyDescent="0.3">
      <c r="A1510">
        <v>2024</v>
      </c>
      <c r="B1510" t="s">
        <v>28</v>
      </c>
      <c r="C1510" t="s">
        <v>17</v>
      </c>
      <c r="D1510" t="s">
        <v>12</v>
      </c>
      <c r="E1510">
        <v>6.53</v>
      </c>
      <c r="F1510">
        <v>172</v>
      </c>
      <c r="G1510">
        <v>3.99</v>
      </c>
    </row>
    <row r="1511" spans="1:7" x14ac:dyDescent="0.3">
      <c r="A1511">
        <v>2024</v>
      </c>
      <c r="B1511" t="s">
        <v>28</v>
      </c>
      <c r="C1511" t="s">
        <v>17</v>
      </c>
      <c r="D1511" t="s">
        <v>13</v>
      </c>
      <c r="E1511">
        <v>10.07</v>
      </c>
      <c r="F1511">
        <v>174</v>
      </c>
      <c r="G1511">
        <v>4.07</v>
      </c>
    </row>
    <row r="1512" spans="1:7" x14ac:dyDescent="0.3">
      <c r="A1512">
        <v>2024</v>
      </c>
      <c r="B1512" t="s">
        <v>28</v>
      </c>
      <c r="C1512" t="s">
        <v>17</v>
      </c>
      <c r="D1512" t="s">
        <v>14</v>
      </c>
      <c r="E1512">
        <v>6.84</v>
      </c>
      <c r="F1512">
        <v>176</v>
      </c>
      <c r="G1512">
        <v>4.1500000000000004</v>
      </c>
    </row>
    <row r="1513" spans="1:7" x14ac:dyDescent="0.3">
      <c r="A1513">
        <v>2024</v>
      </c>
      <c r="B1513" t="s">
        <v>28</v>
      </c>
      <c r="C1513" t="s">
        <v>17</v>
      </c>
      <c r="D1513" t="s">
        <v>15</v>
      </c>
      <c r="E1513">
        <v>28.32</v>
      </c>
      <c r="F1513">
        <v>178</v>
      </c>
      <c r="G1513">
        <v>4.2300000000000004</v>
      </c>
    </row>
    <row r="1514" spans="1:7" x14ac:dyDescent="0.3">
      <c r="A1514">
        <v>2025</v>
      </c>
      <c r="B1514" t="s">
        <v>7</v>
      </c>
      <c r="C1514" t="s">
        <v>8</v>
      </c>
      <c r="D1514" t="s">
        <v>9</v>
      </c>
      <c r="E1514">
        <v>100</v>
      </c>
      <c r="F1514">
        <v>165.4</v>
      </c>
      <c r="G1514">
        <v>4.25</v>
      </c>
    </row>
    <row r="1515" spans="1:7" x14ac:dyDescent="0.3">
      <c r="A1515">
        <v>2025</v>
      </c>
      <c r="B1515" t="s">
        <v>7</v>
      </c>
      <c r="C1515" t="s">
        <v>8</v>
      </c>
      <c r="D1515" t="s">
        <v>10</v>
      </c>
      <c r="E1515">
        <v>45.86</v>
      </c>
      <c r="F1515">
        <v>167.4</v>
      </c>
      <c r="G1515">
        <v>4.33</v>
      </c>
    </row>
    <row r="1516" spans="1:7" x14ac:dyDescent="0.3">
      <c r="A1516">
        <v>2025</v>
      </c>
      <c r="B1516" t="s">
        <v>7</v>
      </c>
      <c r="C1516" t="s">
        <v>8</v>
      </c>
      <c r="D1516" t="s">
        <v>11</v>
      </c>
      <c r="E1516">
        <v>2.38</v>
      </c>
      <c r="F1516">
        <v>169.4</v>
      </c>
      <c r="G1516">
        <v>4.41</v>
      </c>
    </row>
    <row r="1517" spans="1:7" x14ac:dyDescent="0.3">
      <c r="A1517">
        <v>2025</v>
      </c>
      <c r="B1517" t="s">
        <v>7</v>
      </c>
      <c r="C1517" t="s">
        <v>8</v>
      </c>
      <c r="D1517" t="s">
        <v>12</v>
      </c>
      <c r="E1517">
        <v>6.53</v>
      </c>
      <c r="F1517">
        <v>171.4</v>
      </c>
      <c r="G1517">
        <v>4.49</v>
      </c>
    </row>
    <row r="1518" spans="1:7" x14ac:dyDescent="0.3">
      <c r="A1518">
        <v>2025</v>
      </c>
      <c r="B1518" t="s">
        <v>7</v>
      </c>
      <c r="C1518" t="s">
        <v>8</v>
      </c>
      <c r="D1518" t="s">
        <v>13</v>
      </c>
      <c r="E1518">
        <v>10.07</v>
      </c>
      <c r="F1518">
        <v>173.4</v>
      </c>
      <c r="G1518">
        <v>4.57</v>
      </c>
    </row>
    <row r="1519" spans="1:7" x14ac:dyDescent="0.3">
      <c r="A1519">
        <v>2025</v>
      </c>
      <c r="B1519" t="s">
        <v>7</v>
      </c>
      <c r="C1519" t="s">
        <v>8</v>
      </c>
      <c r="D1519" t="s">
        <v>14</v>
      </c>
      <c r="E1519">
        <v>6.84</v>
      </c>
      <c r="F1519">
        <v>175.4</v>
      </c>
      <c r="G1519">
        <v>4.6500000000000004</v>
      </c>
    </row>
    <row r="1520" spans="1:7" x14ac:dyDescent="0.3">
      <c r="A1520">
        <v>2025</v>
      </c>
      <c r="B1520" t="s">
        <v>7</v>
      </c>
      <c r="C1520" t="s">
        <v>8</v>
      </c>
      <c r="D1520" t="s">
        <v>15</v>
      </c>
      <c r="E1520">
        <v>28.32</v>
      </c>
      <c r="F1520">
        <v>177.4</v>
      </c>
      <c r="G1520">
        <v>4.7300000000000004</v>
      </c>
    </row>
    <row r="1521" spans="1:7" x14ac:dyDescent="0.3">
      <c r="A1521">
        <v>2025</v>
      </c>
      <c r="B1521" t="s">
        <v>7</v>
      </c>
      <c r="C1521" t="s">
        <v>16</v>
      </c>
      <c r="D1521" t="s">
        <v>9</v>
      </c>
      <c r="E1521">
        <v>100</v>
      </c>
      <c r="F1521">
        <v>166</v>
      </c>
      <c r="G1521">
        <v>4.25</v>
      </c>
    </row>
    <row r="1522" spans="1:7" x14ac:dyDescent="0.3">
      <c r="A1522">
        <v>2025</v>
      </c>
      <c r="B1522" t="s">
        <v>7</v>
      </c>
      <c r="C1522" t="s">
        <v>16</v>
      </c>
      <c r="D1522" t="s">
        <v>10</v>
      </c>
      <c r="E1522">
        <v>45.86</v>
      </c>
      <c r="F1522">
        <v>168</v>
      </c>
      <c r="G1522">
        <v>4.33</v>
      </c>
    </row>
    <row r="1523" spans="1:7" x14ac:dyDescent="0.3">
      <c r="A1523">
        <v>2025</v>
      </c>
      <c r="B1523" t="s">
        <v>7</v>
      </c>
      <c r="C1523" t="s">
        <v>16</v>
      </c>
      <c r="D1523" t="s">
        <v>11</v>
      </c>
      <c r="E1523">
        <v>2.38</v>
      </c>
      <c r="F1523">
        <v>170</v>
      </c>
      <c r="G1523">
        <v>4.41</v>
      </c>
    </row>
    <row r="1524" spans="1:7" x14ac:dyDescent="0.3">
      <c r="A1524">
        <v>2025</v>
      </c>
      <c r="B1524" t="s">
        <v>7</v>
      </c>
      <c r="C1524" t="s">
        <v>16</v>
      </c>
      <c r="D1524" t="s">
        <v>12</v>
      </c>
      <c r="E1524">
        <v>6.53</v>
      </c>
      <c r="F1524">
        <v>172</v>
      </c>
      <c r="G1524">
        <v>4.49</v>
      </c>
    </row>
    <row r="1525" spans="1:7" x14ac:dyDescent="0.3">
      <c r="A1525">
        <v>2025</v>
      </c>
      <c r="B1525" t="s">
        <v>7</v>
      </c>
      <c r="C1525" t="s">
        <v>16</v>
      </c>
      <c r="D1525" t="s">
        <v>13</v>
      </c>
      <c r="E1525">
        <v>10.07</v>
      </c>
      <c r="F1525">
        <v>174</v>
      </c>
      <c r="G1525">
        <v>4.57</v>
      </c>
    </row>
    <row r="1526" spans="1:7" x14ac:dyDescent="0.3">
      <c r="A1526">
        <v>2025</v>
      </c>
      <c r="B1526" t="s">
        <v>7</v>
      </c>
      <c r="C1526" t="s">
        <v>16</v>
      </c>
      <c r="D1526" t="s">
        <v>14</v>
      </c>
      <c r="E1526">
        <v>6.84</v>
      </c>
      <c r="F1526">
        <v>176</v>
      </c>
      <c r="G1526">
        <v>4.6500000000000004</v>
      </c>
    </row>
    <row r="1527" spans="1:7" x14ac:dyDescent="0.3">
      <c r="A1527">
        <v>2025</v>
      </c>
      <c r="B1527" t="s">
        <v>7</v>
      </c>
      <c r="C1527" t="s">
        <v>16</v>
      </c>
      <c r="D1527" t="s">
        <v>15</v>
      </c>
      <c r="E1527">
        <v>28.32</v>
      </c>
      <c r="F1527">
        <v>178</v>
      </c>
      <c r="G1527">
        <v>4.7300000000000004</v>
      </c>
    </row>
    <row r="1528" spans="1:7" x14ac:dyDescent="0.3">
      <c r="A1528">
        <v>2025</v>
      </c>
      <c r="B1528" t="s">
        <v>7</v>
      </c>
      <c r="C1528" t="s">
        <v>17</v>
      </c>
      <c r="D1528" t="s">
        <v>9</v>
      </c>
      <c r="E1528">
        <v>100</v>
      </c>
      <c r="F1528">
        <v>166.6</v>
      </c>
      <c r="G1528">
        <v>4.25</v>
      </c>
    </row>
    <row r="1529" spans="1:7" x14ac:dyDescent="0.3">
      <c r="A1529">
        <v>2025</v>
      </c>
      <c r="B1529" t="s">
        <v>7</v>
      </c>
      <c r="C1529" t="s">
        <v>17</v>
      </c>
      <c r="D1529" t="s">
        <v>10</v>
      </c>
      <c r="E1529">
        <v>45.86</v>
      </c>
      <c r="F1529">
        <v>168.6</v>
      </c>
      <c r="G1529">
        <v>4.33</v>
      </c>
    </row>
    <row r="1530" spans="1:7" x14ac:dyDescent="0.3">
      <c r="A1530">
        <v>2025</v>
      </c>
      <c r="B1530" t="s">
        <v>7</v>
      </c>
      <c r="C1530" t="s">
        <v>17</v>
      </c>
      <c r="D1530" t="s">
        <v>11</v>
      </c>
      <c r="E1530">
        <v>2.38</v>
      </c>
      <c r="F1530">
        <v>170.6</v>
      </c>
      <c r="G1530">
        <v>4.41</v>
      </c>
    </row>
    <row r="1531" spans="1:7" x14ac:dyDescent="0.3">
      <c r="A1531">
        <v>2025</v>
      </c>
      <c r="B1531" t="s">
        <v>7</v>
      </c>
      <c r="C1531" t="s">
        <v>17</v>
      </c>
      <c r="D1531" t="s">
        <v>12</v>
      </c>
      <c r="E1531">
        <v>6.53</v>
      </c>
      <c r="F1531">
        <v>172.6</v>
      </c>
      <c r="G1531">
        <v>4.49</v>
      </c>
    </row>
    <row r="1532" spans="1:7" x14ac:dyDescent="0.3">
      <c r="A1532">
        <v>2025</v>
      </c>
      <c r="B1532" t="s">
        <v>7</v>
      </c>
      <c r="C1532" t="s">
        <v>17</v>
      </c>
      <c r="D1532" t="s">
        <v>13</v>
      </c>
      <c r="E1532">
        <v>10.07</v>
      </c>
      <c r="F1532">
        <v>174.6</v>
      </c>
      <c r="G1532">
        <v>4.57</v>
      </c>
    </row>
    <row r="1533" spans="1:7" x14ac:dyDescent="0.3">
      <c r="A1533">
        <v>2025</v>
      </c>
      <c r="B1533" t="s">
        <v>7</v>
      </c>
      <c r="C1533" t="s">
        <v>17</v>
      </c>
      <c r="D1533" t="s">
        <v>14</v>
      </c>
      <c r="E1533">
        <v>6.84</v>
      </c>
      <c r="F1533">
        <v>176.6</v>
      </c>
      <c r="G1533">
        <v>4.6500000000000004</v>
      </c>
    </row>
    <row r="1534" spans="1:7" x14ac:dyDescent="0.3">
      <c r="A1534">
        <v>2025</v>
      </c>
      <c r="B1534" t="s">
        <v>7</v>
      </c>
      <c r="C1534" t="s">
        <v>17</v>
      </c>
      <c r="D1534" t="s">
        <v>15</v>
      </c>
      <c r="E1534">
        <v>28.32</v>
      </c>
      <c r="F1534">
        <v>178.6</v>
      </c>
      <c r="G1534">
        <v>4.7300000000000004</v>
      </c>
    </row>
    <row r="1535" spans="1:7" x14ac:dyDescent="0.3">
      <c r="A1535">
        <v>2025</v>
      </c>
      <c r="B1535" t="s">
        <v>18</v>
      </c>
      <c r="C1535" t="s">
        <v>8</v>
      </c>
      <c r="D1535" t="s">
        <v>9</v>
      </c>
      <c r="E1535">
        <v>100</v>
      </c>
      <c r="F1535">
        <v>165.8</v>
      </c>
      <c r="G1535">
        <v>4.4000000000000004</v>
      </c>
    </row>
    <row r="1536" spans="1:7" x14ac:dyDescent="0.3">
      <c r="A1536">
        <v>2025</v>
      </c>
      <c r="B1536" t="s">
        <v>18</v>
      </c>
      <c r="C1536" t="s">
        <v>8</v>
      </c>
      <c r="D1536" t="s">
        <v>10</v>
      </c>
      <c r="E1536">
        <v>45.86</v>
      </c>
      <c r="F1536">
        <v>167.8</v>
      </c>
      <c r="G1536">
        <v>4.4800000000000004</v>
      </c>
    </row>
    <row r="1537" spans="1:7" x14ac:dyDescent="0.3">
      <c r="A1537">
        <v>2025</v>
      </c>
      <c r="B1537" t="s">
        <v>18</v>
      </c>
      <c r="C1537" t="s">
        <v>8</v>
      </c>
      <c r="D1537" t="s">
        <v>11</v>
      </c>
      <c r="E1537">
        <v>2.38</v>
      </c>
      <c r="F1537">
        <v>169.8</v>
      </c>
      <c r="G1537">
        <v>4.5599999999999996</v>
      </c>
    </row>
    <row r="1538" spans="1:7" x14ac:dyDescent="0.3">
      <c r="A1538">
        <v>2025</v>
      </c>
      <c r="B1538" t="s">
        <v>18</v>
      </c>
      <c r="C1538" t="s">
        <v>8</v>
      </c>
      <c r="D1538" t="s">
        <v>12</v>
      </c>
      <c r="E1538">
        <v>6.53</v>
      </c>
      <c r="F1538">
        <v>171.8</v>
      </c>
      <c r="G1538">
        <v>4.6399999999999997</v>
      </c>
    </row>
    <row r="1539" spans="1:7" x14ac:dyDescent="0.3">
      <c r="A1539">
        <v>2025</v>
      </c>
      <c r="B1539" t="s">
        <v>18</v>
      </c>
      <c r="C1539" t="s">
        <v>8</v>
      </c>
      <c r="D1539" t="s">
        <v>13</v>
      </c>
      <c r="E1539">
        <v>10.07</v>
      </c>
      <c r="F1539">
        <v>173.8</v>
      </c>
      <c r="G1539">
        <v>4.72</v>
      </c>
    </row>
    <row r="1540" spans="1:7" x14ac:dyDescent="0.3">
      <c r="A1540">
        <v>2025</v>
      </c>
      <c r="B1540" t="s">
        <v>18</v>
      </c>
      <c r="C1540" t="s">
        <v>8</v>
      </c>
      <c r="D1540" t="s">
        <v>14</v>
      </c>
      <c r="E1540">
        <v>6.84</v>
      </c>
      <c r="F1540">
        <v>175.8</v>
      </c>
      <c r="G1540">
        <v>4.8</v>
      </c>
    </row>
    <row r="1541" spans="1:7" x14ac:dyDescent="0.3">
      <c r="A1541">
        <v>2025</v>
      </c>
      <c r="B1541" t="s">
        <v>18</v>
      </c>
      <c r="C1541" t="s">
        <v>8</v>
      </c>
      <c r="D1541" t="s">
        <v>15</v>
      </c>
      <c r="E1541">
        <v>28.32</v>
      </c>
      <c r="F1541">
        <v>177.8</v>
      </c>
      <c r="G1541">
        <v>4.88</v>
      </c>
    </row>
    <row r="1542" spans="1:7" x14ac:dyDescent="0.3">
      <c r="A1542">
        <v>2025</v>
      </c>
      <c r="B1542" t="s">
        <v>18</v>
      </c>
      <c r="C1542" t="s">
        <v>16</v>
      </c>
      <c r="D1542" t="s">
        <v>9</v>
      </c>
      <c r="E1542">
        <v>100</v>
      </c>
      <c r="F1542">
        <v>166.4</v>
      </c>
      <c r="G1542">
        <v>4.4000000000000004</v>
      </c>
    </row>
    <row r="1543" spans="1:7" x14ac:dyDescent="0.3">
      <c r="A1543">
        <v>2025</v>
      </c>
      <c r="B1543" t="s">
        <v>18</v>
      </c>
      <c r="C1543" t="s">
        <v>16</v>
      </c>
      <c r="D1543" t="s">
        <v>10</v>
      </c>
      <c r="E1543">
        <v>45.86</v>
      </c>
      <c r="F1543">
        <v>168.4</v>
      </c>
      <c r="G1543">
        <v>4.4800000000000004</v>
      </c>
    </row>
    <row r="1544" spans="1:7" x14ac:dyDescent="0.3">
      <c r="A1544">
        <v>2025</v>
      </c>
      <c r="B1544" t="s">
        <v>18</v>
      </c>
      <c r="C1544" t="s">
        <v>16</v>
      </c>
      <c r="D1544" t="s">
        <v>11</v>
      </c>
      <c r="E1544">
        <v>2.38</v>
      </c>
      <c r="F1544">
        <v>170.4</v>
      </c>
      <c r="G1544">
        <v>4.5599999999999996</v>
      </c>
    </row>
    <row r="1545" spans="1:7" x14ac:dyDescent="0.3">
      <c r="A1545">
        <v>2025</v>
      </c>
      <c r="B1545" t="s">
        <v>18</v>
      </c>
      <c r="C1545" t="s">
        <v>16</v>
      </c>
      <c r="D1545" t="s">
        <v>12</v>
      </c>
      <c r="E1545">
        <v>6.53</v>
      </c>
      <c r="F1545">
        <v>172.4</v>
      </c>
      <c r="G1545">
        <v>4.6399999999999997</v>
      </c>
    </row>
    <row r="1546" spans="1:7" x14ac:dyDescent="0.3">
      <c r="A1546">
        <v>2025</v>
      </c>
      <c r="B1546" t="s">
        <v>18</v>
      </c>
      <c r="C1546" t="s">
        <v>16</v>
      </c>
      <c r="D1546" t="s">
        <v>13</v>
      </c>
      <c r="E1546">
        <v>10.07</v>
      </c>
      <c r="F1546">
        <v>174.4</v>
      </c>
      <c r="G1546">
        <v>4.72</v>
      </c>
    </row>
    <row r="1547" spans="1:7" x14ac:dyDescent="0.3">
      <c r="A1547">
        <v>2025</v>
      </c>
      <c r="B1547" t="s">
        <v>18</v>
      </c>
      <c r="C1547" t="s">
        <v>16</v>
      </c>
      <c r="D1547" t="s">
        <v>14</v>
      </c>
      <c r="E1547">
        <v>6.84</v>
      </c>
      <c r="F1547">
        <v>176.4</v>
      </c>
      <c r="G1547">
        <v>4.8</v>
      </c>
    </row>
    <row r="1548" spans="1:7" x14ac:dyDescent="0.3">
      <c r="A1548">
        <v>2025</v>
      </c>
      <c r="B1548" t="s">
        <v>18</v>
      </c>
      <c r="C1548" t="s">
        <v>16</v>
      </c>
      <c r="D1548" t="s">
        <v>15</v>
      </c>
      <c r="E1548">
        <v>28.32</v>
      </c>
      <c r="F1548">
        <v>178.4</v>
      </c>
      <c r="G1548">
        <v>4.88</v>
      </c>
    </row>
    <row r="1549" spans="1:7" x14ac:dyDescent="0.3">
      <c r="A1549">
        <v>2025</v>
      </c>
      <c r="B1549" t="s">
        <v>18</v>
      </c>
      <c r="C1549" t="s">
        <v>17</v>
      </c>
      <c r="D1549" t="s">
        <v>9</v>
      </c>
      <c r="E1549">
        <v>100</v>
      </c>
      <c r="F1549">
        <v>167</v>
      </c>
      <c r="G1549">
        <v>4.4000000000000004</v>
      </c>
    </row>
    <row r="1550" spans="1:7" x14ac:dyDescent="0.3">
      <c r="A1550">
        <v>2025</v>
      </c>
      <c r="B1550" t="s">
        <v>18</v>
      </c>
      <c r="C1550" t="s">
        <v>17</v>
      </c>
      <c r="D1550" t="s">
        <v>10</v>
      </c>
      <c r="E1550">
        <v>45.86</v>
      </c>
      <c r="F1550">
        <v>169</v>
      </c>
      <c r="G1550">
        <v>4.4800000000000004</v>
      </c>
    </row>
    <row r="1551" spans="1:7" x14ac:dyDescent="0.3">
      <c r="A1551">
        <v>2025</v>
      </c>
      <c r="B1551" t="s">
        <v>18</v>
      </c>
      <c r="C1551" t="s">
        <v>17</v>
      </c>
      <c r="D1551" t="s">
        <v>11</v>
      </c>
      <c r="E1551">
        <v>2.38</v>
      </c>
      <c r="F1551">
        <v>171</v>
      </c>
      <c r="G1551">
        <v>4.5599999999999996</v>
      </c>
    </row>
    <row r="1552" spans="1:7" x14ac:dyDescent="0.3">
      <c r="A1552">
        <v>2025</v>
      </c>
      <c r="B1552" t="s">
        <v>18</v>
      </c>
      <c r="C1552" t="s">
        <v>17</v>
      </c>
      <c r="D1552" t="s">
        <v>12</v>
      </c>
      <c r="E1552">
        <v>6.53</v>
      </c>
      <c r="F1552">
        <v>173</v>
      </c>
      <c r="G1552">
        <v>4.6399999999999997</v>
      </c>
    </row>
    <row r="1553" spans="1:7" x14ac:dyDescent="0.3">
      <c r="A1553">
        <v>2025</v>
      </c>
      <c r="B1553" t="s">
        <v>18</v>
      </c>
      <c r="C1553" t="s">
        <v>17</v>
      </c>
      <c r="D1553" t="s">
        <v>13</v>
      </c>
      <c r="E1553">
        <v>10.07</v>
      </c>
      <c r="F1553">
        <v>175</v>
      </c>
      <c r="G1553">
        <v>4.72</v>
      </c>
    </row>
    <row r="1554" spans="1:7" x14ac:dyDescent="0.3">
      <c r="A1554">
        <v>2025</v>
      </c>
      <c r="B1554" t="s">
        <v>18</v>
      </c>
      <c r="C1554" t="s">
        <v>17</v>
      </c>
      <c r="D1554" t="s">
        <v>14</v>
      </c>
      <c r="E1554">
        <v>6.84</v>
      </c>
      <c r="F1554">
        <v>177</v>
      </c>
      <c r="G1554">
        <v>4.8</v>
      </c>
    </row>
    <row r="1555" spans="1:7" x14ac:dyDescent="0.3">
      <c r="A1555">
        <v>2025</v>
      </c>
      <c r="B1555" t="s">
        <v>18</v>
      </c>
      <c r="C1555" t="s">
        <v>17</v>
      </c>
      <c r="D1555" t="s">
        <v>15</v>
      </c>
      <c r="E1555">
        <v>28.32</v>
      </c>
      <c r="F1555">
        <v>179</v>
      </c>
      <c r="G1555">
        <v>4.88</v>
      </c>
    </row>
    <row r="1556" spans="1:7" x14ac:dyDescent="0.3">
      <c r="A1556">
        <v>2025</v>
      </c>
      <c r="B1556" t="s">
        <v>19</v>
      </c>
      <c r="C1556" t="s">
        <v>8</v>
      </c>
      <c r="D1556" t="s">
        <v>9</v>
      </c>
      <c r="E1556">
        <v>100</v>
      </c>
      <c r="F1556">
        <v>166.2</v>
      </c>
      <c r="G1556">
        <v>4.55</v>
      </c>
    </row>
    <row r="1557" spans="1:7" x14ac:dyDescent="0.3">
      <c r="A1557">
        <v>2025</v>
      </c>
      <c r="B1557" t="s">
        <v>19</v>
      </c>
      <c r="C1557" t="s">
        <v>8</v>
      </c>
      <c r="D1557" t="s">
        <v>10</v>
      </c>
      <c r="E1557">
        <v>45.86</v>
      </c>
      <c r="F1557">
        <v>168.2</v>
      </c>
      <c r="G1557">
        <v>4.63</v>
      </c>
    </row>
    <row r="1558" spans="1:7" x14ac:dyDescent="0.3">
      <c r="A1558">
        <v>2025</v>
      </c>
      <c r="B1558" t="s">
        <v>19</v>
      </c>
      <c r="C1558" t="s">
        <v>8</v>
      </c>
      <c r="D1558" t="s">
        <v>11</v>
      </c>
      <c r="E1558">
        <v>2.38</v>
      </c>
      <c r="F1558">
        <v>170.2</v>
      </c>
      <c r="G1558">
        <v>4.71</v>
      </c>
    </row>
    <row r="1559" spans="1:7" x14ac:dyDescent="0.3">
      <c r="A1559">
        <v>2025</v>
      </c>
      <c r="B1559" t="s">
        <v>19</v>
      </c>
      <c r="C1559" t="s">
        <v>8</v>
      </c>
      <c r="D1559" t="s">
        <v>12</v>
      </c>
      <c r="E1559">
        <v>6.53</v>
      </c>
      <c r="F1559">
        <v>172.2</v>
      </c>
      <c r="G1559">
        <v>4.79</v>
      </c>
    </row>
    <row r="1560" spans="1:7" x14ac:dyDescent="0.3">
      <c r="A1560">
        <v>2025</v>
      </c>
      <c r="B1560" t="s">
        <v>19</v>
      </c>
      <c r="C1560" t="s">
        <v>8</v>
      </c>
      <c r="D1560" t="s">
        <v>13</v>
      </c>
      <c r="E1560">
        <v>10.07</v>
      </c>
      <c r="F1560">
        <v>174.2</v>
      </c>
      <c r="G1560">
        <v>4.87</v>
      </c>
    </row>
    <row r="1561" spans="1:7" x14ac:dyDescent="0.3">
      <c r="A1561">
        <v>2025</v>
      </c>
      <c r="B1561" t="s">
        <v>19</v>
      </c>
      <c r="C1561" t="s">
        <v>8</v>
      </c>
      <c r="D1561" t="s">
        <v>14</v>
      </c>
      <c r="E1561">
        <v>6.84</v>
      </c>
      <c r="F1561">
        <v>176.2</v>
      </c>
      <c r="G1561">
        <v>4.95</v>
      </c>
    </row>
    <row r="1562" spans="1:7" x14ac:dyDescent="0.3">
      <c r="A1562">
        <v>2025</v>
      </c>
      <c r="B1562" t="s">
        <v>19</v>
      </c>
      <c r="C1562" t="s">
        <v>8</v>
      </c>
      <c r="D1562" t="s">
        <v>15</v>
      </c>
      <c r="E1562">
        <v>28.32</v>
      </c>
      <c r="F1562">
        <v>178.2</v>
      </c>
      <c r="G1562">
        <v>5.03</v>
      </c>
    </row>
    <row r="1563" spans="1:7" x14ac:dyDescent="0.3">
      <c r="A1563">
        <v>2025</v>
      </c>
      <c r="B1563" t="s">
        <v>19</v>
      </c>
      <c r="C1563" t="s">
        <v>16</v>
      </c>
      <c r="D1563" t="s">
        <v>9</v>
      </c>
      <c r="E1563">
        <v>100</v>
      </c>
      <c r="F1563">
        <v>166.8</v>
      </c>
      <c r="G1563">
        <v>4.55</v>
      </c>
    </row>
    <row r="1564" spans="1:7" x14ac:dyDescent="0.3">
      <c r="A1564">
        <v>2025</v>
      </c>
      <c r="B1564" t="s">
        <v>19</v>
      </c>
      <c r="C1564" t="s">
        <v>16</v>
      </c>
      <c r="D1564" t="s">
        <v>10</v>
      </c>
      <c r="E1564">
        <v>45.86</v>
      </c>
      <c r="F1564">
        <v>168.8</v>
      </c>
      <c r="G1564">
        <v>4.63</v>
      </c>
    </row>
    <row r="1565" spans="1:7" x14ac:dyDescent="0.3">
      <c r="A1565">
        <v>2025</v>
      </c>
      <c r="B1565" t="s">
        <v>19</v>
      </c>
      <c r="C1565" t="s">
        <v>16</v>
      </c>
      <c r="D1565" t="s">
        <v>11</v>
      </c>
      <c r="E1565">
        <v>2.38</v>
      </c>
      <c r="F1565">
        <v>170.8</v>
      </c>
      <c r="G1565">
        <v>4.71</v>
      </c>
    </row>
    <row r="1566" spans="1:7" x14ac:dyDescent="0.3">
      <c r="A1566">
        <v>2025</v>
      </c>
      <c r="B1566" t="s">
        <v>19</v>
      </c>
      <c r="C1566" t="s">
        <v>16</v>
      </c>
      <c r="D1566" t="s">
        <v>12</v>
      </c>
      <c r="E1566">
        <v>6.53</v>
      </c>
      <c r="F1566">
        <v>172.8</v>
      </c>
      <c r="G1566">
        <v>4.79</v>
      </c>
    </row>
    <row r="1567" spans="1:7" x14ac:dyDescent="0.3">
      <c r="A1567">
        <v>2025</v>
      </c>
      <c r="B1567" t="s">
        <v>19</v>
      </c>
      <c r="C1567" t="s">
        <v>16</v>
      </c>
      <c r="D1567" t="s">
        <v>13</v>
      </c>
      <c r="E1567">
        <v>10.07</v>
      </c>
      <c r="F1567">
        <v>174.8</v>
      </c>
      <c r="G1567">
        <v>4.87</v>
      </c>
    </row>
    <row r="1568" spans="1:7" x14ac:dyDescent="0.3">
      <c r="A1568">
        <v>2025</v>
      </c>
      <c r="B1568" t="s">
        <v>19</v>
      </c>
      <c r="C1568" t="s">
        <v>16</v>
      </c>
      <c r="D1568" t="s">
        <v>14</v>
      </c>
      <c r="E1568">
        <v>6.84</v>
      </c>
      <c r="F1568">
        <v>176.8</v>
      </c>
      <c r="G1568">
        <v>4.95</v>
      </c>
    </row>
    <row r="1569" spans="1:7" x14ac:dyDescent="0.3">
      <c r="A1569">
        <v>2025</v>
      </c>
      <c r="B1569" t="s">
        <v>19</v>
      </c>
      <c r="C1569" t="s">
        <v>16</v>
      </c>
      <c r="D1569" t="s">
        <v>15</v>
      </c>
      <c r="E1569">
        <v>28.32</v>
      </c>
      <c r="F1569">
        <v>178.8</v>
      </c>
      <c r="G1569">
        <v>5.03</v>
      </c>
    </row>
    <row r="1570" spans="1:7" x14ac:dyDescent="0.3">
      <c r="A1570">
        <v>2025</v>
      </c>
      <c r="B1570" t="s">
        <v>19</v>
      </c>
      <c r="C1570" t="s">
        <v>17</v>
      </c>
      <c r="D1570" t="s">
        <v>9</v>
      </c>
      <c r="E1570">
        <v>100</v>
      </c>
      <c r="F1570">
        <v>167.4</v>
      </c>
      <c r="G1570">
        <v>4.55</v>
      </c>
    </row>
    <row r="1571" spans="1:7" x14ac:dyDescent="0.3">
      <c r="A1571">
        <v>2025</v>
      </c>
      <c r="B1571" t="s">
        <v>19</v>
      </c>
      <c r="C1571" t="s">
        <v>17</v>
      </c>
      <c r="D1571" t="s">
        <v>10</v>
      </c>
      <c r="E1571">
        <v>45.86</v>
      </c>
      <c r="F1571">
        <v>169.4</v>
      </c>
      <c r="G1571">
        <v>4.63</v>
      </c>
    </row>
    <row r="1572" spans="1:7" x14ac:dyDescent="0.3">
      <c r="A1572">
        <v>2025</v>
      </c>
      <c r="B1572" t="s">
        <v>19</v>
      </c>
      <c r="C1572" t="s">
        <v>17</v>
      </c>
      <c r="D1572" t="s">
        <v>11</v>
      </c>
      <c r="E1572">
        <v>2.38</v>
      </c>
      <c r="F1572">
        <v>171.4</v>
      </c>
      <c r="G1572">
        <v>4.71</v>
      </c>
    </row>
    <row r="1573" spans="1:7" x14ac:dyDescent="0.3">
      <c r="A1573">
        <v>2025</v>
      </c>
      <c r="B1573" t="s">
        <v>19</v>
      </c>
      <c r="C1573" t="s">
        <v>17</v>
      </c>
      <c r="D1573" t="s">
        <v>12</v>
      </c>
      <c r="E1573">
        <v>6.53</v>
      </c>
      <c r="F1573">
        <v>173.4</v>
      </c>
      <c r="G1573">
        <v>4.79</v>
      </c>
    </row>
    <row r="1574" spans="1:7" x14ac:dyDescent="0.3">
      <c r="A1574">
        <v>2025</v>
      </c>
      <c r="B1574" t="s">
        <v>19</v>
      </c>
      <c r="C1574" t="s">
        <v>17</v>
      </c>
      <c r="D1574" t="s">
        <v>13</v>
      </c>
      <c r="E1574">
        <v>10.07</v>
      </c>
      <c r="F1574">
        <v>175.4</v>
      </c>
      <c r="G1574">
        <v>4.87</v>
      </c>
    </row>
    <row r="1575" spans="1:7" x14ac:dyDescent="0.3">
      <c r="A1575">
        <v>2025</v>
      </c>
      <c r="B1575" t="s">
        <v>19</v>
      </c>
      <c r="C1575" t="s">
        <v>17</v>
      </c>
      <c r="D1575" t="s">
        <v>14</v>
      </c>
      <c r="E1575">
        <v>6.84</v>
      </c>
      <c r="F1575">
        <v>177.4</v>
      </c>
      <c r="G1575">
        <v>4.95</v>
      </c>
    </row>
    <row r="1576" spans="1:7" x14ac:dyDescent="0.3">
      <c r="A1576">
        <v>2025</v>
      </c>
      <c r="B1576" t="s">
        <v>19</v>
      </c>
      <c r="C1576" t="s">
        <v>17</v>
      </c>
      <c r="D1576" t="s">
        <v>15</v>
      </c>
      <c r="E1576">
        <v>28.32</v>
      </c>
      <c r="F1576">
        <v>179.4</v>
      </c>
      <c r="G1576">
        <v>5.03</v>
      </c>
    </row>
    <row r="1577" spans="1:7" x14ac:dyDescent="0.3">
      <c r="A1577">
        <v>2025</v>
      </c>
      <c r="B1577" t="s">
        <v>20</v>
      </c>
      <c r="C1577" t="s">
        <v>8</v>
      </c>
      <c r="D1577" t="s">
        <v>9</v>
      </c>
      <c r="E1577">
        <v>100</v>
      </c>
      <c r="F1577">
        <v>166.6</v>
      </c>
      <c r="G1577">
        <v>4.7</v>
      </c>
    </row>
    <row r="1578" spans="1:7" x14ac:dyDescent="0.3">
      <c r="A1578">
        <v>2025</v>
      </c>
      <c r="B1578" t="s">
        <v>20</v>
      </c>
      <c r="C1578" t="s">
        <v>8</v>
      </c>
      <c r="D1578" t="s">
        <v>10</v>
      </c>
      <c r="E1578">
        <v>45.86</v>
      </c>
      <c r="F1578">
        <v>168.6</v>
      </c>
      <c r="G1578">
        <v>4.78</v>
      </c>
    </row>
    <row r="1579" spans="1:7" x14ac:dyDescent="0.3">
      <c r="A1579">
        <v>2025</v>
      </c>
      <c r="B1579" t="s">
        <v>20</v>
      </c>
      <c r="C1579" t="s">
        <v>8</v>
      </c>
      <c r="D1579" t="s">
        <v>11</v>
      </c>
      <c r="E1579">
        <v>2.38</v>
      </c>
      <c r="F1579">
        <v>170.6</v>
      </c>
      <c r="G1579">
        <v>4.8600000000000003</v>
      </c>
    </row>
    <row r="1580" spans="1:7" x14ac:dyDescent="0.3">
      <c r="A1580">
        <v>2025</v>
      </c>
      <c r="B1580" t="s">
        <v>20</v>
      </c>
      <c r="C1580" t="s">
        <v>8</v>
      </c>
      <c r="D1580" t="s">
        <v>12</v>
      </c>
      <c r="E1580">
        <v>6.53</v>
      </c>
      <c r="F1580">
        <v>172.6</v>
      </c>
      <c r="G1580">
        <v>4.9400000000000004</v>
      </c>
    </row>
    <row r="1581" spans="1:7" x14ac:dyDescent="0.3">
      <c r="A1581">
        <v>2025</v>
      </c>
      <c r="B1581" t="s">
        <v>20</v>
      </c>
      <c r="C1581" t="s">
        <v>8</v>
      </c>
      <c r="D1581" t="s">
        <v>13</v>
      </c>
      <c r="E1581">
        <v>10.07</v>
      </c>
      <c r="F1581">
        <v>174.6</v>
      </c>
      <c r="G1581">
        <v>5.0199999999999996</v>
      </c>
    </row>
    <row r="1582" spans="1:7" x14ac:dyDescent="0.3">
      <c r="A1582">
        <v>2025</v>
      </c>
      <c r="B1582" t="s">
        <v>20</v>
      </c>
      <c r="C1582" t="s">
        <v>8</v>
      </c>
      <c r="D1582" t="s">
        <v>14</v>
      </c>
      <c r="E1582">
        <v>6.84</v>
      </c>
      <c r="F1582">
        <v>176.6</v>
      </c>
      <c r="G1582">
        <v>5.0999999999999996</v>
      </c>
    </row>
    <row r="1583" spans="1:7" x14ac:dyDescent="0.3">
      <c r="A1583">
        <v>2025</v>
      </c>
      <c r="B1583" t="s">
        <v>20</v>
      </c>
      <c r="C1583" t="s">
        <v>8</v>
      </c>
      <c r="D1583" t="s">
        <v>15</v>
      </c>
      <c r="E1583">
        <v>28.32</v>
      </c>
      <c r="F1583">
        <v>178.6</v>
      </c>
      <c r="G1583">
        <v>5.18</v>
      </c>
    </row>
    <row r="1584" spans="1:7" x14ac:dyDescent="0.3">
      <c r="A1584">
        <v>2025</v>
      </c>
      <c r="B1584" t="s">
        <v>20</v>
      </c>
      <c r="C1584" t="s">
        <v>16</v>
      </c>
      <c r="D1584" t="s">
        <v>9</v>
      </c>
      <c r="E1584">
        <v>100</v>
      </c>
      <c r="F1584">
        <v>167.2</v>
      </c>
      <c r="G1584">
        <v>4.7</v>
      </c>
    </row>
    <row r="1585" spans="1:7" x14ac:dyDescent="0.3">
      <c r="A1585">
        <v>2025</v>
      </c>
      <c r="B1585" t="s">
        <v>20</v>
      </c>
      <c r="C1585" t="s">
        <v>16</v>
      </c>
      <c r="D1585" t="s">
        <v>10</v>
      </c>
      <c r="E1585">
        <v>45.86</v>
      </c>
      <c r="F1585">
        <v>169.2</v>
      </c>
      <c r="G1585">
        <v>4.78</v>
      </c>
    </row>
    <row r="1586" spans="1:7" x14ac:dyDescent="0.3">
      <c r="A1586">
        <v>2025</v>
      </c>
      <c r="B1586" t="s">
        <v>20</v>
      </c>
      <c r="C1586" t="s">
        <v>16</v>
      </c>
      <c r="D1586" t="s">
        <v>11</v>
      </c>
      <c r="E1586">
        <v>2.38</v>
      </c>
      <c r="F1586">
        <v>171.2</v>
      </c>
      <c r="G1586">
        <v>4.8600000000000003</v>
      </c>
    </row>
    <row r="1587" spans="1:7" x14ac:dyDescent="0.3">
      <c r="A1587">
        <v>2025</v>
      </c>
      <c r="B1587" t="s">
        <v>20</v>
      </c>
      <c r="C1587" t="s">
        <v>16</v>
      </c>
      <c r="D1587" t="s">
        <v>12</v>
      </c>
      <c r="E1587">
        <v>6.53</v>
      </c>
      <c r="F1587">
        <v>173.2</v>
      </c>
      <c r="G1587">
        <v>4.9400000000000004</v>
      </c>
    </row>
    <row r="1588" spans="1:7" x14ac:dyDescent="0.3">
      <c r="A1588">
        <v>2025</v>
      </c>
      <c r="B1588" t="s">
        <v>20</v>
      </c>
      <c r="C1588" t="s">
        <v>16</v>
      </c>
      <c r="D1588" t="s">
        <v>13</v>
      </c>
      <c r="E1588">
        <v>10.07</v>
      </c>
      <c r="F1588">
        <v>175.2</v>
      </c>
      <c r="G1588">
        <v>5.0199999999999996</v>
      </c>
    </row>
    <row r="1589" spans="1:7" x14ac:dyDescent="0.3">
      <c r="A1589">
        <v>2025</v>
      </c>
      <c r="B1589" t="s">
        <v>20</v>
      </c>
      <c r="C1589" t="s">
        <v>16</v>
      </c>
      <c r="D1589" t="s">
        <v>14</v>
      </c>
      <c r="E1589">
        <v>6.84</v>
      </c>
      <c r="F1589">
        <v>177.2</v>
      </c>
      <c r="G1589">
        <v>5.0999999999999996</v>
      </c>
    </row>
    <row r="1590" spans="1:7" x14ac:dyDescent="0.3">
      <c r="A1590">
        <v>2025</v>
      </c>
      <c r="B1590" t="s">
        <v>20</v>
      </c>
      <c r="C1590" t="s">
        <v>16</v>
      </c>
      <c r="D1590" t="s">
        <v>15</v>
      </c>
      <c r="E1590">
        <v>28.32</v>
      </c>
      <c r="F1590">
        <v>179.2</v>
      </c>
      <c r="G1590">
        <v>5.18</v>
      </c>
    </row>
    <row r="1591" spans="1:7" x14ac:dyDescent="0.3">
      <c r="A1591">
        <v>2025</v>
      </c>
      <c r="B1591" t="s">
        <v>20</v>
      </c>
      <c r="C1591" t="s">
        <v>17</v>
      </c>
      <c r="D1591" t="s">
        <v>9</v>
      </c>
      <c r="E1591">
        <v>100</v>
      </c>
      <c r="F1591">
        <v>167.8</v>
      </c>
      <c r="G1591">
        <v>4.7</v>
      </c>
    </row>
    <row r="1592" spans="1:7" x14ac:dyDescent="0.3">
      <c r="A1592">
        <v>2025</v>
      </c>
      <c r="B1592" t="s">
        <v>20</v>
      </c>
      <c r="C1592" t="s">
        <v>17</v>
      </c>
      <c r="D1592" t="s">
        <v>10</v>
      </c>
      <c r="E1592">
        <v>45.86</v>
      </c>
      <c r="F1592">
        <v>169.8</v>
      </c>
      <c r="G1592">
        <v>4.78</v>
      </c>
    </row>
    <row r="1593" spans="1:7" x14ac:dyDescent="0.3">
      <c r="A1593">
        <v>2025</v>
      </c>
      <c r="B1593" t="s">
        <v>20</v>
      </c>
      <c r="C1593" t="s">
        <v>17</v>
      </c>
      <c r="D1593" t="s">
        <v>11</v>
      </c>
      <c r="E1593">
        <v>2.38</v>
      </c>
      <c r="F1593">
        <v>171.8</v>
      </c>
      <c r="G1593">
        <v>4.8600000000000003</v>
      </c>
    </row>
    <row r="1594" spans="1:7" x14ac:dyDescent="0.3">
      <c r="A1594">
        <v>2025</v>
      </c>
      <c r="B1594" t="s">
        <v>20</v>
      </c>
      <c r="C1594" t="s">
        <v>17</v>
      </c>
      <c r="D1594" t="s">
        <v>12</v>
      </c>
      <c r="E1594">
        <v>6.53</v>
      </c>
      <c r="F1594">
        <v>173.8</v>
      </c>
      <c r="G1594">
        <v>4.9400000000000004</v>
      </c>
    </row>
    <row r="1595" spans="1:7" x14ac:dyDescent="0.3">
      <c r="A1595">
        <v>2025</v>
      </c>
      <c r="B1595" t="s">
        <v>20</v>
      </c>
      <c r="C1595" t="s">
        <v>17</v>
      </c>
      <c r="D1595" t="s">
        <v>13</v>
      </c>
      <c r="E1595">
        <v>10.07</v>
      </c>
      <c r="F1595">
        <v>175.8</v>
      </c>
      <c r="G1595">
        <v>5.0199999999999996</v>
      </c>
    </row>
    <row r="1596" spans="1:7" x14ac:dyDescent="0.3">
      <c r="A1596">
        <v>2025</v>
      </c>
      <c r="B1596" t="s">
        <v>20</v>
      </c>
      <c r="C1596" t="s">
        <v>17</v>
      </c>
      <c r="D1596" t="s">
        <v>14</v>
      </c>
      <c r="E1596">
        <v>6.84</v>
      </c>
      <c r="F1596">
        <v>177.8</v>
      </c>
      <c r="G1596">
        <v>5.0999999999999996</v>
      </c>
    </row>
    <row r="1597" spans="1:7" x14ac:dyDescent="0.3">
      <c r="A1597">
        <v>2025</v>
      </c>
      <c r="B1597" t="s">
        <v>20</v>
      </c>
      <c r="C1597" t="s">
        <v>17</v>
      </c>
      <c r="D1597" t="s">
        <v>15</v>
      </c>
      <c r="E1597">
        <v>28.32</v>
      </c>
      <c r="F1597">
        <v>179.8</v>
      </c>
      <c r="G1597">
        <v>5.18</v>
      </c>
    </row>
    <row r="1598" spans="1:7" x14ac:dyDescent="0.3">
      <c r="A1598">
        <v>2025</v>
      </c>
      <c r="B1598" t="s">
        <v>21</v>
      </c>
      <c r="C1598" t="s">
        <v>8</v>
      </c>
      <c r="D1598" t="s">
        <v>9</v>
      </c>
      <c r="E1598">
        <v>100</v>
      </c>
      <c r="F1598">
        <v>167</v>
      </c>
      <c r="G1598">
        <v>4.8499999999999996</v>
      </c>
    </row>
    <row r="1599" spans="1:7" x14ac:dyDescent="0.3">
      <c r="A1599">
        <v>2025</v>
      </c>
      <c r="B1599" t="s">
        <v>21</v>
      </c>
      <c r="C1599" t="s">
        <v>8</v>
      </c>
      <c r="D1599" t="s">
        <v>10</v>
      </c>
      <c r="E1599">
        <v>45.86</v>
      </c>
      <c r="F1599">
        <v>169</v>
      </c>
      <c r="G1599">
        <v>4.93</v>
      </c>
    </row>
    <row r="1600" spans="1:7" x14ac:dyDescent="0.3">
      <c r="A1600">
        <v>2025</v>
      </c>
      <c r="B1600" t="s">
        <v>21</v>
      </c>
      <c r="C1600" t="s">
        <v>8</v>
      </c>
      <c r="D1600" t="s">
        <v>11</v>
      </c>
      <c r="E1600">
        <v>2.38</v>
      </c>
      <c r="F1600">
        <v>171</v>
      </c>
      <c r="G1600">
        <v>5.01</v>
      </c>
    </row>
    <row r="1601" spans="1:7" x14ac:dyDescent="0.3">
      <c r="A1601">
        <v>2025</v>
      </c>
      <c r="B1601" t="s">
        <v>21</v>
      </c>
      <c r="C1601" t="s">
        <v>8</v>
      </c>
      <c r="D1601" t="s">
        <v>12</v>
      </c>
      <c r="E1601">
        <v>6.53</v>
      </c>
      <c r="F1601">
        <v>173</v>
      </c>
      <c r="G1601">
        <v>5.09</v>
      </c>
    </row>
    <row r="1602" spans="1:7" x14ac:dyDescent="0.3">
      <c r="A1602">
        <v>2025</v>
      </c>
      <c r="B1602" t="s">
        <v>21</v>
      </c>
      <c r="C1602" t="s">
        <v>8</v>
      </c>
      <c r="D1602" t="s">
        <v>13</v>
      </c>
      <c r="E1602">
        <v>10.07</v>
      </c>
      <c r="F1602">
        <v>175</v>
      </c>
      <c r="G1602">
        <v>5.17</v>
      </c>
    </row>
    <row r="1603" spans="1:7" x14ac:dyDescent="0.3">
      <c r="A1603">
        <v>2025</v>
      </c>
      <c r="B1603" t="s">
        <v>21</v>
      </c>
      <c r="C1603" t="s">
        <v>8</v>
      </c>
      <c r="D1603" t="s">
        <v>14</v>
      </c>
      <c r="E1603">
        <v>6.84</v>
      </c>
      <c r="F1603">
        <v>177</v>
      </c>
      <c r="G1603">
        <v>5.25</v>
      </c>
    </row>
    <row r="1604" spans="1:7" x14ac:dyDescent="0.3">
      <c r="A1604">
        <v>2025</v>
      </c>
      <c r="B1604" t="s">
        <v>21</v>
      </c>
      <c r="C1604" t="s">
        <v>8</v>
      </c>
      <c r="D1604" t="s">
        <v>15</v>
      </c>
      <c r="E1604">
        <v>28.32</v>
      </c>
      <c r="F1604">
        <v>179</v>
      </c>
      <c r="G1604">
        <v>5.33</v>
      </c>
    </row>
    <row r="1605" spans="1:7" x14ac:dyDescent="0.3">
      <c r="A1605">
        <v>2025</v>
      </c>
      <c r="B1605" t="s">
        <v>21</v>
      </c>
      <c r="C1605" t="s">
        <v>16</v>
      </c>
      <c r="D1605" t="s">
        <v>9</v>
      </c>
      <c r="E1605">
        <v>100</v>
      </c>
      <c r="F1605">
        <v>167.6</v>
      </c>
      <c r="G1605">
        <v>4.8499999999999996</v>
      </c>
    </row>
    <row r="1606" spans="1:7" x14ac:dyDescent="0.3">
      <c r="A1606">
        <v>2025</v>
      </c>
      <c r="B1606" t="s">
        <v>21</v>
      </c>
      <c r="C1606" t="s">
        <v>16</v>
      </c>
      <c r="D1606" t="s">
        <v>10</v>
      </c>
      <c r="E1606">
        <v>45.86</v>
      </c>
      <c r="F1606">
        <v>169.6</v>
      </c>
      <c r="G1606">
        <v>4.93</v>
      </c>
    </row>
    <row r="1607" spans="1:7" x14ac:dyDescent="0.3">
      <c r="A1607">
        <v>2025</v>
      </c>
      <c r="B1607" t="s">
        <v>21</v>
      </c>
      <c r="C1607" t="s">
        <v>16</v>
      </c>
      <c r="D1607" t="s">
        <v>11</v>
      </c>
      <c r="E1607">
        <v>2.38</v>
      </c>
      <c r="F1607">
        <v>171.6</v>
      </c>
      <c r="G1607">
        <v>5.01</v>
      </c>
    </row>
    <row r="1608" spans="1:7" x14ac:dyDescent="0.3">
      <c r="A1608">
        <v>2025</v>
      </c>
      <c r="B1608" t="s">
        <v>21</v>
      </c>
      <c r="C1608" t="s">
        <v>16</v>
      </c>
      <c r="D1608" t="s">
        <v>12</v>
      </c>
      <c r="E1608">
        <v>6.53</v>
      </c>
      <c r="F1608">
        <v>173.6</v>
      </c>
      <c r="G1608">
        <v>5.09</v>
      </c>
    </row>
    <row r="1609" spans="1:7" x14ac:dyDescent="0.3">
      <c r="A1609">
        <v>2025</v>
      </c>
      <c r="B1609" t="s">
        <v>21</v>
      </c>
      <c r="C1609" t="s">
        <v>16</v>
      </c>
      <c r="D1609" t="s">
        <v>13</v>
      </c>
      <c r="E1609">
        <v>10.07</v>
      </c>
      <c r="F1609">
        <v>175.6</v>
      </c>
      <c r="G1609">
        <v>5.17</v>
      </c>
    </row>
    <row r="1610" spans="1:7" x14ac:dyDescent="0.3">
      <c r="A1610">
        <v>2025</v>
      </c>
      <c r="B1610" t="s">
        <v>21</v>
      </c>
      <c r="C1610" t="s">
        <v>16</v>
      </c>
      <c r="D1610" t="s">
        <v>14</v>
      </c>
      <c r="E1610">
        <v>6.84</v>
      </c>
      <c r="F1610">
        <v>177.6</v>
      </c>
      <c r="G1610">
        <v>5.25</v>
      </c>
    </row>
    <row r="1611" spans="1:7" x14ac:dyDescent="0.3">
      <c r="A1611">
        <v>2025</v>
      </c>
      <c r="B1611" t="s">
        <v>21</v>
      </c>
      <c r="C1611" t="s">
        <v>16</v>
      </c>
      <c r="D1611" t="s">
        <v>15</v>
      </c>
      <c r="E1611">
        <v>28.32</v>
      </c>
      <c r="F1611">
        <v>179.6</v>
      </c>
      <c r="G1611">
        <v>5.33</v>
      </c>
    </row>
    <row r="1612" spans="1:7" x14ac:dyDescent="0.3">
      <c r="A1612">
        <v>2025</v>
      </c>
      <c r="B1612" t="s">
        <v>21</v>
      </c>
      <c r="C1612" t="s">
        <v>17</v>
      </c>
      <c r="D1612" t="s">
        <v>9</v>
      </c>
      <c r="E1612">
        <v>100</v>
      </c>
      <c r="F1612">
        <v>168.2</v>
      </c>
      <c r="G1612">
        <v>4.8499999999999996</v>
      </c>
    </row>
    <row r="1613" spans="1:7" x14ac:dyDescent="0.3">
      <c r="A1613">
        <v>2025</v>
      </c>
      <c r="B1613" t="s">
        <v>21</v>
      </c>
      <c r="C1613" t="s">
        <v>17</v>
      </c>
      <c r="D1613" t="s">
        <v>10</v>
      </c>
      <c r="E1613">
        <v>45.86</v>
      </c>
      <c r="F1613">
        <v>170.2</v>
      </c>
      <c r="G1613">
        <v>4.93</v>
      </c>
    </row>
    <row r="1614" spans="1:7" x14ac:dyDescent="0.3">
      <c r="A1614">
        <v>2025</v>
      </c>
      <c r="B1614" t="s">
        <v>21</v>
      </c>
      <c r="C1614" t="s">
        <v>17</v>
      </c>
      <c r="D1614" t="s">
        <v>11</v>
      </c>
      <c r="E1614">
        <v>2.38</v>
      </c>
      <c r="F1614">
        <v>172.2</v>
      </c>
      <c r="G1614">
        <v>5.01</v>
      </c>
    </row>
    <row r="1615" spans="1:7" x14ac:dyDescent="0.3">
      <c r="A1615">
        <v>2025</v>
      </c>
      <c r="B1615" t="s">
        <v>21</v>
      </c>
      <c r="C1615" t="s">
        <v>17</v>
      </c>
      <c r="D1615" t="s">
        <v>12</v>
      </c>
      <c r="E1615">
        <v>6.53</v>
      </c>
      <c r="F1615">
        <v>174.2</v>
      </c>
      <c r="G1615">
        <v>5.09</v>
      </c>
    </row>
    <row r="1616" spans="1:7" x14ac:dyDescent="0.3">
      <c r="A1616">
        <v>2025</v>
      </c>
      <c r="B1616" t="s">
        <v>21</v>
      </c>
      <c r="C1616" t="s">
        <v>17</v>
      </c>
      <c r="D1616" t="s">
        <v>13</v>
      </c>
      <c r="E1616">
        <v>10.07</v>
      </c>
      <c r="F1616">
        <v>176.2</v>
      </c>
      <c r="G1616">
        <v>5.17</v>
      </c>
    </row>
    <row r="1617" spans="1:7" x14ac:dyDescent="0.3">
      <c r="A1617">
        <v>2025</v>
      </c>
      <c r="B1617" t="s">
        <v>21</v>
      </c>
      <c r="C1617" t="s">
        <v>17</v>
      </c>
      <c r="D1617" t="s">
        <v>14</v>
      </c>
      <c r="E1617">
        <v>6.84</v>
      </c>
      <c r="F1617">
        <v>178.2</v>
      </c>
      <c r="G1617">
        <v>5.25</v>
      </c>
    </row>
    <row r="1618" spans="1:7" x14ac:dyDescent="0.3">
      <c r="A1618">
        <v>2025</v>
      </c>
      <c r="B1618" t="s">
        <v>21</v>
      </c>
      <c r="C1618" t="s">
        <v>17</v>
      </c>
      <c r="D1618" t="s">
        <v>15</v>
      </c>
      <c r="E1618">
        <v>28.32</v>
      </c>
      <c r="F1618">
        <v>180.2</v>
      </c>
      <c r="G1618">
        <v>5.33</v>
      </c>
    </row>
    <row r="1619" spans="1:7" x14ac:dyDescent="0.3">
      <c r="A1619">
        <v>2025</v>
      </c>
      <c r="B1619" t="s">
        <v>22</v>
      </c>
      <c r="C1619" t="s">
        <v>8</v>
      </c>
      <c r="D1619" t="s">
        <v>9</v>
      </c>
      <c r="E1619">
        <v>100</v>
      </c>
      <c r="F1619">
        <v>167.4</v>
      </c>
      <c r="G1619">
        <v>4.0999999999999996</v>
      </c>
    </row>
    <row r="1620" spans="1:7" x14ac:dyDescent="0.3">
      <c r="A1620">
        <v>2025</v>
      </c>
      <c r="B1620" t="s">
        <v>22</v>
      </c>
      <c r="C1620" t="s">
        <v>8</v>
      </c>
      <c r="D1620" t="s">
        <v>10</v>
      </c>
      <c r="E1620">
        <v>45.86</v>
      </c>
      <c r="F1620">
        <v>169.4</v>
      </c>
      <c r="G1620">
        <v>4.18</v>
      </c>
    </row>
    <row r="1621" spans="1:7" x14ac:dyDescent="0.3">
      <c r="A1621">
        <v>2025</v>
      </c>
      <c r="B1621" t="s">
        <v>22</v>
      </c>
      <c r="C1621" t="s">
        <v>8</v>
      </c>
      <c r="D1621" t="s">
        <v>11</v>
      </c>
      <c r="E1621">
        <v>2.38</v>
      </c>
      <c r="F1621">
        <v>171.4</v>
      </c>
      <c r="G1621">
        <v>4.26</v>
      </c>
    </row>
    <row r="1622" spans="1:7" x14ac:dyDescent="0.3">
      <c r="A1622">
        <v>2025</v>
      </c>
      <c r="B1622" t="s">
        <v>22</v>
      </c>
      <c r="C1622" t="s">
        <v>8</v>
      </c>
      <c r="D1622" t="s">
        <v>12</v>
      </c>
      <c r="E1622">
        <v>6.53</v>
      </c>
      <c r="F1622">
        <v>173.4</v>
      </c>
      <c r="G1622">
        <v>4.34</v>
      </c>
    </row>
    <row r="1623" spans="1:7" x14ac:dyDescent="0.3">
      <c r="A1623">
        <v>2025</v>
      </c>
      <c r="B1623" t="s">
        <v>22</v>
      </c>
      <c r="C1623" t="s">
        <v>8</v>
      </c>
      <c r="D1623" t="s">
        <v>13</v>
      </c>
      <c r="E1623">
        <v>10.07</v>
      </c>
      <c r="F1623">
        <v>175.4</v>
      </c>
      <c r="G1623">
        <v>4.42</v>
      </c>
    </row>
    <row r="1624" spans="1:7" x14ac:dyDescent="0.3">
      <c r="A1624">
        <v>2025</v>
      </c>
      <c r="B1624" t="s">
        <v>22</v>
      </c>
      <c r="C1624" t="s">
        <v>8</v>
      </c>
      <c r="D1624" t="s">
        <v>14</v>
      </c>
      <c r="E1624">
        <v>6.84</v>
      </c>
      <c r="F1624">
        <v>177.4</v>
      </c>
      <c r="G1624">
        <v>4.5</v>
      </c>
    </row>
    <row r="1625" spans="1:7" x14ac:dyDescent="0.3">
      <c r="A1625">
        <v>2025</v>
      </c>
      <c r="B1625" t="s">
        <v>22</v>
      </c>
      <c r="C1625" t="s">
        <v>8</v>
      </c>
      <c r="D1625" t="s">
        <v>15</v>
      </c>
      <c r="E1625">
        <v>28.32</v>
      </c>
      <c r="F1625">
        <v>179.4</v>
      </c>
      <c r="G1625">
        <v>4.58</v>
      </c>
    </row>
    <row r="1626" spans="1:7" x14ac:dyDescent="0.3">
      <c r="A1626">
        <v>2025</v>
      </c>
      <c r="B1626" t="s">
        <v>22</v>
      </c>
      <c r="C1626" t="s">
        <v>16</v>
      </c>
      <c r="D1626" t="s">
        <v>9</v>
      </c>
      <c r="E1626">
        <v>100</v>
      </c>
      <c r="F1626">
        <v>168</v>
      </c>
      <c r="G1626">
        <v>4.0999999999999996</v>
      </c>
    </row>
    <row r="1627" spans="1:7" x14ac:dyDescent="0.3">
      <c r="A1627">
        <v>2025</v>
      </c>
      <c r="B1627" t="s">
        <v>22</v>
      </c>
      <c r="C1627" t="s">
        <v>16</v>
      </c>
      <c r="D1627" t="s">
        <v>10</v>
      </c>
      <c r="E1627">
        <v>45.86</v>
      </c>
      <c r="F1627">
        <v>170</v>
      </c>
      <c r="G1627">
        <v>4.18</v>
      </c>
    </row>
    <row r="1628" spans="1:7" x14ac:dyDescent="0.3">
      <c r="A1628">
        <v>2025</v>
      </c>
      <c r="B1628" t="s">
        <v>22</v>
      </c>
      <c r="C1628" t="s">
        <v>16</v>
      </c>
      <c r="D1628" t="s">
        <v>11</v>
      </c>
      <c r="E1628">
        <v>2.38</v>
      </c>
      <c r="F1628">
        <v>172</v>
      </c>
      <c r="G1628">
        <v>4.26</v>
      </c>
    </row>
    <row r="1629" spans="1:7" x14ac:dyDescent="0.3">
      <c r="A1629">
        <v>2025</v>
      </c>
      <c r="B1629" t="s">
        <v>22</v>
      </c>
      <c r="C1629" t="s">
        <v>16</v>
      </c>
      <c r="D1629" t="s">
        <v>12</v>
      </c>
      <c r="E1629">
        <v>6.53</v>
      </c>
      <c r="F1629">
        <v>174</v>
      </c>
      <c r="G1629">
        <v>4.34</v>
      </c>
    </row>
    <row r="1630" spans="1:7" x14ac:dyDescent="0.3">
      <c r="A1630">
        <v>2025</v>
      </c>
      <c r="B1630" t="s">
        <v>22</v>
      </c>
      <c r="C1630" t="s">
        <v>16</v>
      </c>
      <c r="D1630" t="s">
        <v>13</v>
      </c>
      <c r="E1630">
        <v>10.07</v>
      </c>
      <c r="F1630">
        <v>176</v>
      </c>
      <c r="G1630">
        <v>4.42</v>
      </c>
    </row>
    <row r="1631" spans="1:7" x14ac:dyDescent="0.3">
      <c r="A1631">
        <v>2025</v>
      </c>
      <c r="B1631" t="s">
        <v>22</v>
      </c>
      <c r="C1631" t="s">
        <v>16</v>
      </c>
      <c r="D1631" t="s">
        <v>14</v>
      </c>
      <c r="E1631">
        <v>6.84</v>
      </c>
      <c r="F1631">
        <v>178</v>
      </c>
      <c r="G1631">
        <v>4.5</v>
      </c>
    </row>
    <row r="1632" spans="1:7" x14ac:dyDescent="0.3">
      <c r="A1632">
        <v>2025</v>
      </c>
      <c r="B1632" t="s">
        <v>22</v>
      </c>
      <c r="C1632" t="s">
        <v>16</v>
      </c>
      <c r="D1632" t="s">
        <v>15</v>
      </c>
      <c r="E1632">
        <v>28.32</v>
      </c>
      <c r="F1632">
        <v>180</v>
      </c>
      <c r="G1632">
        <v>4.58</v>
      </c>
    </row>
    <row r="1633" spans="1:7" x14ac:dyDescent="0.3">
      <c r="A1633">
        <v>2025</v>
      </c>
      <c r="B1633" t="s">
        <v>22</v>
      </c>
      <c r="C1633" t="s">
        <v>17</v>
      </c>
      <c r="D1633" t="s">
        <v>9</v>
      </c>
      <c r="E1633">
        <v>100</v>
      </c>
      <c r="F1633">
        <v>168.6</v>
      </c>
      <c r="G1633">
        <v>4.0999999999999996</v>
      </c>
    </row>
    <row r="1634" spans="1:7" x14ac:dyDescent="0.3">
      <c r="A1634">
        <v>2025</v>
      </c>
      <c r="B1634" t="s">
        <v>22</v>
      </c>
      <c r="C1634" t="s">
        <v>17</v>
      </c>
      <c r="D1634" t="s">
        <v>10</v>
      </c>
      <c r="E1634">
        <v>45.86</v>
      </c>
      <c r="F1634">
        <v>170.6</v>
      </c>
      <c r="G1634">
        <v>4.18</v>
      </c>
    </row>
    <row r="1635" spans="1:7" x14ac:dyDescent="0.3">
      <c r="A1635">
        <v>2025</v>
      </c>
      <c r="B1635" t="s">
        <v>22</v>
      </c>
      <c r="C1635" t="s">
        <v>17</v>
      </c>
      <c r="D1635" t="s">
        <v>11</v>
      </c>
      <c r="E1635">
        <v>2.38</v>
      </c>
      <c r="F1635">
        <v>172.6</v>
      </c>
      <c r="G1635">
        <v>4.26</v>
      </c>
    </row>
    <row r="1636" spans="1:7" x14ac:dyDescent="0.3">
      <c r="A1636">
        <v>2025</v>
      </c>
      <c r="B1636" t="s">
        <v>22</v>
      </c>
      <c r="C1636" t="s">
        <v>17</v>
      </c>
      <c r="D1636" t="s">
        <v>12</v>
      </c>
      <c r="E1636">
        <v>6.53</v>
      </c>
      <c r="F1636">
        <v>174.6</v>
      </c>
      <c r="G1636">
        <v>4.34</v>
      </c>
    </row>
    <row r="1637" spans="1:7" x14ac:dyDescent="0.3">
      <c r="A1637">
        <v>2025</v>
      </c>
      <c r="B1637" t="s">
        <v>22</v>
      </c>
      <c r="C1637" t="s">
        <v>17</v>
      </c>
      <c r="D1637" t="s">
        <v>13</v>
      </c>
      <c r="E1637">
        <v>10.07</v>
      </c>
      <c r="F1637">
        <v>176.6</v>
      </c>
      <c r="G1637">
        <v>4.42</v>
      </c>
    </row>
    <row r="1638" spans="1:7" x14ac:dyDescent="0.3">
      <c r="A1638">
        <v>2025</v>
      </c>
      <c r="B1638" t="s">
        <v>22</v>
      </c>
      <c r="C1638" t="s">
        <v>17</v>
      </c>
      <c r="D1638" t="s">
        <v>14</v>
      </c>
      <c r="E1638">
        <v>6.84</v>
      </c>
      <c r="F1638">
        <v>178.6</v>
      </c>
      <c r="G1638">
        <v>4.5</v>
      </c>
    </row>
    <row r="1639" spans="1:7" x14ac:dyDescent="0.3">
      <c r="A1639">
        <v>2025</v>
      </c>
      <c r="B1639" t="s">
        <v>22</v>
      </c>
      <c r="C1639" t="s">
        <v>17</v>
      </c>
      <c r="D1639" t="s">
        <v>15</v>
      </c>
      <c r="E1639">
        <v>28.32</v>
      </c>
      <c r="F1639">
        <v>180.6</v>
      </c>
      <c r="G1639">
        <v>4.58</v>
      </c>
    </row>
    <row r="1640" spans="1:7" x14ac:dyDescent="0.3">
      <c r="A1640">
        <v>2025</v>
      </c>
      <c r="B1640" t="s">
        <v>23</v>
      </c>
      <c r="C1640" t="s">
        <v>8</v>
      </c>
      <c r="D1640" t="s">
        <v>9</v>
      </c>
      <c r="E1640">
        <v>100</v>
      </c>
      <c r="F1640">
        <v>167.8</v>
      </c>
      <c r="G1640">
        <v>4.25</v>
      </c>
    </row>
    <row r="1641" spans="1:7" x14ac:dyDescent="0.3">
      <c r="A1641">
        <v>2025</v>
      </c>
      <c r="B1641" t="s">
        <v>23</v>
      </c>
      <c r="C1641" t="s">
        <v>8</v>
      </c>
      <c r="D1641" t="s">
        <v>10</v>
      </c>
      <c r="E1641">
        <v>45.86</v>
      </c>
      <c r="F1641">
        <v>169.8</v>
      </c>
      <c r="G1641">
        <v>4.33</v>
      </c>
    </row>
    <row r="1642" spans="1:7" x14ac:dyDescent="0.3">
      <c r="A1642">
        <v>2025</v>
      </c>
      <c r="B1642" t="s">
        <v>23</v>
      </c>
      <c r="C1642" t="s">
        <v>8</v>
      </c>
      <c r="D1642" t="s">
        <v>11</v>
      </c>
      <c r="E1642">
        <v>2.38</v>
      </c>
      <c r="F1642">
        <v>171.8</v>
      </c>
      <c r="G1642">
        <v>4.41</v>
      </c>
    </row>
    <row r="1643" spans="1:7" x14ac:dyDescent="0.3">
      <c r="A1643">
        <v>2025</v>
      </c>
      <c r="B1643" t="s">
        <v>23</v>
      </c>
      <c r="C1643" t="s">
        <v>8</v>
      </c>
      <c r="D1643" t="s">
        <v>12</v>
      </c>
      <c r="E1643">
        <v>6.53</v>
      </c>
      <c r="F1643">
        <v>173.8</v>
      </c>
      <c r="G1643">
        <v>4.49</v>
      </c>
    </row>
    <row r="1644" spans="1:7" x14ac:dyDescent="0.3">
      <c r="A1644">
        <v>2025</v>
      </c>
      <c r="B1644" t="s">
        <v>23</v>
      </c>
      <c r="C1644" t="s">
        <v>8</v>
      </c>
      <c r="D1644" t="s">
        <v>13</v>
      </c>
      <c r="E1644">
        <v>10.07</v>
      </c>
      <c r="F1644">
        <v>175.8</v>
      </c>
      <c r="G1644">
        <v>4.57</v>
      </c>
    </row>
    <row r="1645" spans="1:7" x14ac:dyDescent="0.3">
      <c r="A1645">
        <v>2025</v>
      </c>
      <c r="B1645" t="s">
        <v>23</v>
      </c>
      <c r="C1645" t="s">
        <v>8</v>
      </c>
      <c r="D1645" t="s">
        <v>14</v>
      </c>
      <c r="E1645">
        <v>6.84</v>
      </c>
      <c r="F1645">
        <v>177.8</v>
      </c>
      <c r="G1645">
        <v>4.6500000000000004</v>
      </c>
    </row>
    <row r="1646" spans="1:7" x14ac:dyDescent="0.3">
      <c r="A1646">
        <v>2025</v>
      </c>
      <c r="B1646" t="s">
        <v>23</v>
      </c>
      <c r="C1646" t="s">
        <v>8</v>
      </c>
      <c r="D1646" t="s">
        <v>15</v>
      </c>
      <c r="E1646">
        <v>28.32</v>
      </c>
      <c r="F1646">
        <v>179.8</v>
      </c>
      <c r="G1646">
        <v>4.7300000000000004</v>
      </c>
    </row>
    <row r="1647" spans="1:7" x14ac:dyDescent="0.3">
      <c r="A1647">
        <v>2025</v>
      </c>
      <c r="B1647" t="s">
        <v>23</v>
      </c>
      <c r="C1647" t="s">
        <v>16</v>
      </c>
      <c r="D1647" t="s">
        <v>9</v>
      </c>
      <c r="E1647">
        <v>100</v>
      </c>
      <c r="F1647">
        <v>168.4</v>
      </c>
      <c r="G1647">
        <v>4.25</v>
      </c>
    </row>
    <row r="1648" spans="1:7" x14ac:dyDescent="0.3">
      <c r="A1648">
        <v>2025</v>
      </c>
      <c r="B1648" t="s">
        <v>23</v>
      </c>
      <c r="C1648" t="s">
        <v>16</v>
      </c>
      <c r="D1648" t="s">
        <v>10</v>
      </c>
      <c r="E1648">
        <v>45.86</v>
      </c>
      <c r="F1648">
        <v>170.4</v>
      </c>
      <c r="G1648">
        <v>4.33</v>
      </c>
    </row>
    <row r="1649" spans="1:7" x14ac:dyDescent="0.3">
      <c r="A1649">
        <v>2025</v>
      </c>
      <c r="B1649" t="s">
        <v>23</v>
      </c>
      <c r="C1649" t="s">
        <v>16</v>
      </c>
      <c r="D1649" t="s">
        <v>11</v>
      </c>
      <c r="E1649">
        <v>2.38</v>
      </c>
      <c r="F1649">
        <v>172.4</v>
      </c>
      <c r="G1649">
        <v>4.41</v>
      </c>
    </row>
    <row r="1650" spans="1:7" x14ac:dyDescent="0.3">
      <c r="A1650">
        <v>2025</v>
      </c>
      <c r="B1650" t="s">
        <v>23</v>
      </c>
      <c r="C1650" t="s">
        <v>16</v>
      </c>
      <c r="D1650" t="s">
        <v>12</v>
      </c>
      <c r="E1650">
        <v>6.53</v>
      </c>
      <c r="F1650">
        <v>174.4</v>
      </c>
      <c r="G1650">
        <v>4.49</v>
      </c>
    </row>
    <row r="1651" spans="1:7" x14ac:dyDescent="0.3">
      <c r="A1651">
        <v>2025</v>
      </c>
      <c r="B1651" t="s">
        <v>23</v>
      </c>
      <c r="C1651" t="s">
        <v>16</v>
      </c>
      <c r="D1651" t="s">
        <v>13</v>
      </c>
      <c r="E1651">
        <v>10.07</v>
      </c>
      <c r="F1651">
        <v>176.4</v>
      </c>
      <c r="G1651">
        <v>4.57</v>
      </c>
    </row>
    <row r="1652" spans="1:7" x14ac:dyDescent="0.3">
      <c r="A1652">
        <v>2025</v>
      </c>
      <c r="B1652" t="s">
        <v>23</v>
      </c>
      <c r="C1652" t="s">
        <v>16</v>
      </c>
      <c r="D1652" t="s">
        <v>14</v>
      </c>
      <c r="E1652">
        <v>6.84</v>
      </c>
      <c r="F1652">
        <v>178.4</v>
      </c>
      <c r="G1652">
        <v>4.6500000000000004</v>
      </c>
    </row>
    <row r="1653" spans="1:7" x14ac:dyDescent="0.3">
      <c r="A1653">
        <v>2025</v>
      </c>
      <c r="B1653" t="s">
        <v>23</v>
      </c>
      <c r="C1653" t="s">
        <v>16</v>
      </c>
      <c r="D1653" t="s">
        <v>15</v>
      </c>
      <c r="E1653">
        <v>28.32</v>
      </c>
      <c r="F1653">
        <v>180.4</v>
      </c>
      <c r="G1653">
        <v>4.7300000000000004</v>
      </c>
    </row>
    <row r="1654" spans="1:7" x14ac:dyDescent="0.3">
      <c r="A1654">
        <v>2025</v>
      </c>
      <c r="B1654" t="s">
        <v>23</v>
      </c>
      <c r="C1654" t="s">
        <v>17</v>
      </c>
      <c r="D1654" t="s">
        <v>9</v>
      </c>
      <c r="E1654">
        <v>100</v>
      </c>
      <c r="F1654">
        <v>169</v>
      </c>
      <c r="G1654">
        <v>4.25</v>
      </c>
    </row>
    <row r="1655" spans="1:7" x14ac:dyDescent="0.3">
      <c r="A1655">
        <v>2025</v>
      </c>
      <c r="B1655" t="s">
        <v>23</v>
      </c>
      <c r="C1655" t="s">
        <v>17</v>
      </c>
      <c r="D1655" t="s">
        <v>10</v>
      </c>
      <c r="E1655">
        <v>45.86</v>
      </c>
      <c r="F1655">
        <v>171</v>
      </c>
      <c r="G1655">
        <v>4.33</v>
      </c>
    </row>
    <row r="1656" spans="1:7" x14ac:dyDescent="0.3">
      <c r="A1656">
        <v>2025</v>
      </c>
      <c r="B1656" t="s">
        <v>23</v>
      </c>
      <c r="C1656" t="s">
        <v>17</v>
      </c>
      <c r="D1656" t="s">
        <v>11</v>
      </c>
      <c r="E1656">
        <v>2.38</v>
      </c>
      <c r="F1656">
        <v>173</v>
      </c>
      <c r="G1656">
        <v>4.41</v>
      </c>
    </row>
    <row r="1657" spans="1:7" x14ac:dyDescent="0.3">
      <c r="A1657">
        <v>2025</v>
      </c>
      <c r="B1657" t="s">
        <v>23</v>
      </c>
      <c r="C1657" t="s">
        <v>17</v>
      </c>
      <c r="D1657" t="s">
        <v>12</v>
      </c>
      <c r="E1657">
        <v>6.53</v>
      </c>
      <c r="F1657">
        <v>175</v>
      </c>
      <c r="G1657">
        <v>4.49</v>
      </c>
    </row>
    <row r="1658" spans="1:7" x14ac:dyDescent="0.3">
      <c r="A1658">
        <v>2025</v>
      </c>
      <c r="B1658" t="s">
        <v>23</v>
      </c>
      <c r="C1658" t="s">
        <v>17</v>
      </c>
      <c r="D1658" t="s">
        <v>13</v>
      </c>
      <c r="E1658">
        <v>10.07</v>
      </c>
      <c r="F1658">
        <v>177</v>
      </c>
      <c r="G1658">
        <v>4.57</v>
      </c>
    </row>
    <row r="1659" spans="1:7" x14ac:dyDescent="0.3">
      <c r="A1659">
        <v>2025</v>
      </c>
      <c r="B1659" t="s">
        <v>23</v>
      </c>
      <c r="C1659" t="s">
        <v>17</v>
      </c>
      <c r="D1659" t="s">
        <v>14</v>
      </c>
      <c r="E1659">
        <v>6.84</v>
      </c>
      <c r="F1659">
        <v>179</v>
      </c>
      <c r="G1659">
        <v>4.6500000000000004</v>
      </c>
    </row>
    <row r="1660" spans="1:7" x14ac:dyDescent="0.3">
      <c r="A1660">
        <v>2025</v>
      </c>
      <c r="B1660" t="s">
        <v>23</v>
      </c>
      <c r="C1660" t="s">
        <v>17</v>
      </c>
      <c r="D1660" t="s">
        <v>15</v>
      </c>
      <c r="E1660">
        <v>28.32</v>
      </c>
      <c r="F1660">
        <v>181</v>
      </c>
      <c r="G1660">
        <v>4.7300000000000004</v>
      </c>
    </row>
    <row r="1661" spans="1:7" x14ac:dyDescent="0.3">
      <c r="A1661">
        <v>2025</v>
      </c>
      <c r="B1661" t="s">
        <v>24</v>
      </c>
      <c r="C1661" t="s">
        <v>8</v>
      </c>
      <c r="D1661" t="s">
        <v>9</v>
      </c>
      <c r="E1661">
        <v>100</v>
      </c>
      <c r="F1661">
        <v>168.2</v>
      </c>
      <c r="G1661">
        <v>4.4000000000000004</v>
      </c>
    </row>
    <row r="1662" spans="1:7" x14ac:dyDescent="0.3">
      <c r="A1662">
        <v>2025</v>
      </c>
      <c r="B1662" t="s">
        <v>24</v>
      </c>
      <c r="C1662" t="s">
        <v>8</v>
      </c>
      <c r="D1662" t="s">
        <v>10</v>
      </c>
      <c r="E1662">
        <v>45.86</v>
      </c>
      <c r="F1662">
        <v>170.2</v>
      </c>
      <c r="G1662">
        <v>4.4800000000000004</v>
      </c>
    </row>
    <row r="1663" spans="1:7" x14ac:dyDescent="0.3">
      <c r="A1663">
        <v>2025</v>
      </c>
      <c r="B1663" t="s">
        <v>24</v>
      </c>
      <c r="C1663" t="s">
        <v>8</v>
      </c>
      <c r="D1663" t="s">
        <v>11</v>
      </c>
      <c r="E1663">
        <v>2.38</v>
      </c>
      <c r="F1663">
        <v>172.2</v>
      </c>
      <c r="G1663">
        <v>4.5599999999999996</v>
      </c>
    </row>
    <row r="1664" spans="1:7" x14ac:dyDescent="0.3">
      <c r="A1664">
        <v>2025</v>
      </c>
      <c r="B1664" t="s">
        <v>24</v>
      </c>
      <c r="C1664" t="s">
        <v>8</v>
      </c>
      <c r="D1664" t="s">
        <v>12</v>
      </c>
      <c r="E1664">
        <v>6.53</v>
      </c>
      <c r="F1664">
        <v>174.2</v>
      </c>
      <c r="G1664">
        <v>4.6399999999999997</v>
      </c>
    </row>
    <row r="1665" spans="1:7" x14ac:dyDescent="0.3">
      <c r="A1665">
        <v>2025</v>
      </c>
      <c r="B1665" t="s">
        <v>24</v>
      </c>
      <c r="C1665" t="s">
        <v>8</v>
      </c>
      <c r="D1665" t="s">
        <v>13</v>
      </c>
      <c r="E1665">
        <v>10.07</v>
      </c>
      <c r="F1665">
        <v>176.2</v>
      </c>
      <c r="G1665">
        <v>4.72</v>
      </c>
    </row>
    <row r="1666" spans="1:7" x14ac:dyDescent="0.3">
      <c r="A1666">
        <v>2025</v>
      </c>
      <c r="B1666" t="s">
        <v>24</v>
      </c>
      <c r="C1666" t="s">
        <v>8</v>
      </c>
      <c r="D1666" t="s">
        <v>14</v>
      </c>
      <c r="E1666">
        <v>6.84</v>
      </c>
      <c r="F1666">
        <v>178.2</v>
      </c>
      <c r="G1666">
        <v>4.8</v>
      </c>
    </row>
    <row r="1667" spans="1:7" x14ac:dyDescent="0.3">
      <c r="A1667">
        <v>2025</v>
      </c>
      <c r="B1667" t="s">
        <v>24</v>
      </c>
      <c r="C1667" t="s">
        <v>8</v>
      </c>
      <c r="D1667" t="s">
        <v>15</v>
      </c>
      <c r="E1667">
        <v>28.32</v>
      </c>
      <c r="F1667">
        <v>180.2</v>
      </c>
      <c r="G1667">
        <v>4.88</v>
      </c>
    </row>
    <row r="1668" spans="1:7" x14ac:dyDescent="0.3">
      <c r="A1668">
        <v>2025</v>
      </c>
      <c r="B1668" t="s">
        <v>24</v>
      </c>
      <c r="C1668" t="s">
        <v>16</v>
      </c>
      <c r="D1668" t="s">
        <v>9</v>
      </c>
      <c r="E1668">
        <v>100</v>
      </c>
      <c r="F1668">
        <v>168.8</v>
      </c>
      <c r="G1668">
        <v>4.4000000000000004</v>
      </c>
    </row>
    <row r="1669" spans="1:7" x14ac:dyDescent="0.3">
      <c r="A1669">
        <v>2025</v>
      </c>
      <c r="B1669" t="s">
        <v>24</v>
      </c>
      <c r="C1669" t="s">
        <v>16</v>
      </c>
      <c r="D1669" t="s">
        <v>10</v>
      </c>
      <c r="E1669">
        <v>45.86</v>
      </c>
      <c r="F1669">
        <v>170.8</v>
      </c>
      <c r="G1669">
        <v>4.4800000000000004</v>
      </c>
    </row>
    <row r="1670" spans="1:7" x14ac:dyDescent="0.3">
      <c r="A1670">
        <v>2025</v>
      </c>
      <c r="B1670" t="s">
        <v>24</v>
      </c>
      <c r="C1670" t="s">
        <v>16</v>
      </c>
      <c r="D1670" t="s">
        <v>11</v>
      </c>
      <c r="E1670">
        <v>2.38</v>
      </c>
      <c r="F1670">
        <v>172.8</v>
      </c>
      <c r="G1670">
        <v>4.5599999999999996</v>
      </c>
    </row>
    <row r="1671" spans="1:7" x14ac:dyDescent="0.3">
      <c r="A1671">
        <v>2025</v>
      </c>
      <c r="B1671" t="s">
        <v>24</v>
      </c>
      <c r="C1671" t="s">
        <v>16</v>
      </c>
      <c r="D1671" t="s">
        <v>12</v>
      </c>
      <c r="E1671">
        <v>6.53</v>
      </c>
      <c r="F1671">
        <v>174.8</v>
      </c>
      <c r="G1671">
        <v>4.6399999999999997</v>
      </c>
    </row>
    <row r="1672" spans="1:7" x14ac:dyDescent="0.3">
      <c r="A1672">
        <v>2025</v>
      </c>
      <c r="B1672" t="s">
        <v>24</v>
      </c>
      <c r="C1672" t="s">
        <v>16</v>
      </c>
      <c r="D1672" t="s">
        <v>13</v>
      </c>
      <c r="E1672">
        <v>10.07</v>
      </c>
      <c r="F1672">
        <v>176.8</v>
      </c>
      <c r="G1672">
        <v>4.72</v>
      </c>
    </row>
    <row r="1673" spans="1:7" x14ac:dyDescent="0.3">
      <c r="A1673">
        <v>2025</v>
      </c>
      <c r="B1673" t="s">
        <v>24</v>
      </c>
      <c r="C1673" t="s">
        <v>16</v>
      </c>
      <c r="D1673" t="s">
        <v>14</v>
      </c>
      <c r="E1673">
        <v>6.84</v>
      </c>
      <c r="F1673">
        <v>178.8</v>
      </c>
      <c r="G1673">
        <v>4.8</v>
      </c>
    </row>
    <row r="1674" spans="1:7" x14ac:dyDescent="0.3">
      <c r="A1674">
        <v>2025</v>
      </c>
      <c r="B1674" t="s">
        <v>24</v>
      </c>
      <c r="C1674" t="s">
        <v>16</v>
      </c>
      <c r="D1674" t="s">
        <v>15</v>
      </c>
      <c r="E1674">
        <v>28.32</v>
      </c>
      <c r="F1674">
        <v>180.8</v>
      </c>
      <c r="G1674">
        <v>4.88</v>
      </c>
    </row>
    <row r="1675" spans="1:7" x14ac:dyDescent="0.3">
      <c r="A1675">
        <v>2025</v>
      </c>
      <c r="B1675" t="s">
        <v>24</v>
      </c>
      <c r="C1675" t="s">
        <v>17</v>
      </c>
      <c r="D1675" t="s">
        <v>9</v>
      </c>
      <c r="E1675">
        <v>100</v>
      </c>
      <c r="F1675">
        <v>169.4</v>
      </c>
      <c r="G1675">
        <v>4.4000000000000004</v>
      </c>
    </row>
    <row r="1676" spans="1:7" x14ac:dyDescent="0.3">
      <c r="A1676">
        <v>2025</v>
      </c>
      <c r="B1676" t="s">
        <v>24</v>
      </c>
      <c r="C1676" t="s">
        <v>17</v>
      </c>
      <c r="D1676" t="s">
        <v>10</v>
      </c>
      <c r="E1676">
        <v>45.86</v>
      </c>
      <c r="F1676">
        <v>171.4</v>
      </c>
      <c r="G1676">
        <v>4.4800000000000004</v>
      </c>
    </row>
    <row r="1677" spans="1:7" x14ac:dyDescent="0.3">
      <c r="A1677">
        <v>2025</v>
      </c>
      <c r="B1677" t="s">
        <v>24</v>
      </c>
      <c r="C1677" t="s">
        <v>17</v>
      </c>
      <c r="D1677" t="s">
        <v>11</v>
      </c>
      <c r="E1677">
        <v>2.38</v>
      </c>
      <c r="F1677">
        <v>173.4</v>
      </c>
      <c r="G1677">
        <v>4.5599999999999996</v>
      </c>
    </row>
    <row r="1678" spans="1:7" x14ac:dyDescent="0.3">
      <c r="A1678">
        <v>2025</v>
      </c>
      <c r="B1678" t="s">
        <v>24</v>
      </c>
      <c r="C1678" t="s">
        <v>17</v>
      </c>
      <c r="D1678" t="s">
        <v>12</v>
      </c>
      <c r="E1678">
        <v>6.53</v>
      </c>
      <c r="F1678">
        <v>175.4</v>
      </c>
      <c r="G1678">
        <v>4.6399999999999997</v>
      </c>
    </row>
    <row r="1679" spans="1:7" x14ac:dyDescent="0.3">
      <c r="A1679">
        <v>2025</v>
      </c>
      <c r="B1679" t="s">
        <v>24</v>
      </c>
      <c r="C1679" t="s">
        <v>17</v>
      </c>
      <c r="D1679" t="s">
        <v>13</v>
      </c>
      <c r="E1679">
        <v>10.07</v>
      </c>
      <c r="F1679">
        <v>177.4</v>
      </c>
      <c r="G1679">
        <v>4.72</v>
      </c>
    </row>
    <row r="1680" spans="1:7" x14ac:dyDescent="0.3">
      <c r="A1680">
        <v>2025</v>
      </c>
      <c r="B1680" t="s">
        <v>24</v>
      </c>
      <c r="C1680" t="s">
        <v>17</v>
      </c>
      <c r="D1680" t="s">
        <v>14</v>
      </c>
      <c r="E1680">
        <v>6.84</v>
      </c>
      <c r="F1680">
        <v>179.4</v>
      </c>
      <c r="G1680">
        <v>4.8</v>
      </c>
    </row>
    <row r="1681" spans="1:7" x14ac:dyDescent="0.3">
      <c r="A1681">
        <v>2025</v>
      </c>
      <c r="B1681" t="s">
        <v>24</v>
      </c>
      <c r="C1681" t="s">
        <v>17</v>
      </c>
      <c r="D1681" t="s">
        <v>15</v>
      </c>
      <c r="E1681">
        <v>28.32</v>
      </c>
      <c r="F1681">
        <v>181.4</v>
      </c>
      <c r="G1681">
        <v>4.88</v>
      </c>
    </row>
    <row r="1682" spans="1:7" x14ac:dyDescent="0.3">
      <c r="A1682">
        <v>2025</v>
      </c>
      <c r="B1682" t="s">
        <v>25</v>
      </c>
      <c r="C1682" t="s">
        <v>8</v>
      </c>
      <c r="D1682" t="s">
        <v>9</v>
      </c>
      <c r="E1682">
        <v>100</v>
      </c>
      <c r="F1682">
        <v>168.6</v>
      </c>
      <c r="G1682">
        <v>4.55</v>
      </c>
    </row>
    <row r="1683" spans="1:7" x14ac:dyDescent="0.3">
      <c r="A1683">
        <v>2025</v>
      </c>
      <c r="B1683" t="s">
        <v>25</v>
      </c>
      <c r="C1683" t="s">
        <v>8</v>
      </c>
      <c r="D1683" t="s">
        <v>10</v>
      </c>
      <c r="E1683">
        <v>45.86</v>
      </c>
      <c r="F1683">
        <v>170.6</v>
      </c>
      <c r="G1683">
        <v>4.63</v>
      </c>
    </row>
    <row r="1684" spans="1:7" x14ac:dyDescent="0.3">
      <c r="A1684">
        <v>2025</v>
      </c>
      <c r="B1684" t="s">
        <v>25</v>
      </c>
      <c r="C1684" t="s">
        <v>8</v>
      </c>
      <c r="D1684" t="s">
        <v>11</v>
      </c>
      <c r="E1684">
        <v>2.38</v>
      </c>
      <c r="F1684">
        <v>172.6</v>
      </c>
      <c r="G1684">
        <v>4.71</v>
      </c>
    </row>
    <row r="1685" spans="1:7" x14ac:dyDescent="0.3">
      <c r="A1685">
        <v>2025</v>
      </c>
      <c r="B1685" t="s">
        <v>25</v>
      </c>
      <c r="C1685" t="s">
        <v>8</v>
      </c>
      <c r="D1685" t="s">
        <v>12</v>
      </c>
      <c r="E1685">
        <v>6.53</v>
      </c>
      <c r="F1685">
        <v>174.6</v>
      </c>
      <c r="G1685">
        <v>4.79</v>
      </c>
    </row>
    <row r="1686" spans="1:7" x14ac:dyDescent="0.3">
      <c r="A1686">
        <v>2025</v>
      </c>
      <c r="B1686" t="s">
        <v>25</v>
      </c>
      <c r="C1686" t="s">
        <v>8</v>
      </c>
      <c r="D1686" t="s">
        <v>13</v>
      </c>
      <c r="E1686">
        <v>10.07</v>
      </c>
      <c r="F1686">
        <v>176.6</v>
      </c>
      <c r="G1686">
        <v>4.87</v>
      </c>
    </row>
    <row r="1687" spans="1:7" x14ac:dyDescent="0.3">
      <c r="A1687">
        <v>2025</v>
      </c>
      <c r="B1687" t="s">
        <v>25</v>
      </c>
      <c r="C1687" t="s">
        <v>8</v>
      </c>
      <c r="D1687" t="s">
        <v>14</v>
      </c>
      <c r="E1687">
        <v>6.84</v>
      </c>
      <c r="F1687">
        <v>178.6</v>
      </c>
      <c r="G1687">
        <v>4.95</v>
      </c>
    </row>
    <row r="1688" spans="1:7" x14ac:dyDescent="0.3">
      <c r="A1688">
        <v>2025</v>
      </c>
      <c r="B1688" t="s">
        <v>25</v>
      </c>
      <c r="C1688" t="s">
        <v>8</v>
      </c>
      <c r="D1688" t="s">
        <v>15</v>
      </c>
      <c r="E1688">
        <v>28.32</v>
      </c>
      <c r="F1688">
        <v>180.6</v>
      </c>
      <c r="G1688">
        <v>5.03</v>
      </c>
    </row>
    <row r="1689" spans="1:7" x14ac:dyDescent="0.3">
      <c r="A1689">
        <v>2025</v>
      </c>
      <c r="B1689" t="s">
        <v>25</v>
      </c>
      <c r="C1689" t="s">
        <v>16</v>
      </c>
      <c r="D1689" t="s">
        <v>9</v>
      </c>
      <c r="E1689">
        <v>100</v>
      </c>
      <c r="F1689">
        <v>169.2</v>
      </c>
      <c r="G1689">
        <v>4.55</v>
      </c>
    </row>
    <row r="1690" spans="1:7" x14ac:dyDescent="0.3">
      <c r="A1690">
        <v>2025</v>
      </c>
      <c r="B1690" t="s">
        <v>25</v>
      </c>
      <c r="C1690" t="s">
        <v>16</v>
      </c>
      <c r="D1690" t="s">
        <v>10</v>
      </c>
      <c r="E1690">
        <v>45.86</v>
      </c>
      <c r="F1690">
        <v>171.2</v>
      </c>
      <c r="G1690">
        <v>4.63</v>
      </c>
    </row>
    <row r="1691" spans="1:7" x14ac:dyDescent="0.3">
      <c r="A1691">
        <v>2025</v>
      </c>
      <c r="B1691" t="s">
        <v>25</v>
      </c>
      <c r="C1691" t="s">
        <v>16</v>
      </c>
      <c r="D1691" t="s">
        <v>11</v>
      </c>
      <c r="E1691">
        <v>2.38</v>
      </c>
      <c r="F1691">
        <v>173.2</v>
      </c>
      <c r="G1691">
        <v>4.71</v>
      </c>
    </row>
    <row r="1692" spans="1:7" x14ac:dyDescent="0.3">
      <c r="A1692">
        <v>2025</v>
      </c>
      <c r="B1692" t="s">
        <v>25</v>
      </c>
      <c r="C1692" t="s">
        <v>16</v>
      </c>
      <c r="D1692" t="s">
        <v>12</v>
      </c>
      <c r="E1692">
        <v>6.53</v>
      </c>
      <c r="F1692">
        <v>175.2</v>
      </c>
      <c r="G1692">
        <v>4.79</v>
      </c>
    </row>
    <row r="1693" spans="1:7" x14ac:dyDescent="0.3">
      <c r="A1693">
        <v>2025</v>
      </c>
      <c r="B1693" t="s">
        <v>25</v>
      </c>
      <c r="C1693" t="s">
        <v>16</v>
      </c>
      <c r="D1693" t="s">
        <v>13</v>
      </c>
      <c r="E1693">
        <v>10.07</v>
      </c>
      <c r="F1693">
        <v>177.2</v>
      </c>
      <c r="G1693">
        <v>4.87</v>
      </c>
    </row>
    <row r="1694" spans="1:7" x14ac:dyDescent="0.3">
      <c r="A1694">
        <v>2025</v>
      </c>
      <c r="B1694" t="s">
        <v>25</v>
      </c>
      <c r="C1694" t="s">
        <v>16</v>
      </c>
      <c r="D1694" t="s">
        <v>14</v>
      </c>
      <c r="E1694">
        <v>6.84</v>
      </c>
      <c r="F1694">
        <v>179.2</v>
      </c>
      <c r="G1694">
        <v>4.95</v>
      </c>
    </row>
    <row r="1695" spans="1:7" x14ac:dyDescent="0.3">
      <c r="A1695">
        <v>2025</v>
      </c>
      <c r="B1695" t="s">
        <v>25</v>
      </c>
      <c r="C1695" t="s">
        <v>16</v>
      </c>
      <c r="D1695" t="s">
        <v>15</v>
      </c>
      <c r="E1695">
        <v>28.32</v>
      </c>
      <c r="F1695">
        <v>181.2</v>
      </c>
      <c r="G1695">
        <v>5.03</v>
      </c>
    </row>
    <row r="1696" spans="1:7" x14ac:dyDescent="0.3">
      <c r="A1696">
        <v>2025</v>
      </c>
      <c r="B1696" t="s">
        <v>25</v>
      </c>
      <c r="C1696" t="s">
        <v>17</v>
      </c>
      <c r="D1696" t="s">
        <v>9</v>
      </c>
      <c r="E1696">
        <v>100</v>
      </c>
      <c r="F1696">
        <v>169.8</v>
      </c>
      <c r="G1696">
        <v>4.55</v>
      </c>
    </row>
    <row r="1697" spans="1:7" x14ac:dyDescent="0.3">
      <c r="A1697">
        <v>2025</v>
      </c>
      <c r="B1697" t="s">
        <v>25</v>
      </c>
      <c r="C1697" t="s">
        <v>17</v>
      </c>
      <c r="D1697" t="s">
        <v>10</v>
      </c>
      <c r="E1697">
        <v>45.86</v>
      </c>
      <c r="F1697">
        <v>171.8</v>
      </c>
      <c r="G1697">
        <v>4.63</v>
      </c>
    </row>
    <row r="1698" spans="1:7" x14ac:dyDescent="0.3">
      <c r="A1698">
        <v>2025</v>
      </c>
      <c r="B1698" t="s">
        <v>25</v>
      </c>
      <c r="C1698" t="s">
        <v>17</v>
      </c>
      <c r="D1698" t="s">
        <v>11</v>
      </c>
      <c r="E1698">
        <v>2.38</v>
      </c>
      <c r="F1698">
        <v>173.8</v>
      </c>
      <c r="G1698">
        <v>4.71</v>
      </c>
    </row>
    <row r="1699" spans="1:7" x14ac:dyDescent="0.3">
      <c r="A1699">
        <v>2025</v>
      </c>
      <c r="B1699" t="s">
        <v>25</v>
      </c>
      <c r="C1699" t="s">
        <v>17</v>
      </c>
      <c r="D1699" t="s">
        <v>12</v>
      </c>
      <c r="E1699">
        <v>6.53</v>
      </c>
      <c r="F1699">
        <v>175.8</v>
      </c>
      <c r="G1699">
        <v>4.79</v>
      </c>
    </row>
    <row r="1700" spans="1:7" x14ac:dyDescent="0.3">
      <c r="A1700">
        <v>2025</v>
      </c>
      <c r="B1700" t="s">
        <v>25</v>
      </c>
      <c r="C1700" t="s">
        <v>17</v>
      </c>
      <c r="D1700" t="s">
        <v>13</v>
      </c>
      <c r="E1700">
        <v>10.07</v>
      </c>
      <c r="F1700">
        <v>177.8</v>
      </c>
      <c r="G1700">
        <v>4.87</v>
      </c>
    </row>
    <row r="1701" spans="1:7" x14ac:dyDescent="0.3">
      <c r="A1701">
        <v>2025</v>
      </c>
      <c r="B1701" t="s">
        <v>25</v>
      </c>
      <c r="C1701" t="s">
        <v>17</v>
      </c>
      <c r="D1701" t="s">
        <v>14</v>
      </c>
      <c r="E1701">
        <v>6.84</v>
      </c>
      <c r="F1701">
        <v>179.8</v>
      </c>
      <c r="G1701">
        <v>4.95</v>
      </c>
    </row>
    <row r="1702" spans="1:7" x14ac:dyDescent="0.3">
      <c r="A1702">
        <v>2025</v>
      </c>
      <c r="B1702" t="s">
        <v>25</v>
      </c>
      <c r="C1702" t="s">
        <v>17</v>
      </c>
      <c r="D1702" t="s">
        <v>15</v>
      </c>
      <c r="E1702">
        <v>28.32</v>
      </c>
      <c r="F1702">
        <v>181.8</v>
      </c>
      <c r="G1702">
        <v>5.03</v>
      </c>
    </row>
    <row r="1703" spans="1:7" x14ac:dyDescent="0.3">
      <c r="A1703">
        <v>2025</v>
      </c>
      <c r="B1703" t="s">
        <v>26</v>
      </c>
      <c r="C1703" t="s">
        <v>8</v>
      </c>
      <c r="D1703" t="s">
        <v>9</v>
      </c>
      <c r="E1703">
        <v>100</v>
      </c>
      <c r="F1703">
        <v>169</v>
      </c>
      <c r="G1703">
        <v>4.7</v>
      </c>
    </row>
    <row r="1704" spans="1:7" x14ac:dyDescent="0.3">
      <c r="A1704">
        <v>2025</v>
      </c>
      <c r="B1704" t="s">
        <v>26</v>
      </c>
      <c r="C1704" t="s">
        <v>8</v>
      </c>
      <c r="D1704" t="s">
        <v>10</v>
      </c>
      <c r="E1704">
        <v>45.86</v>
      </c>
      <c r="F1704">
        <v>171</v>
      </c>
      <c r="G1704">
        <v>4.78</v>
      </c>
    </row>
    <row r="1705" spans="1:7" x14ac:dyDescent="0.3">
      <c r="A1705">
        <v>2025</v>
      </c>
      <c r="B1705" t="s">
        <v>26</v>
      </c>
      <c r="C1705" t="s">
        <v>8</v>
      </c>
      <c r="D1705" t="s">
        <v>11</v>
      </c>
      <c r="E1705">
        <v>2.38</v>
      </c>
      <c r="F1705">
        <v>173</v>
      </c>
      <c r="G1705">
        <v>4.8600000000000003</v>
      </c>
    </row>
    <row r="1706" spans="1:7" x14ac:dyDescent="0.3">
      <c r="A1706">
        <v>2025</v>
      </c>
      <c r="B1706" t="s">
        <v>26</v>
      </c>
      <c r="C1706" t="s">
        <v>8</v>
      </c>
      <c r="D1706" t="s">
        <v>12</v>
      </c>
      <c r="E1706">
        <v>6.53</v>
      </c>
      <c r="F1706">
        <v>175</v>
      </c>
      <c r="G1706">
        <v>4.9400000000000004</v>
      </c>
    </row>
    <row r="1707" spans="1:7" x14ac:dyDescent="0.3">
      <c r="A1707">
        <v>2025</v>
      </c>
      <c r="B1707" t="s">
        <v>26</v>
      </c>
      <c r="C1707" t="s">
        <v>8</v>
      </c>
      <c r="D1707" t="s">
        <v>13</v>
      </c>
      <c r="E1707">
        <v>10.07</v>
      </c>
      <c r="F1707">
        <v>177</v>
      </c>
      <c r="G1707">
        <v>5.0199999999999996</v>
      </c>
    </row>
    <row r="1708" spans="1:7" x14ac:dyDescent="0.3">
      <c r="A1708">
        <v>2025</v>
      </c>
      <c r="B1708" t="s">
        <v>26</v>
      </c>
      <c r="C1708" t="s">
        <v>8</v>
      </c>
      <c r="D1708" t="s">
        <v>14</v>
      </c>
      <c r="E1708">
        <v>6.84</v>
      </c>
      <c r="F1708">
        <v>179</v>
      </c>
      <c r="G1708">
        <v>5.0999999999999996</v>
      </c>
    </row>
    <row r="1709" spans="1:7" x14ac:dyDescent="0.3">
      <c r="A1709">
        <v>2025</v>
      </c>
      <c r="B1709" t="s">
        <v>26</v>
      </c>
      <c r="C1709" t="s">
        <v>8</v>
      </c>
      <c r="D1709" t="s">
        <v>15</v>
      </c>
      <c r="E1709">
        <v>28.32</v>
      </c>
      <c r="F1709">
        <v>181</v>
      </c>
      <c r="G1709">
        <v>5.18</v>
      </c>
    </row>
    <row r="1710" spans="1:7" x14ac:dyDescent="0.3">
      <c r="A1710">
        <v>2025</v>
      </c>
      <c r="B1710" t="s">
        <v>26</v>
      </c>
      <c r="C1710" t="s">
        <v>16</v>
      </c>
      <c r="D1710" t="s">
        <v>9</v>
      </c>
      <c r="E1710">
        <v>100</v>
      </c>
      <c r="F1710">
        <v>169.6</v>
      </c>
      <c r="G1710">
        <v>4.7</v>
      </c>
    </row>
    <row r="1711" spans="1:7" x14ac:dyDescent="0.3">
      <c r="A1711">
        <v>2025</v>
      </c>
      <c r="B1711" t="s">
        <v>26</v>
      </c>
      <c r="C1711" t="s">
        <v>16</v>
      </c>
      <c r="D1711" t="s">
        <v>10</v>
      </c>
      <c r="E1711">
        <v>45.86</v>
      </c>
      <c r="F1711">
        <v>171.6</v>
      </c>
      <c r="G1711">
        <v>4.78</v>
      </c>
    </row>
    <row r="1712" spans="1:7" x14ac:dyDescent="0.3">
      <c r="A1712">
        <v>2025</v>
      </c>
      <c r="B1712" t="s">
        <v>26</v>
      </c>
      <c r="C1712" t="s">
        <v>16</v>
      </c>
      <c r="D1712" t="s">
        <v>11</v>
      </c>
      <c r="E1712">
        <v>2.38</v>
      </c>
      <c r="F1712">
        <v>173.6</v>
      </c>
      <c r="G1712">
        <v>4.8600000000000003</v>
      </c>
    </row>
    <row r="1713" spans="1:7" x14ac:dyDescent="0.3">
      <c r="A1713">
        <v>2025</v>
      </c>
      <c r="B1713" t="s">
        <v>26</v>
      </c>
      <c r="C1713" t="s">
        <v>16</v>
      </c>
      <c r="D1713" t="s">
        <v>12</v>
      </c>
      <c r="E1713">
        <v>6.53</v>
      </c>
      <c r="F1713">
        <v>175.6</v>
      </c>
      <c r="G1713">
        <v>4.9400000000000004</v>
      </c>
    </row>
    <row r="1714" spans="1:7" x14ac:dyDescent="0.3">
      <c r="A1714">
        <v>2025</v>
      </c>
      <c r="B1714" t="s">
        <v>26</v>
      </c>
      <c r="C1714" t="s">
        <v>16</v>
      </c>
      <c r="D1714" t="s">
        <v>13</v>
      </c>
      <c r="E1714">
        <v>10.07</v>
      </c>
      <c r="F1714">
        <v>177.6</v>
      </c>
      <c r="G1714">
        <v>5.0199999999999996</v>
      </c>
    </row>
    <row r="1715" spans="1:7" x14ac:dyDescent="0.3">
      <c r="A1715">
        <v>2025</v>
      </c>
      <c r="B1715" t="s">
        <v>26</v>
      </c>
      <c r="C1715" t="s">
        <v>16</v>
      </c>
      <c r="D1715" t="s">
        <v>14</v>
      </c>
      <c r="E1715">
        <v>6.84</v>
      </c>
      <c r="F1715">
        <v>179.6</v>
      </c>
      <c r="G1715">
        <v>5.0999999999999996</v>
      </c>
    </row>
    <row r="1716" spans="1:7" x14ac:dyDescent="0.3">
      <c r="A1716">
        <v>2025</v>
      </c>
      <c r="B1716" t="s">
        <v>26</v>
      </c>
      <c r="C1716" t="s">
        <v>16</v>
      </c>
      <c r="D1716" t="s">
        <v>15</v>
      </c>
      <c r="E1716">
        <v>28.32</v>
      </c>
      <c r="F1716">
        <v>181.6</v>
      </c>
      <c r="G1716">
        <v>5.18</v>
      </c>
    </row>
    <row r="1717" spans="1:7" x14ac:dyDescent="0.3">
      <c r="A1717">
        <v>2025</v>
      </c>
      <c r="B1717" t="s">
        <v>26</v>
      </c>
      <c r="C1717" t="s">
        <v>17</v>
      </c>
      <c r="D1717" t="s">
        <v>9</v>
      </c>
      <c r="E1717">
        <v>100</v>
      </c>
      <c r="F1717">
        <v>170.2</v>
      </c>
      <c r="G1717">
        <v>4.7</v>
      </c>
    </row>
    <row r="1718" spans="1:7" x14ac:dyDescent="0.3">
      <c r="A1718">
        <v>2025</v>
      </c>
      <c r="B1718" t="s">
        <v>26</v>
      </c>
      <c r="C1718" t="s">
        <v>17</v>
      </c>
      <c r="D1718" t="s">
        <v>10</v>
      </c>
      <c r="E1718">
        <v>45.86</v>
      </c>
      <c r="F1718">
        <v>172.2</v>
      </c>
      <c r="G1718">
        <v>4.78</v>
      </c>
    </row>
    <row r="1719" spans="1:7" x14ac:dyDescent="0.3">
      <c r="A1719">
        <v>2025</v>
      </c>
      <c r="B1719" t="s">
        <v>26</v>
      </c>
      <c r="C1719" t="s">
        <v>17</v>
      </c>
      <c r="D1719" t="s">
        <v>11</v>
      </c>
      <c r="E1719">
        <v>2.38</v>
      </c>
      <c r="F1719">
        <v>174.2</v>
      </c>
      <c r="G1719">
        <v>4.8600000000000003</v>
      </c>
    </row>
    <row r="1720" spans="1:7" x14ac:dyDescent="0.3">
      <c r="A1720">
        <v>2025</v>
      </c>
      <c r="B1720" t="s">
        <v>26</v>
      </c>
      <c r="C1720" t="s">
        <v>17</v>
      </c>
      <c r="D1720" t="s">
        <v>12</v>
      </c>
      <c r="E1720">
        <v>6.53</v>
      </c>
      <c r="F1720">
        <v>176.2</v>
      </c>
      <c r="G1720">
        <v>4.9400000000000004</v>
      </c>
    </row>
    <row r="1721" spans="1:7" x14ac:dyDescent="0.3">
      <c r="A1721">
        <v>2025</v>
      </c>
      <c r="B1721" t="s">
        <v>26</v>
      </c>
      <c r="C1721" t="s">
        <v>17</v>
      </c>
      <c r="D1721" t="s">
        <v>13</v>
      </c>
      <c r="E1721">
        <v>10.07</v>
      </c>
      <c r="F1721">
        <v>178.2</v>
      </c>
      <c r="G1721">
        <v>5.0199999999999996</v>
      </c>
    </row>
    <row r="1722" spans="1:7" x14ac:dyDescent="0.3">
      <c r="A1722">
        <v>2025</v>
      </c>
      <c r="B1722" t="s">
        <v>26</v>
      </c>
      <c r="C1722" t="s">
        <v>17</v>
      </c>
      <c r="D1722" t="s">
        <v>14</v>
      </c>
      <c r="E1722">
        <v>6.84</v>
      </c>
      <c r="F1722">
        <v>180.2</v>
      </c>
      <c r="G1722">
        <v>5.0999999999999996</v>
      </c>
    </row>
    <row r="1723" spans="1:7" x14ac:dyDescent="0.3">
      <c r="A1723">
        <v>2025</v>
      </c>
      <c r="B1723" t="s">
        <v>26</v>
      </c>
      <c r="C1723" t="s">
        <v>17</v>
      </c>
      <c r="D1723" t="s">
        <v>15</v>
      </c>
      <c r="E1723">
        <v>28.32</v>
      </c>
      <c r="F1723">
        <v>182.2</v>
      </c>
      <c r="G1723">
        <v>5.18</v>
      </c>
    </row>
    <row r="1724" spans="1:7" x14ac:dyDescent="0.3">
      <c r="A1724">
        <v>2025</v>
      </c>
      <c r="B1724" t="s">
        <v>27</v>
      </c>
      <c r="C1724" t="s">
        <v>8</v>
      </c>
      <c r="D1724" t="s">
        <v>9</v>
      </c>
      <c r="E1724">
        <v>100</v>
      </c>
      <c r="F1724">
        <v>169.4</v>
      </c>
      <c r="G1724">
        <v>4.8499999999999996</v>
      </c>
    </row>
    <row r="1725" spans="1:7" x14ac:dyDescent="0.3">
      <c r="A1725">
        <v>2025</v>
      </c>
      <c r="B1725" t="s">
        <v>27</v>
      </c>
      <c r="C1725" t="s">
        <v>8</v>
      </c>
      <c r="D1725" t="s">
        <v>10</v>
      </c>
      <c r="E1725">
        <v>45.86</v>
      </c>
      <c r="F1725">
        <v>171.4</v>
      </c>
      <c r="G1725">
        <v>4.93</v>
      </c>
    </row>
    <row r="1726" spans="1:7" x14ac:dyDescent="0.3">
      <c r="A1726">
        <v>2025</v>
      </c>
      <c r="B1726" t="s">
        <v>27</v>
      </c>
      <c r="C1726" t="s">
        <v>8</v>
      </c>
      <c r="D1726" t="s">
        <v>11</v>
      </c>
      <c r="E1726">
        <v>2.38</v>
      </c>
      <c r="F1726">
        <v>173.4</v>
      </c>
      <c r="G1726">
        <v>5.01</v>
      </c>
    </row>
    <row r="1727" spans="1:7" x14ac:dyDescent="0.3">
      <c r="A1727">
        <v>2025</v>
      </c>
      <c r="B1727" t="s">
        <v>27</v>
      </c>
      <c r="C1727" t="s">
        <v>8</v>
      </c>
      <c r="D1727" t="s">
        <v>12</v>
      </c>
      <c r="E1727">
        <v>6.53</v>
      </c>
      <c r="F1727">
        <v>175.4</v>
      </c>
      <c r="G1727">
        <v>5.09</v>
      </c>
    </row>
    <row r="1728" spans="1:7" x14ac:dyDescent="0.3">
      <c r="A1728">
        <v>2025</v>
      </c>
      <c r="B1728" t="s">
        <v>27</v>
      </c>
      <c r="C1728" t="s">
        <v>8</v>
      </c>
      <c r="D1728" t="s">
        <v>13</v>
      </c>
      <c r="E1728">
        <v>10.07</v>
      </c>
      <c r="F1728">
        <v>177.4</v>
      </c>
      <c r="G1728">
        <v>5.17</v>
      </c>
    </row>
    <row r="1729" spans="1:7" x14ac:dyDescent="0.3">
      <c r="A1729">
        <v>2025</v>
      </c>
      <c r="B1729" t="s">
        <v>27</v>
      </c>
      <c r="C1729" t="s">
        <v>8</v>
      </c>
      <c r="D1729" t="s">
        <v>14</v>
      </c>
      <c r="E1729">
        <v>6.84</v>
      </c>
      <c r="F1729">
        <v>179.4</v>
      </c>
      <c r="G1729">
        <v>5.25</v>
      </c>
    </row>
    <row r="1730" spans="1:7" x14ac:dyDescent="0.3">
      <c r="A1730">
        <v>2025</v>
      </c>
      <c r="B1730" t="s">
        <v>27</v>
      </c>
      <c r="C1730" t="s">
        <v>8</v>
      </c>
      <c r="D1730" t="s">
        <v>15</v>
      </c>
      <c r="E1730">
        <v>28.32</v>
      </c>
      <c r="F1730">
        <v>181.4</v>
      </c>
      <c r="G1730">
        <v>5.33</v>
      </c>
    </row>
    <row r="1731" spans="1:7" x14ac:dyDescent="0.3">
      <c r="A1731">
        <v>2025</v>
      </c>
      <c r="B1731" t="s">
        <v>27</v>
      </c>
      <c r="C1731" t="s">
        <v>16</v>
      </c>
      <c r="D1731" t="s">
        <v>9</v>
      </c>
      <c r="E1731">
        <v>100</v>
      </c>
      <c r="F1731">
        <v>170</v>
      </c>
      <c r="G1731">
        <v>4.8499999999999996</v>
      </c>
    </row>
    <row r="1732" spans="1:7" x14ac:dyDescent="0.3">
      <c r="A1732">
        <v>2025</v>
      </c>
      <c r="B1732" t="s">
        <v>27</v>
      </c>
      <c r="C1732" t="s">
        <v>16</v>
      </c>
      <c r="D1732" t="s">
        <v>10</v>
      </c>
      <c r="E1732">
        <v>45.86</v>
      </c>
      <c r="F1732">
        <v>172</v>
      </c>
      <c r="G1732">
        <v>4.93</v>
      </c>
    </row>
    <row r="1733" spans="1:7" x14ac:dyDescent="0.3">
      <c r="A1733">
        <v>2025</v>
      </c>
      <c r="B1733" t="s">
        <v>27</v>
      </c>
      <c r="C1733" t="s">
        <v>16</v>
      </c>
      <c r="D1733" t="s">
        <v>11</v>
      </c>
      <c r="E1733">
        <v>2.38</v>
      </c>
      <c r="F1733">
        <v>174</v>
      </c>
      <c r="G1733">
        <v>5.01</v>
      </c>
    </row>
    <row r="1734" spans="1:7" x14ac:dyDescent="0.3">
      <c r="A1734">
        <v>2025</v>
      </c>
      <c r="B1734" t="s">
        <v>27</v>
      </c>
      <c r="C1734" t="s">
        <v>16</v>
      </c>
      <c r="D1734" t="s">
        <v>12</v>
      </c>
      <c r="E1734">
        <v>6.53</v>
      </c>
      <c r="F1734">
        <v>176</v>
      </c>
      <c r="G1734">
        <v>5.09</v>
      </c>
    </row>
    <row r="1735" spans="1:7" x14ac:dyDescent="0.3">
      <c r="A1735">
        <v>2025</v>
      </c>
      <c r="B1735" t="s">
        <v>27</v>
      </c>
      <c r="C1735" t="s">
        <v>16</v>
      </c>
      <c r="D1735" t="s">
        <v>13</v>
      </c>
      <c r="E1735">
        <v>10.07</v>
      </c>
      <c r="F1735">
        <v>178</v>
      </c>
      <c r="G1735">
        <v>5.17</v>
      </c>
    </row>
    <row r="1736" spans="1:7" x14ac:dyDescent="0.3">
      <c r="A1736">
        <v>2025</v>
      </c>
      <c r="B1736" t="s">
        <v>27</v>
      </c>
      <c r="C1736" t="s">
        <v>16</v>
      </c>
      <c r="D1736" t="s">
        <v>14</v>
      </c>
      <c r="E1736">
        <v>6.84</v>
      </c>
      <c r="F1736">
        <v>180</v>
      </c>
      <c r="G1736">
        <v>5.25</v>
      </c>
    </row>
    <row r="1737" spans="1:7" x14ac:dyDescent="0.3">
      <c r="A1737">
        <v>2025</v>
      </c>
      <c r="B1737" t="s">
        <v>27</v>
      </c>
      <c r="C1737" t="s">
        <v>16</v>
      </c>
      <c r="D1737" t="s">
        <v>15</v>
      </c>
      <c r="E1737">
        <v>28.32</v>
      </c>
      <c r="F1737">
        <v>182</v>
      </c>
      <c r="G1737">
        <v>5.33</v>
      </c>
    </row>
    <row r="1738" spans="1:7" x14ac:dyDescent="0.3">
      <c r="A1738">
        <v>2025</v>
      </c>
      <c r="B1738" t="s">
        <v>27</v>
      </c>
      <c r="C1738" t="s">
        <v>17</v>
      </c>
      <c r="D1738" t="s">
        <v>9</v>
      </c>
      <c r="E1738">
        <v>100</v>
      </c>
      <c r="F1738">
        <v>170.6</v>
      </c>
      <c r="G1738">
        <v>4.8499999999999996</v>
      </c>
    </row>
    <row r="1739" spans="1:7" x14ac:dyDescent="0.3">
      <c r="A1739">
        <v>2025</v>
      </c>
      <c r="B1739" t="s">
        <v>27</v>
      </c>
      <c r="C1739" t="s">
        <v>17</v>
      </c>
      <c r="D1739" t="s">
        <v>10</v>
      </c>
      <c r="E1739">
        <v>45.86</v>
      </c>
      <c r="F1739">
        <v>172.6</v>
      </c>
      <c r="G1739">
        <v>4.93</v>
      </c>
    </row>
    <row r="1740" spans="1:7" x14ac:dyDescent="0.3">
      <c r="A1740">
        <v>2025</v>
      </c>
      <c r="B1740" t="s">
        <v>27</v>
      </c>
      <c r="C1740" t="s">
        <v>17</v>
      </c>
      <c r="D1740" t="s">
        <v>11</v>
      </c>
      <c r="E1740">
        <v>2.38</v>
      </c>
      <c r="F1740">
        <v>174.6</v>
      </c>
      <c r="G1740">
        <v>5.01</v>
      </c>
    </row>
    <row r="1741" spans="1:7" x14ac:dyDescent="0.3">
      <c r="A1741">
        <v>2025</v>
      </c>
      <c r="B1741" t="s">
        <v>27</v>
      </c>
      <c r="C1741" t="s">
        <v>17</v>
      </c>
      <c r="D1741" t="s">
        <v>12</v>
      </c>
      <c r="E1741">
        <v>6.53</v>
      </c>
      <c r="F1741">
        <v>176.6</v>
      </c>
      <c r="G1741">
        <v>5.09</v>
      </c>
    </row>
    <row r="1742" spans="1:7" x14ac:dyDescent="0.3">
      <c r="A1742">
        <v>2025</v>
      </c>
      <c r="B1742" t="s">
        <v>27</v>
      </c>
      <c r="C1742" t="s">
        <v>17</v>
      </c>
      <c r="D1742" t="s">
        <v>13</v>
      </c>
      <c r="E1742">
        <v>10.07</v>
      </c>
      <c r="F1742">
        <v>178.6</v>
      </c>
      <c r="G1742">
        <v>5.17</v>
      </c>
    </row>
    <row r="1743" spans="1:7" x14ac:dyDescent="0.3">
      <c r="A1743">
        <v>2025</v>
      </c>
      <c r="B1743" t="s">
        <v>27</v>
      </c>
      <c r="C1743" t="s">
        <v>17</v>
      </c>
      <c r="D1743" t="s">
        <v>14</v>
      </c>
      <c r="E1743">
        <v>6.84</v>
      </c>
      <c r="F1743">
        <v>180.6</v>
      </c>
      <c r="G1743">
        <v>5.25</v>
      </c>
    </row>
    <row r="1744" spans="1:7" x14ac:dyDescent="0.3">
      <c r="A1744">
        <v>2025</v>
      </c>
      <c r="B1744" t="s">
        <v>27</v>
      </c>
      <c r="C1744" t="s">
        <v>17</v>
      </c>
      <c r="D1744" t="s">
        <v>15</v>
      </c>
      <c r="E1744">
        <v>28.32</v>
      </c>
      <c r="F1744">
        <v>182.6</v>
      </c>
      <c r="G1744">
        <v>5.33</v>
      </c>
    </row>
    <row r="1745" spans="1:7" x14ac:dyDescent="0.3">
      <c r="A1745">
        <v>2025</v>
      </c>
      <c r="B1745" t="s">
        <v>28</v>
      </c>
      <c r="C1745" t="s">
        <v>8</v>
      </c>
      <c r="D1745" t="s">
        <v>9</v>
      </c>
      <c r="E1745">
        <v>100</v>
      </c>
      <c r="F1745">
        <v>169.8</v>
      </c>
      <c r="G1745">
        <v>4.0999999999999996</v>
      </c>
    </row>
    <row r="1746" spans="1:7" x14ac:dyDescent="0.3">
      <c r="A1746">
        <v>2025</v>
      </c>
      <c r="B1746" t="s">
        <v>28</v>
      </c>
      <c r="C1746" t="s">
        <v>8</v>
      </c>
      <c r="D1746" t="s">
        <v>10</v>
      </c>
      <c r="E1746">
        <v>45.86</v>
      </c>
      <c r="F1746">
        <v>171.8</v>
      </c>
      <c r="G1746">
        <v>4.18</v>
      </c>
    </row>
    <row r="1747" spans="1:7" x14ac:dyDescent="0.3">
      <c r="A1747">
        <v>2025</v>
      </c>
      <c r="B1747" t="s">
        <v>28</v>
      </c>
      <c r="C1747" t="s">
        <v>8</v>
      </c>
      <c r="D1747" t="s">
        <v>11</v>
      </c>
      <c r="E1747">
        <v>2.38</v>
      </c>
      <c r="F1747">
        <v>173.8</v>
      </c>
      <c r="G1747">
        <v>4.26</v>
      </c>
    </row>
    <row r="1748" spans="1:7" x14ac:dyDescent="0.3">
      <c r="A1748">
        <v>2025</v>
      </c>
      <c r="B1748" t="s">
        <v>28</v>
      </c>
      <c r="C1748" t="s">
        <v>8</v>
      </c>
      <c r="D1748" t="s">
        <v>12</v>
      </c>
      <c r="E1748">
        <v>6.53</v>
      </c>
      <c r="F1748">
        <v>175.8</v>
      </c>
      <c r="G1748">
        <v>4.34</v>
      </c>
    </row>
    <row r="1749" spans="1:7" x14ac:dyDescent="0.3">
      <c r="A1749">
        <v>2025</v>
      </c>
      <c r="B1749" t="s">
        <v>28</v>
      </c>
      <c r="C1749" t="s">
        <v>8</v>
      </c>
      <c r="D1749" t="s">
        <v>13</v>
      </c>
      <c r="E1749">
        <v>10.07</v>
      </c>
      <c r="F1749">
        <v>177.8</v>
      </c>
      <c r="G1749">
        <v>4.42</v>
      </c>
    </row>
    <row r="1750" spans="1:7" x14ac:dyDescent="0.3">
      <c r="A1750">
        <v>2025</v>
      </c>
      <c r="B1750" t="s">
        <v>28</v>
      </c>
      <c r="C1750" t="s">
        <v>8</v>
      </c>
      <c r="D1750" t="s">
        <v>14</v>
      </c>
      <c r="E1750">
        <v>6.84</v>
      </c>
      <c r="F1750">
        <v>179.8</v>
      </c>
      <c r="G1750">
        <v>4.5</v>
      </c>
    </row>
    <row r="1751" spans="1:7" x14ac:dyDescent="0.3">
      <c r="A1751">
        <v>2025</v>
      </c>
      <c r="B1751" t="s">
        <v>28</v>
      </c>
      <c r="C1751" t="s">
        <v>8</v>
      </c>
      <c r="D1751" t="s">
        <v>15</v>
      </c>
      <c r="E1751">
        <v>28.32</v>
      </c>
      <c r="F1751">
        <v>181.8</v>
      </c>
      <c r="G1751">
        <v>4.58</v>
      </c>
    </row>
    <row r="1752" spans="1:7" x14ac:dyDescent="0.3">
      <c r="A1752">
        <v>2025</v>
      </c>
      <c r="B1752" t="s">
        <v>28</v>
      </c>
      <c r="C1752" t="s">
        <v>16</v>
      </c>
      <c r="D1752" t="s">
        <v>9</v>
      </c>
      <c r="E1752">
        <v>100</v>
      </c>
      <c r="F1752">
        <v>170.4</v>
      </c>
      <c r="G1752">
        <v>4.0999999999999996</v>
      </c>
    </row>
    <row r="1753" spans="1:7" x14ac:dyDescent="0.3">
      <c r="A1753">
        <v>2025</v>
      </c>
      <c r="B1753" t="s">
        <v>28</v>
      </c>
      <c r="C1753" t="s">
        <v>16</v>
      </c>
      <c r="D1753" t="s">
        <v>10</v>
      </c>
      <c r="E1753">
        <v>45.86</v>
      </c>
      <c r="F1753">
        <v>172.4</v>
      </c>
      <c r="G1753">
        <v>4.18</v>
      </c>
    </row>
    <row r="1754" spans="1:7" x14ac:dyDescent="0.3">
      <c r="A1754">
        <v>2025</v>
      </c>
      <c r="B1754" t="s">
        <v>28</v>
      </c>
      <c r="C1754" t="s">
        <v>16</v>
      </c>
      <c r="D1754" t="s">
        <v>11</v>
      </c>
      <c r="E1754">
        <v>2.38</v>
      </c>
      <c r="F1754">
        <v>174.4</v>
      </c>
      <c r="G1754">
        <v>4.26</v>
      </c>
    </row>
    <row r="1755" spans="1:7" x14ac:dyDescent="0.3">
      <c r="A1755">
        <v>2025</v>
      </c>
      <c r="B1755" t="s">
        <v>28</v>
      </c>
      <c r="C1755" t="s">
        <v>16</v>
      </c>
      <c r="D1755" t="s">
        <v>12</v>
      </c>
      <c r="E1755">
        <v>6.53</v>
      </c>
      <c r="F1755">
        <v>176.4</v>
      </c>
      <c r="G1755">
        <v>4.34</v>
      </c>
    </row>
    <row r="1756" spans="1:7" x14ac:dyDescent="0.3">
      <c r="A1756">
        <v>2025</v>
      </c>
      <c r="B1756" t="s">
        <v>28</v>
      </c>
      <c r="C1756" t="s">
        <v>16</v>
      </c>
      <c r="D1756" t="s">
        <v>13</v>
      </c>
      <c r="E1756">
        <v>10.07</v>
      </c>
      <c r="F1756">
        <v>178.4</v>
      </c>
      <c r="G1756">
        <v>4.42</v>
      </c>
    </row>
    <row r="1757" spans="1:7" x14ac:dyDescent="0.3">
      <c r="A1757">
        <v>2025</v>
      </c>
      <c r="B1757" t="s">
        <v>28</v>
      </c>
      <c r="C1757" t="s">
        <v>16</v>
      </c>
      <c r="D1757" t="s">
        <v>14</v>
      </c>
      <c r="E1757">
        <v>6.84</v>
      </c>
      <c r="F1757">
        <v>180.4</v>
      </c>
      <c r="G1757">
        <v>4.5</v>
      </c>
    </row>
    <row r="1758" spans="1:7" x14ac:dyDescent="0.3">
      <c r="A1758">
        <v>2025</v>
      </c>
      <c r="B1758" t="s">
        <v>28</v>
      </c>
      <c r="C1758" t="s">
        <v>16</v>
      </c>
      <c r="D1758" t="s">
        <v>15</v>
      </c>
      <c r="E1758">
        <v>28.32</v>
      </c>
      <c r="F1758">
        <v>182.4</v>
      </c>
      <c r="G1758">
        <v>4.58</v>
      </c>
    </row>
    <row r="1759" spans="1:7" x14ac:dyDescent="0.3">
      <c r="A1759">
        <v>2025</v>
      </c>
      <c r="B1759" t="s">
        <v>28</v>
      </c>
      <c r="C1759" t="s">
        <v>17</v>
      </c>
      <c r="D1759" t="s">
        <v>9</v>
      </c>
      <c r="E1759">
        <v>100</v>
      </c>
      <c r="F1759">
        <v>171</v>
      </c>
      <c r="G1759">
        <v>4.0999999999999996</v>
      </c>
    </row>
    <row r="1760" spans="1:7" x14ac:dyDescent="0.3">
      <c r="A1760">
        <v>2025</v>
      </c>
      <c r="B1760" t="s">
        <v>28</v>
      </c>
      <c r="C1760" t="s">
        <v>17</v>
      </c>
      <c r="D1760" t="s">
        <v>10</v>
      </c>
      <c r="E1760">
        <v>45.86</v>
      </c>
      <c r="F1760">
        <v>173</v>
      </c>
      <c r="G1760">
        <v>4.18</v>
      </c>
    </row>
    <row r="1761" spans="1:7" x14ac:dyDescent="0.3">
      <c r="A1761">
        <v>2025</v>
      </c>
      <c r="B1761" t="s">
        <v>28</v>
      </c>
      <c r="C1761" t="s">
        <v>17</v>
      </c>
      <c r="D1761" t="s">
        <v>11</v>
      </c>
      <c r="E1761">
        <v>2.38</v>
      </c>
      <c r="F1761">
        <v>175</v>
      </c>
      <c r="G1761">
        <v>4.26</v>
      </c>
    </row>
    <row r="1762" spans="1:7" x14ac:dyDescent="0.3">
      <c r="A1762">
        <v>2025</v>
      </c>
      <c r="B1762" t="s">
        <v>28</v>
      </c>
      <c r="C1762" t="s">
        <v>17</v>
      </c>
      <c r="D1762" t="s">
        <v>12</v>
      </c>
      <c r="E1762">
        <v>6.53</v>
      </c>
      <c r="F1762">
        <v>177</v>
      </c>
      <c r="G1762">
        <v>4.34</v>
      </c>
    </row>
    <row r="1763" spans="1:7" x14ac:dyDescent="0.3">
      <c r="A1763">
        <v>2025</v>
      </c>
      <c r="B1763" t="s">
        <v>28</v>
      </c>
      <c r="C1763" t="s">
        <v>17</v>
      </c>
      <c r="D1763" t="s">
        <v>13</v>
      </c>
      <c r="E1763">
        <v>10.07</v>
      </c>
      <c r="F1763">
        <v>179</v>
      </c>
      <c r="G1763">
        <v>4.42</v>
      </c>
    </row>
    <row r="1764" spans="1:7" x14ac:dyDescent="0.3">
      <c r="A1764">
        <v>2025</v>
      </c>
      <c r="B1764" t="s">
        <v>28</v>
      </c>
      <c r="C1764" t="s">
        <v>17</v>
      </c>
      <c r="D1764" t="s">
        <v>14</v>
      </c>
      <c r="E1764">
        <v>6.84</v>
      </c>
      <c r="F1764">
        <v>181</v>
      </c>
      <c r="G1764">
        <v>4.5</v>
      </c>
    </row>
    <row r="1765" spans="1:7" x14ac:dyDescent="0.3">
      <c r="A1765">
        <v>2025</v>
      </c>
      <c r="B1765" t="s">
        <v>28</v>
      </c>
      <c r="C1765" t="s">
        <v>17</v>
      </c>
      <c r="D1765" t="s">
        <v>15</v>
      </c>
      <c r="E1765">
        <v>28.32</v>
      </c>
      <c r="F1765">
        <v>183</v>
      </c>
      <c r="G1765">
        <v>4.58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65"/>
  <sheetViews>
    <sheetView workbookViewId="0">
      <selection activeCell="P6" sqref="P6"/>
    </sheetView>
  </sheetViews>
  <sheetFormatPr defaultRowHeight="14.4" x14ac:dyDescent="0.3"/>
  <cols>
    <col min="4" max="4" width="10.21875" customWidth="1"/>
    <col min="6" max="6" width="11" customWidth="1"/>
    <col min="7" max="7" width="17" customWidth="1"/>
    <col min="8" max="8" width="10.5546875" bestFit="1" customWidth="1"/>
    <col min="12" max="12" width="15.77734375" bestFit="1" customWidth="1"/>
  </cols>
  <sheetData>
    <row r="1" spans="1:12" x14ac:dyDescent="0.3">
      <c r="A1" s="1" t="s">
        <v>0</v>
      </c>
      <c r="B1" t="s">
        <v>1</v>
      </c>
      <c r="C1" s="2" t="s">
        <v>2</v>
      </c>
      <c r="D1" s="2" t="s">
        <v>3</v>
      </c>
      <c r="E1" s="1" t="s">
        <v>4</v>
      </c>
      <c r="F1" s="1" t="s">
        <v>5</v>
      </c>
      <c r="G1" s="1" t="s">
        <v>6</v>
      </c>
      <c r="H1" s="3" t="s">
        <v>29</v>
      </c>
      <c r="I1" s="1" t="s">
        <v>30</v>
      </c>
      <c r="J1" t="s">
        <v>31</v>
      </c>
      <c r="K1" s="2" t="s">
        <v>32</v>
      </c>
      <c r="L1" t="s">
        <v>33</v>
      </c>
    </row>
    <row r="2" spans="1:12" x14ac:dyDescent="0.3">
      <c r="A2">
        <v>2019</v>
      </c>
      <c r="B2" s="2" t="s">
        <v>7</v>
      </c>
      <c r="C2" t="s">
        <v>8</v>
      </c>
      <c r="D2" t="s">
        <v>9</v>
      </c>
      <c r="E2">
        <v>100</v>
      </c>
      <c r="F2">
        <v>135.4</v>
      </c>
      <c r="G2">
        <v>2.15</v>
      </c>
      <c r="H2" s="3">
        <f>DATE(A2,MONTH(DATEVALUE(B2&amp;" 1")),1)</f>
        <v>43466</v>
      </c>
      <c r="I2">
        <f>MONTH(Table1[[#This Row],[Date]])</f>
        <v>1</v>
      </c>
      <c r="J2" t="str">
        <f t="shared" ref="J2:J65" si="0">"Q"&amp;ROUNDUP(MONTH(H2)/3,0)</f>
        <v>Q1</v>
      </c>
      <c r="K2" t="str">
        <f t="shared" ref="K2:K65" si="1">TEXT(H2,"mmm-yyyy")</f>
        <v>Jan-2019</v>
      </c>
      <c r="L2" t="str">
        <f t="shared" ref="L2:L65" si="2">IF(G2&lt;3,"Low",IF(G2&lt;4,"Medium","High"))</f>
        <v>Low</v>
      </c>
    </row>
    <row r="3" spans="1:12" x14ac:dyDescent="0.3">
      <c r="A3">
        <v>2019</v>
      </c>
      <c r="B3" s="2" t="s">
        <v>7</v>
      </c>
      <c r="C3" t="s">
        <v>8</v>
      </c>
      <c r="D3" t="s">
        <v>10</v>
      </c>
      <c r="E3">
        <v>45.86</v>
      </c>
      <c r="F3">
        <v>137.4</v>
      </c>
      <c r="G3">
        <v>2.23</v>
      </c>
      <c r="H3" s="3">
        <f t="shared" ref="H3:H65" si="3">DATE(A3,MONTH(DATEVALUE(B3&amp;" 1")),1)</f>
        <v>43466</v>
      </c>
      <c r="I3">
        <f>MONTH(Table1[[#This Row],[Date]])</f>
        <v>1</v>
      </c>
      <c r="J3" t="str">
        <f t="shared" si="0"/>
        <v>Q1</v>
      </c>
      <c r="K3" t="str">
        <f t="shared" si="1"/>
        <v>Jan-2019</v>
      </c>
      <c r="L3" t="str">
        <f t="shared" si="2"/>
        <v>Low</v>
      </c>
    </row>
    <row r="4" spans="1:12" x14ac:dyDescent="0.3">
      <c r="A4">
        <v>2019</v>
      </c>
      <c r="B4" s="2" t="s">
        <v>7</v>
      </c>
      <c r="C4" t="s">
        <v>8</v>
      </c>
      <c r="D4" t="s">
        <v>11</v>
      </c>
      <c r="E4">
        <v>2.38</v>
      </c>
      <c r="F4">
        <v>139.4</v>
      </c>
      <c r="G4">
        <v>2.31</v>
      </c>
      <c r="H4" s="3">
        <f t="shared" si="3"/>
        <v>43466</v>
      </c>
      <c r="I4">
        <f>MONTH(Table1[[#This Row],[Date]])</f>
        <v>1</v>
      </c>
      <c r="J4" t="str">
        <f t="shared" si="0"/>
        <v>Q1</v>
      </c>
      <c r="K4" t="str">
        <f t="shared" si="1"/>
        <v>Jan-2019</v>
      </c>
      <c r="L4" t="str">
        <f t="shared" si="2"/>
        <v>Low</v>
      </c>
    </row>
    <row r="5" spans="1:12" x14ac:dyDescent="0.3">
      <c r="A5">
        <v>2019</v>
      </c>
      <c r="B5" s="2" t="s">
        <v>7</v>
      </c>
      <c r="C5" t="s">
        <v>8</v>
      </c>
      <c r="D5" t="s">
        <v>12</v>
      </c>
      <c r="E5">
        <v>6.53</v>
      </c>
      <c r="F5">
        <v>141.4</v>
      </c>
      <c r="G5">
        <v>2.39</v>
      </c>
      <c r="H5" s="3">
        <f t="shared" si="3"/>
        <v>43466</v>
      </c>
      <c r="I5">
        <f>MONTH(Table1[[#This Row],[Date]])</f>
        <v>1</v>
      </c>
      <c r="J5" t="str">
        <f t="shared" si="0"/>
        <v>Q1</v>
      </c>
      <c r="K5" t="str">
        <f t="shared" si="1"/>
        <v>Jan-2019</v>
      </c>
      <c r="L5" t="str">
        <f t="shared" si="2"/>
        <v>Low</v>
      </c>
    </row>
    <row r="6" spans="1:12" x14ac:dyDescent="0.3">
      <c r="A6">
        <v>2019</v>
      </c>
      <c r="B6" s="2" t="s">
        <v>7</v>
      </c>
      <c r="C6" t="s">
        <v>8</v>
      </c>
      <c r="D6" t="s">
        <v>13</v>
      </c>
      <c r="E6">
        <v>10.07</v>
      </c>
      <c r="F6">
        <v>143.4</v>
      </c>
      <c r="G6">
        <v>2.4700000000000002</v>
      </c>
      <c r="H6" s="3">
        <f t="shared" si="3"/>
        <v>43466</v>
      </c>
      <c r="I6">
        <f>MONTH(Table1[[#This Row],[Date]])</f>
        <v>1</v>
      </c>
      <c r="J6" t="str">
        <f t="shared" si="0"/>
        <v>Q1</v>
      </c>
      <c r="K6" t="str">
        <f t="shared" si="1"/>
        <v>Jan-2019</v>
      </c>
      <c r="L6" t="str">
        <f t="shared" si="2"/>
        <v>Low</v>
      </c>
    </row>
    <row r="7" spans="1:12" x14ac:dyDescent="0.3">
      <c r="A7">
        <v>2019</v>
      </c>
      <c r="B7" s="2" t="s">
        <v>7</v>
      </c>
      <c r="C7" t="s">
        <v>8</v>
      </c>
      <c r="D7" t="s">
        <v>14</v>
      </c>
      <c r="E7">
        <v>6.84</v>
      </c>
      <c r="F7">
        <v>145.4</v>
      </c>
      <c r="G7">
        <v>2.5499999999999998</v>
      </c>
      <c r="H7" s="3">
        <f t="shared" si="3"/>
        <v>43466</v>
      </c>
      <c r="I7">
        <f>MONTH(Table1[[#This Row],[Date]])</f>
        <v>1</v>
      </c>
      <c r="J7" t="str">
        <f t="shared" si="0"/>
        <v>Q1</v>
      </c>
      <c r="K7" t="str">
        <f t="shared" si="1"/>
        <v>Jan-2019</v>
      </c>
      <c r="L7" t="str">
        <f t="shared" si="2"/>
        <v>Low</v>
      </c>
    </row>
    <row r="8" spans="1:12" x14ac:dyDescent="0.3">
      <c r="A8">
        <v>2019</v>
      </c>
      <c r="B8" s="2" t="s">
        <v>7</v>
      </c>
      <c r="C8" t="s">
        <v>8</v>
      </c>
      <c r="D8" t="s">
        <v>15</v>
      </c>
      <c r="E8">
        <v>28.32</v>
      </c>
      <c r="F8">
        <v>147.4</v>
      </c>
      <c r="G8">
        <v>2.63</v>
      </c>
      <c r="H8" s="3">
        <f t="shared" si="3"/>
        <v>43466</v>
      </c>
      <c r="I8">
        <f>MONTH(Table1[[#This Row],[Date]])</f>
        <v>1</v>
      </c>
      <c r="J8" t="str">
        <f t="shared" si="0"/>
        <v>Q1</v>
      </c>
      <c r="K8" t="str">
        <f t="shared" si="1"/>
        <v>Jan-2019</v>
      </c>
      <c r="L8" t="str">
        <f t="shared" si="2"/>
        <v>Low</v>
      </c>
    </row>
    <row r="9" spans="1:12" x14ac:dyDescent="0.3">
      <c r="A9">
        <v>2019</v>
      </c>
      <c r="B9" s="2" t="s">
        <v>7</v>
      </c>
      <c r="C9" t="s">
        <v>16</v>
      </c>
      <c r="D9" t="s">
        <v>9</v>
      </c>
      <c r="E9">
        <v>100</v>
      </c>
      <c r="F9">
        <v>136</v>
      </c>
      <c r="G9">
        <v>2.15</v>
      </c>
      <c r="H9" s="3">
        <f t="shared" si="3"/>
        <v>43466</v>
      </c>
      <c r="I9">
        <f>MONTH(Table1[[#This Row],[Date]])</f>
        <v>1</v>
      </c>
      <c r="J9" t="str">
        <f t="shared" si="0"/>
        <v>Q1</v>
      </c>
      <c r="K9" t="str">
        <f t="shared" si="1"/>
        <v>Jan-2019</v>
      </c>
      <c r="L9" t="str">
        <f t="shared" si="2"/>
        <v>Low</v>
      </c>
    </row>
    <row r="10" spans="1:12" x14ac:dyDescent="0.3">
      <c r="A10">
        <v>2019</v>
      </c>
      <c r="B10" s="2" t="s">
        <v>7</v>
      </c>
      <c r="C10" t="s">
        <v>16</v>
      </c>
      <c r="D10" t="s">
        <v>10</v>
      </c>
      <c r="E10">
        <v>45.86</v>
      </c>
      <c r="F10">
        <v>138</v>
      </c>
      <c r="G10">
        <v>2.23</v>
      </c>
      <c r="H10" s="3">
        <f t="shared" si="3"/>
        <v>43466</v>
      </c>
      <c r="I10">
        <f>MONTH(Table1[[#This Row],[Date]])</f>
        <v>1</v>
      </c>
      <c r="J10" t="str">
        <f t="shared" si="0"/>
        <v>Q1</v>
      </c>
      <c r="K10" t="str">
        <f t="shared" si="1"/>
        <v>Jan-2019</v>
      </c>
      <c r="L10" t="str">
        <f t="shared" si="2"/>
        <v>Low</v>
      </c>
    </row>
    <row r="11" spans="1:12" x14ac:dyDescent="0.3">
      <c r="A11">
        <v>2019</v>
      </c>
      <c r="B11" s="2" t="s">
        <v>7</v>
      </c>
      <c r="C11" t="s">
        <v>16</v>
      </c>
      <c r="D11" t="s">
        <v>11</v>
      </c>
      <c r="E11">
        <v>2.38</v>
      </c>
      <c r="F11">
        <v>140</v>
      </c>
      <c r="G11">
        <v>2.31</v>
      </c>
      <c r="H11" s="3">
        <f t="shared" si="3"/>
        <v>43466</v>
      </c>
      <c r="I11">
        <f>MONTH(Table1[[#This Row],[Date]])</f>
        <v>1</v>
      </c>
      <c r="J11" t="str">
        <f t="shared" si="0"/>
        <v>Q1</v>
      </c>
      <c r="K11" t="str">
        <f t="shared" si="1"/>
        <v>Jan-2019</v>
      </c>
      <c r="L11" t="str">
        <f t="shared" si="2"/>
        <v>Low</v>
      </c>
    </row>
    <row r="12" spans="1:12" x14ac:dyDescent="0.3">
      <c r="A12">
        <v>2019</v>
      </c>
      <c r="B12" s="2" t="s">
        <v>7</v>
      </c>
      <c r="C12" t="s">
        <v>16</v>
      </c>
      <c r="D12" t="s">
        <v>12</v>
      </c>
      <c r="E12">
        <v>6.53</v>
      </c>
      <c r="F12">
        <v>142</v>
      </c>
      <c r="G12">
        <v>2.39</v>
      </c>
      <c r="H12" s="3">
        <f t="shared" si="3"/>
        <v>43466</v>
      </c>
      <c r="I12">
        <f>MONTH(Table1[[#This Row],[Date]])</f>
        <v>1</v>
      </c>
      <c r="J12" t="str">
        <f t="shared" si="0"/>
        <v>Q1</v>
      </c>
      <c r="K12" t="str">
        <f t="shared" si="1"/>
        <v>Jan-2019</v>
      </c>
      <c r="L12" t="str">
        <f t="shared" si="2"/>
        <v>Low</v>
      </c>
    </row>
    <row r="13" spans="1:12" x14ac:dyDescent="0.3">
      <c r="A13">
        <v>2019</v>
      </c>
      <c r="B13" s="2" t="s">
        <v>7</v>
      </c>
      <c r="C13" t="s">
        <v>16</v>
      </c>
      <c r="D13" t="s">
        <v>13</v>
      </c>
      <c r="E13">
        <v>10.07</v>
      </c>
      <c r="F13">
        <v>144</v>
      </c>
      <c r="G13">
        <v>2.4700000000000002</v>
      </c>
      <c r="H13" s="3">
        <f t="shared" si="3"/>
        <v>43466</v>
      </c>
      <c r="I13">
        <f>MONTH(Table1[[#This Row],[Date]])</f>
        <v>1</v>
      </c>
      <c r="J13" t="str">
        <f t="shared" si="0"/>
        <v>Q1</v>
      </c>
      <c r="K13" t="str">
        <f t="shared" si="1"/>
        <v>Jan-2019</v>
      </c>
      <c r="L13" t="str">
        <f t="shared" si="2"/>
        <v>Low</v>
      </c>
    </row>
    <row r="14" spans="1:12" x14ac:dyDescent="0.3">
      <c r="A14">
        <v>2019</v>
      </c>
      <c r="B14" s="2" t="s">
        <v>7</v>
      </c>
      <c r="C14" t="s">
        <v>16</v>
      </c>
      <c r="D14" t="s">
        <v>14</v>
      </c>
      <c r="E14">
        <v>6.84</v>
      </c>
      <c r="F14">
        <v>146</v>
      </c>
      <c r="G14">
        <v>2.5499999999999998</v>
      </c>
      <c r="H14" s="3">
        <f t="shared" si="3"/>
        <v>43466</v>
      </c>
      <c r="I14">
        <f>MONTH(Table1[[#This Row],[Date]])</f>
        <v>1</v>
      </c>
      <c r="J14" t="str">
        <f t="shared" si="0"/>
        <v>Q1</v>
      </c>
      <c r="K14" t="str">
        <f t="shared" si="1"/>
        <v>Jan-2019</v>
      </c>
      <c r="L14" t="str">
        <f t="shared" si="2"/>
        <v>Low</v>
      </c>
    </row>
    <row r="15" spans="1:12" x14ac:dyDescent="0.3">
      <c r="A15">
        <v>2019</v>
      </c>
      <c r="B15" s="2" t="s">
        <v>7</v>
      </c>
      <c r="C15" t="s">
        <v>16</v>
      </c>
      <c r="D15" t="s">
        <v>15</v>
      </c>
      <c r="E15">
        <v>28.32</v>
      </c>
      <c r="F15">
        <v>148</v>
      </c>
      <c r="G15">
        <v>2.63</v>
      </c>
      <c r="H15" s="3">
        <f t="shared" si="3"/>
        <v>43466</v>
      </c>
      <c r="I15">
        <f>MONTH(Table1[[#This Row],[Date]])</f>
        <v>1</v>
      </c>
      <c r="J15" t="str">
        <f t="shared" si="0"/>
        <v>Q1</v>
      </c>
      <c r="K15" t="str">
        <f t="shared" si="1"/>
        <v>Jan-2019</v>
      </c>
      <c r="L15" t="str">
        <f t="shared" si="2"/>
        <v>Low</v>
      </c>
    </row>
    <row r="16" spans="1:12" x14ac:dyDescent="0.3">
      <c r="A16">
        <v>2019</v>
      </c>
      <c r="B16" s="2" t="s">
        <v>7</v>
      </c>
      <c r="C16" t="s">
        <v>17</v>
      </c>
      <c r="D16" t="s">
        <v>9</v>
      </c>
      <c r="E16">
        <v>100</v>
      </c>
      <c r="F16">
        <v>136.6</v>
      </c>
      <c r="G16">
        <v>2.15</v>
      </c>
      <c r="H16" s="3">
        <f t="shared" si="3"/>
        <v>43466</v>
      </c>
      <c r="I16">
        <f>MONTH(Table1[[#This Row],[Date]])</f>
        <v>1</v>
      </c>
      <c r="J16" t="str">
        <f t="shared" si="0"/>
        <v>Q1</v>
      </c>
      <c r="K16" t="str">
        <f t="shared" si="1"/>
        <v>Jan-2019</v>
      </c>
      <c r="L16" t="str">
        <f t="shared" si="2"/>
        <v>Low</v>
      </c>
    </row>
    <row r="17" spans="1:12" x14ac:dyDescent="0.3">
      <c r="A17">
        <v>2019</v>
      </c>
      <c r="B17" s="2" t="s">
        <v>7</v>
      </c>
      <c r="C17" t="s">
        <v>17</v>
      </c>
      <c r="D17" t="s">
        <v>10</v>
      </c>
      <c r="E17">
        <v>45.86</v>
      </c>
      <c r="F17">
        <v>138.6</v>
      </c>
      <c r="G17">
        <v>2.23</v>
      </c>
      <c r="H17" s="3">
        <f t="shared" si="3"/>
        <v>43466</v>
      </c>
      <c r="I17">
        <f>MONTH(Table1[[#This Row],[Date]])</f>
        <v>1</v>
      </c>
      <c r="J17" t="str">
        <f t="shared" si="0"/>
        <v>Q1</v>
      </c>
      <c r="K17" t="str">
        <f t="shared" si="1"/>
        <v>Jan-2019</v>
      </c>
      <c r="L17" t="str">
        <f t="shared" si="2"/>
        <v>Low</v>
      </c>
    </row>
    <row r="18" spans="1:12" x14ac:dyDescent="0.3">
      <c r="A18">
        <v>2019</v>
      </c>
      <c r="B18" s="2" t="s">
        <v>7</v>
      </c>
      <c r="C18" t="s">
        <v>17</v>
      </c>
      <c r="D18" t="s">
        <v>11</v>
      </c>
      <c r="E18">
        <v>2.38</v>
      </c>
      <c r="F18">
        <v>140.6</v>
      </c>
      <c r="G18">
        <v>2.31</v>
      </c>
      <c r="H18" s="3">
        <f t="shared" si="3"/>
        <v>43466</v>
      </c>
      <c r="I18">
        <f>MONTH(Table1[[#This Row],[Date]])</f>
        <v>1</v>
      </c>
      <c r="J18" t="str">
        <f t="shared" si="0"/>
        <v>Q1</v>
      </c>
      <c r="K18" t="str">
        <f t="shared" si="1"/>
        <v>Jan-2019</v>
      </c>
      <c r="L18" t="str">
        <f t="shared" si="2"/>
        <v>Low</v>
      </c>
    </row>
    <row r="19" spans="1:12" x14ac:dyDescent="0.3">
      <c r="A19">
        <v>2019</v>
      </c>
      <c r="B19" s="2" t="s">
        <v>7</v>
      </c>
      <c r="C19" t="s">
        <v>17</v>
      </c>
      <c r="D19" t="s">
        <v>12</v>
      </c>
      <c r="E19">
        <v>6.53</v>
      </c>
      <c r="F19">
        <v>142.6</v>
      </c>
      <c r="G19">
        <v>2.39</v>
      </c>
      <c r="H19" s="3">
        <f t="shared" si="3"/>
        <v>43466</v>
      </c>
      <c r="I19">
        <f>MONTH(Table1[[#This Row],[Date]])</f>
        <v>1</v>
      </c>
      <c r="J19" t="str">
        <f t="shared" si="0"/>
        <v>Q1</v>
      </c>
      <c r="K19" t="str">
        <f t="shared" si="1"/>
        <v>Jan-2019</v>
      </c>
      <c r="L19" t="str">
        <f t="shared" si="2"/>
        <v>Low</v>
      </c>
    </row>
    <row r="20" spans="1:12" x14ac:dyDescent="0.3">
      <c r="A20">
        <v>2019</v>
      </c>
      <c r="B20" s="2" t="s">
        <v>7</v>
      </c>
      <c r="C20" t="s">
        <v>17</v>
      </c>
      <c r="D20" t="s">
        <v>13</v>
      </c>
      <c r="E20">
        <v>10.07</v>
      </c>
      <c r="F20">
        <v>144.6</v>
      </c>
      <c r="G20">
        <v>2.4700000000000002</v>
      </c>
      <c r="H20" s="3">
        <f t="shared" si="3"/>
        <v>43466</v>
      </c>
      <c r="I20">
        <f>MONTH(Table1[[#This Row],[Date]])</f>
        <v>1</v>
      </c>
      <c r="J20" t="str">
        <f t="shared" si="0"/>
        <v>Q1</v>
      </c>
      <c r="K20" t="str">
        <f t="shared" si="1"/>
        <v>Jan-2019</v>
      </c>
      <c r="L20" t="str">
        <f t="shared" si="2"/>
        <v>Low</v>
      </c>
    </row>
    <row r="21" spans="1:12" x14ac:dyDescent="0.3">
      <c r="A21">
        <v>2019</v>
      </c>
      <c r="B21" s="2" t="s">
        <v>7</v>
      </c>
      <c r="C21" t="s">
        <v>17</v>
      </c>
      <c r="D21" t="s">
        <v>14</v>
      </c>
      <c r="E21">
        <v>6.84</v>
      </c>
      <c r="F21">
        <v>146.6</v>
      </c>
      <c r="G21">
        <v>2.5499999999999998</v>
      </c>
      <c r="H21" s="3">
        <f t="shared" si="3"/>
        <v>43466</v>
      </c>
      <c r="I21">
        <f>MONTH(Table1[[#This Row],[Date]])</f>
        <v>1</v>
      </c>
      <c r="J21" t="str">
        <f t="shared" si="0"/>
        <v>Q1</v>
      </c>
      <c r="K21" t="str">
        <f t="shared" si="1"/>
        <v>Jan-2019</v>
      </c>
      <c r="L21" t="str">
        <f t="shared" si="2"/>
        <v>Low</v>
      </c>
    </row>
    <row r="22" spans="1:12" x14ac:dyDescent="0.3">
      <c r="A22">
        <v>2019</v>
      </c>
      <c r="B22" s="2" t="s">
        <v>7</v>
      </c>
      <c r="C22" t="s">
        <v>17</v>
      </c>
      <c r="D22" t="s">
        <v>15</v>
      </c>
      <c r="E22">
        <v>28.32</v>
      </c>
      <c r="F22">
        <v>148.6</v>
      </c>
      <c r="G22">
        <v>2.63</v>
      </c>
      <c r="H22" s="3">
        <f t="shared" si="3"/>
        <v>43466</v>
      </c>
      <c r="I22">
        <f>MONTH(Table1[[#This Row],[Date]])</f>
        <v>1</v>
      </c>
      <c r="J22" t="str">
        <f t="shared" si="0"/>
        <v>Q1</v>
      </c>
      <c r="K22" t="str">
        <f t="shared" si="1"/>
        <v>Jan-2019</v>
      </c>
      <c r="L22" t="str">
        <f t="shared" si="2"/>
        <v>Low</v>
      </c>
    </row>
    <row r="23" spans="1:12" x14ac:dyDescent="0.3">
      <c r="A23">
        <v>2019</v>
      </c>
      <c r="B23" s="2" t="s">
        <v>18</v>
      </c>
      <c r="C23" t="s">
        <v>8</v>
      </c>
      <c r="D23" t="s">
        <v>9</v>
      </c>
      <c r="E23">
        <v>100</v>
      </c>
      <c r="F23">
        <v>135.80000000000001</v>
      </c>
      <c r="G23">
        <v>2.2999999999999998</v>
      </c>
      <c r="H23" s="3">
        <f t="shared" si="3"/>
        <v>43497</v>
      </c>
      <c r="I23">
        <f>MONTH(Table1[[#This Row],[Date]])</f>
        <v>2</v>
      </c>
      <c r="J23" t="str">
        <f t="shared" si="0"/>
        <v>Q1</v>
      </c>
      <c r="K23" t="str">
        <f t="shared" si="1"/>
        <v>Feb-2019</v>
      </c>
      <c r="L23" t="str">
        <f t="shared" si="2"/>
        <v>Low</v>
      </c>
    </row>
    <row r="24" spans="1:12" x14ac:dyDescent="0.3">
      <c r="A24">
        <v>2019</v>
      </c>
      <c r="B24" s="2" t="s">
        <v>18</v>
      </c>
      <c r="C24" t="s">
        <v>8</v>
      </c>
      <c r="D24" t="s">
        <v>10</v>
      </c>
      <c r="E24">
        <v>45.86</v>
      </c>
      <c r="F24">
        <v>137.80000000000001</v>
      </c>
      <c r="G24">
        <v>2.38</v>
      </c>
      <c r="H24" s="3">
        <f t="shared" si="3"/>
        <v>43497</v>
      </c>
      <c r="I24">
        <f>MONTH(Table1[[#This Row],[Date]])</f>
        <v>2</v>
      </c>
      <c r="J24" t="str">
        <f t="shared" si="0"/>
        <v>Q1</v>
      </c>
      <c r="K24" t="str">
        <f t="shared" si="1"/>
        <v>Feb-2019</v>
      </c>
      <c r="L24" t="str">
        <f t="shared" si="2"/>
        <v>Low</v>
      </c>
    </row>
    <row r="25" spans="1:12" x14ac:dyDescent="0.3">
      <c r="A25">
        <v>2019</v>
      </c>
      <c r="B25" s="2" t="s">
        <v>18</v>
      </c>
      <c r="C25" t="s">
        <v>8</v>
      </c>
      <c r="D25" t="s">
        <v>11</v>
      </c>
      <c r="E25">
        <v>2.38</v>
      </c>
      <c r="F25">
        <v>139.80000000000001</v>
      </c>
      <c r="G25">
        <v>2.46</v>
      </c>
      <c r="H25" s="3">
        <f t="shared" si="3"/>
        <v>43497</v>
      </c>
      <c r="I25">
        <f>MONTH(Table1[[#This Row],[Date]])</f>
        <v>2</v>
      </c>
      <c r="J25" t="str">
        <f t="shared" si="0"/>
        <v>Q1</v>
      </c>
      <c r="K25" t="str">
        <f t="shared" si="1"/>
        <v>Feb-2019</v>
      </c>
      <c r="L25" t="str">
        <f t="shared" si="2"/>
        <v>Low</v>
      </c>
    </row>
    <row r="26" spans="1:12" x14ac:dyDescent="0.3">
      <c r="A26">
        <v>2019</v>
      </c>
      <c r="B26" s="2" t="s">
        <v>18</v>
      </c>
      <c r="C26" t="s">
        <v>8</v>
      </c>
      <c r="D26" t="s">
        <v>12</v>
      </c>
      <c r="E26">
        <v>6.53</v>
      </c>
      <c r="F26">
        <v>141.80000000000001</v>
      </c>
      <c r="G26">
        <v>2.54</v>
      </c>
      <c r="H26" s="3">
        <f t="shared" si="3"/>
        <v>43497</v>
      </c>
      <c r="I26">
        <f>MONTH(Table1[[#This Row],[Date]])</f>
        <v>2</v>
      </c>
      <c r="J26" t="str">
        <f t="shared" si="0"/>
        <v>Q1</v>
      </c>
      <c r="K26" t="str">
        <f t="shared" si="1"/>
        <v>Feb-2019</v>
      </c>
      <c r="L26" t="str">
        <f t="shared" si="2"/>
        <v>Low</v>
      </c>
    </row>
    <row r="27" spans="1:12" x14ac:dyDescent="0.3">
      <c r="A27">
        <v>2019</v>
      </c>
      <c r="B27" s="2" t="s">
        <v>18</v>
      </c>
      <c r="C27" t="s">
        <v>8</v>
      </c>
      <c r="D27" t="s">
        <v>13</v>
      </c>
      <c r="E27">
        <v>10.07</v>
      </c>
      <c r="F27">
        <v>143.80000000000001</v>
      </c>
      <c r="G27">
        <v>2.62</v>
      </c>
      <c r="H27" s="3">
        <f t="shared" si="3"/>
        <v>43497</v>
      </c>
      <c r="I27">
        <f>MONTH(Table1[[#This Row],[Date]])</f>
        <v>2</v>
      </c>
      <c r="J27" t="str">
        <f t="shared" si="0"/>
        <v>Q1</v>
      </c>
      <c r="K27" t="str">
        <f t="shared" si="1"/>
        <v>Feb-2019</v>
      </c>
      <c r="L27" t="str">
        <f t="shared" si="2"/>
        <v>Low</v>
      </c>
    </row>
    <row r="28" spans="1:12" x14ac:dyDescent="0.3">
      <c r="A28">
        <v>2019</v>
      </c>
      <c r="B28" s="2" t="s">
        <v>18</v>
      </c>
      <c r="C28" t="s">
        <v>8</v>
      </c>
      <c r="D28" t="s">
        <v>14</v>
      </c>
      <c r="E28">
        <v>6.84</v>
      </c>
      <c r="F28">
        <v>145.80000000000001</v>
      </c>
      <c r="G28">
        <v>2.7</v>
      </c>
      <c r="H28" s="3">
        <f t="shared" si="3"/>
        <v>43497</v>
      </c>
      <c r="I28">
        <f>MONTH(Table1[[#This Row],[Date]])</f>
        <v>2</v>
      </c>
      <c r="J28" t="str">
        <f t="shared" si="0"/>
        <v>Q1</v>
      </c>
      <c r="K28" t="str">
        <f t="shared" si="1"/>
        <v>Feb-2019</v>
      </c>
      <c r="L28" t="str">
        <f t="shared" si="2"/>
        <v>Low</v>
      </c>
    </row>
    <row r="29" spans="1:12" x14ac:dyDescent="0.3">
      <c r="A29">
        <v>2019</v>
      </c>
      <c r="B29" s="2" t="s">
        <v>18</v>
      </c>
      <c r="C29" t="s">
        <v>8</v>
      </c>
      <c r="D29" t="s">
        <v>15</v>
      </c>
      <c r="E29">
        <v>28.32</v>
      </c>
      <c r="F29">
        <v>147.80000000000001</v>
      </c>
      <c r="G29">
        <v>2.78</v>
      </c>
      <c r="H29" s="3">
        <f t="shared" si="3"/>
        <v>43497</v>
      </c>
      <c r="I29">
        <f>MONTH(Table1[[#This Row],[Date]])</f>
        <v>2</v>
      </c>
      <c r="J29" t="str">
        <f t="shared" si="0"/>
        <v>Q1</v>
      </c>
      <c r="K29" t="str">
        <f t="shared" si="1"/>
        <v>Feb-2019</v>
      </c>
      <c r="L29" t="str">
        <f t="shared" si="2"/>
        <v>Low</v>
      </c>
    </row>
    <row r="30" spans="1:12" x14ac:dyDescent="0.3">
      <c r="A30">
        <v>2019</v>
      </c>
      <c r="B30" s="2" t="s">
        <v>18</v>
      </c>
      <c r="C30" t="s">
        <v>16</v>
      </c>
      <c r="D30" t="s">
        <v>9</v>
      </c>
      <c r="E30">
        <v>100</v>
      </c>
      <c r="F30">
        <v>136.4</v>
      </c>
      <c r="G30">
        <v>2.2999999999999998</v>
      </c>
      <c r="H30" s="3">
        <f t="shared" si="3"/>
        <v>43497</v>
      </c>
      <c r="I30">
        <f>MONTH(Table1[[#This Row],[Date]])</f>
        <v>2</v>
      </c>
      <c r="J30" t="str">
        <f t="shared" si="0"/>
        <v>Q1</v>
      </c>
      <c r="K30" t="str">
        <f t="shared" si="1"/>
        <v>Feb-2019</v>
      </c>
      <c r="L30" t="str">
        <f t="shared" si="2"/>
        <v>Low</v>
      </c>
    </row>
    <row r="31" spans="1:12" x14ac:dyDescent="0.3">
      <c r="A31">
        <v>2019</v>
      </c>
      <c r="B31" s="2" t="s">
        <v>18</v>
      </c>
      <c r="C31" t="s">
        <v>16</v>
      </c>
      <c r="D31" t="s">
        <v>10</v>
      </c>
      <c r="E31">
        <v>45.86</v>
      </c>
      <c r="F31">
        <v>138.4</v>
      </c>
      <c r="G31">
        <v>2.38</v>
      </c>
      <c r="H31" s="3">
        <f t="shared" si="3"/>
        <v>43497</v>
      </c>
      <c r="I31">
        <f>MONTH(Table1[[#This Row],[Date]])</f>
        <v>2</v>
      </c>
      <c r="J31" t="str">
        <f t="shared" si="0"/>
        <v>Q1</v>
      </c>
      <c r="K31" t="str">
        <f t="shared" si="1"/>
        <v>Feb-2019</v>
      </c>
      <c r="L31" t="str">
        <f t="shared" si="2"/>
        <v>Low</v>
      </c>
    </row>
    <row r="32" spans="1:12" x14ac:dyDescent="0.3">
      <c r="A32">
        <v>2019</v>
      </c>
      <c r="B32" s="2" t="s">
        <v>18</v>
      </c>
      <c r="C32" t="s">
        <v>16</v>
      </c>
      <c r="D32" t="s">
        <v>11</v>
      </c>
      <c r="E32">
        <v>2.38</v>
      </c>
      <c r="F32">
        <v>140.4</v>
      </c>
      <c r="G32">
        <v>2.46</v>
      </c>
      <c r="H32" s="3">
        <f t="shared" si="3"/>
        <v>43497</v>
      </c>
      <c r="I32">
        <f>MONTH(Table1[[#This Row],[Date]])</f>
        <v>2</v>
      </c>
      <c r="J32" t="str">
        <f t="shared" si="0"/>
        <v>Q1</v>
      </c>
      <c r="K32" t="str">
        <f t="shared" si="1"/>
        <v>Feb-2019</v>
      </c>
      <c r="L32" t="str">
        <f t="shared" si="2"/>
        <v>Low</v>
      </c>
    </row>
    <row r="33" spans="1:12" x14ac:dyDescent="0.3">
      <c r="A33">
        <v>2019</v>
      </c>
      <c r="B33" s="2" t="s">
        <v>18</v>
      </c>
      <c r="C33" t="s">
        <v>16</v>
      </c>
      <c r="D33" t="s">
        <v>12</v>
      </c>
      <c r="E33">
        <v>6.53</v>
      </c>
      <c r="F33">
        <v>142.4</v>
      </c>
      <c r="G33">
        <v>2.54</v>
      </c>
      <c r="H33" s="3">
        <f t="shared" si="3"/>
        <v>43497</v>
      </c>
      <c r="I33">
        <f>MONTH(Table1[[#This Row],[Date]])</f>
        <v>2</v>
      </c>
      <c r="J33" t="str">
        <f t="shared" si="0"/>
        <v>Q1</v>
      </c>
      <c r="K33" t="str">
        <f t="shared" si="1"/>
        <v>Feb-2019</v>
      </c>
      <c r="L33" t="str">
        <f t="shared" si="2"/>
        <v>Low</v>
      </c>
    </row>
    <row r="34" spans="1:12" x14ac:dyDescent="0.3">
      <c r="A34">
        <v>2019</v>
      </c>
      <c r="B34" s="2" t="s">
        <v>18</v>
      </c>
      <c r="C34" t="s">
        <v>16</v>
      </c>
      <c r="D34" t="s">
        <v>13</v>
      </c>
      <c r="E34">
        <v>10.07</v>
      </c>
      <c r="F34">
        <v>144.4</v>
      </c>
      <c r="G34">
        <v>2.62</v>
      </c>
      <c r="H34" s="3">
        <f t="shared" si="3"/>
        <v>43497</v>
      </c>
      <c r="I34">
        <f>MONTH(Table1[[#This Row],[Date]])</f>
        <v>2</v>
      </c>
      <c r="J34" t="str">
        <f t="shared" si="0"/>
        <v>Q1</v>
      </c>
      <c r="K34" t="str">
        <f t="shared" si="1"/>
        <v>Feb-2019</v>
      </c>
      <c r="L34" t="str">
        <f t="shared" si="2"/>
        <v>Low</v>
      </c>
    </row>
    <row r="35" spans="1:12" x14ac:dyDescent="0.3">
      <c r="A35">
        <v>2019</v>
      </c>
      <c r="B35" s="2" t="s">
        <v>18</v>
      </c>
      <c r="C35" t="s">
        <v>16</v>
      </c>
      <c r="D35" t="s">
        <v>14</v>
      </c>
      <c r="E35">
        <v>6.84</v>
      </c>
      <c r="F35">
        <v>146.4</v>
      </c>
      <c r="G35">
        <v>2.7</v>
      </c>
      <c r="H35" s="3">
        <f t="shared" si="3"/>
        <v>43497</v>
      </c>
      <c r="I35">
        <f>MONTH(Table1[[#This Row],[Date]])</f>
        <v>2</v>
      </c>
      <c r="J35" t="str">
        <f t="shared" si="0"/>
        <v>Q1</v>
      </c>
      <c r="K35" t="str">
        <f t="shared" si="1"/>
        <v>Feb-2019</v>
      </c>
      <c r="L35" t="str">
        <f t="shared" si="2"/>
        <v>Low</v>
      </c>
    </row>
    <row r="36" spans="1:12" x14ac:dyDescent="0.3">
      <c r="A36">
        <v>2019</v>
      </c>
      <c r="B36" s="2" t="s">
        <v>18</v>
      </c>
      <c r="C36" t="s">
        <v>16</v>
      </c>
      <c r="D36" t="s">
        <v>15</v>
      </c>
      <c r="E36">
        <v>28.32</v>
      </c>
      <c r="F36">
        <v>148.4</v>
      </c>
      <c r="G36">
        <v>2.78</v>
      </c>
      <c r="H36" s="3">
        <f t="shared" si="3"/>
        <v>43497</v>
      </c>
      <c r="I36">
        <f>MONTH(Table1[[#This Row],[Date]])</f>
        <v>2</v>
      </c>
      <c r="J36" t="str">
        <f t="shared" si="0"/>
        <v>Q1</v>
      </c>
      <c r="K36" t="str">
        <f t="shared" si="1"/>
        <v>Feb-2019</v>
      </c>
      <c r="L36" t="str">
        <f t="shared" si="2"/>
        <v>Low</v>
      </c>
    </row>
    <row r="37" spans="1:12" x14ac:dyDescent="0.3">
      <c r="A37">
        <v>2019</v>
      </c>
      <c r="B37" s="2" t="s">
        <v>18</v>
      </c>
      <c r="C37" t="s">
        <v>17</v>
      </c>
      <c r="D37" t="s">
        <v>9</v>
      </c>
      <c r="E37">
        <v>100</v>
      </c>
      <c r="F37">
        <v>137</v>
      </c>
      <c r="G37">
        <v>2.2999999999999998</v>
      </c>
      <c r="H37" s="3">
        <f t="shared" si="3"/>
        <v>43497</v>
      </c>
      <c r="I37">
        <f>MONTH(Table1[[#This Row],[Date]])</f>
        <v>2</v>
      </c>
      <c r="J37" t="str">
        <f t="shared" si="0"/>
        <v>Q1</v>
      </c>
      <c r="K37" t="str">
        <f t="shared" si="1"/>
        <v>Feb-2019</v>
      </c>
      <c r="L37" t="str">
        <f t="shared" si="2"/>
        <v>Low</v>
      </c>
    </row>
    <row r="38" spans="1:12" x14ac:dyDescent="0.3">
      <c r="A38">
        <v>2019</v>
      </c>
      <c r="B38" s="2" t="s">
        <v>18</v>
      </c>
      <c r="C38" t="s">
        <v>17</v>
      </c>
      <c r="D38" t="s">
        <v>10</v>
      </c>
      <c r="E38">
        <v>45.86</v>
      </c>
      <c r="F38">
        <v>139</v>
      </c>
      <c r="G38">
        <v>2.38</v>
      </c>
      <c r="H38" s="3">
        <f t="shared" si="3"/>
        <v>43497</v>
      </c>
      <c r="I38">
        <f>MONTH(Table1[[#This Row],[Date]])</f>
        <v>2</v>
      </c>
      <c r="J38" t="str">
        <f t="shared" si="0"/>
        <v>Q1</v>
      </c>
      <c r="K38" t="str">
        <f t="shared" si="1"/>
        <v>Feb-2019</v>
      </c>
      <c r="L38" t="str">
        <f t="shared" si="2"/>
        <v>Low</v>
      </c>
    </row>
    <row r="39" spans="1:12" x14ac:dyDescent="0.3">
      <c r="A39">
        <v>2019</v>
      </c>
      <c r="B39" s="2" t="s">
        <v>18</v>
      </c>
      <c r="C39" t="s">
        <v>17</v>
      </c>
      <c r="D39" t="s">
        <v>11</v>
      </c>
      <c r="E39">
        <v>2.38</v>
      </c>
      <c r="F39">
        <v>141</v>
      </c>
      <c r="G39">
        <v>2.46</v>
      </c>
      <c r="H39" s="3">
        <f t="shared" si="3"/>
        <v>43497</v>
      </c>
      <c r="I39">
        <f>MONTH(Table1[[#This Row],[Date]])</f>
        <v>2</v>
      </c>
      <c r="J39" t="str">
        <f t="shared" si="0"/>
        <v>Q1</v>
      </c>
      <c r="K39" t="str">
        <f t="shared" si="1"/>
        <v>Feb-2019</v>
      </c>
      <c r="L39" t="str">
        <f t="shared" si="2"/>
        <v>Low</v>
      </c>
    </row>
    <row r="40" spans="1:12" x14ac:dyDescent="0.3">
      <c r="A40">
        <v>2019</v>
      </c>
      <c r="B40" s="2" t="s">
        <v>18</v>
      </c>
      <c r="C40" t="s">
        <v>17</v>
      </c>
      <c r="D40" t="s">
        <v>12</v>
      </c>
      <c r="E40">
        <v>6.53</v>
      </c>
      <c r="F40">
        <v>143</v>
      </c>
      <c r="G40">
        <v>2.54</v>
      </c>
      <c r="H40" s="3">
        <f t="shared" si="3"/>
        <v>43497</v>
      </c>
      <c r="I40">
        <f>MONTH(Table1[[#This Row],[Date]])</f>
        <v>2</v>
      </c>
      <c r="J40" t="str">
        <f t="shared" si="0"/>
        <v>Q1</v>
      </c>
      <c r="K40" t="str">
        <f t="shared" si="1"/>
        <v>Feb-2019</v>
      </c>
      <c r="L40" t="str">
        <f t="shared" si="2"/>
        <v>Low</v>
      </c>
    </row>
    <row r="41" spans="1:12" x14ac:dyDescent="0.3">
      <c r="A41">
        <v>2019</v>
      </c>
      <c r="B41" s="2" t="s">
        <v>18</v>
      </c>
      <c r="C41" t="s">
        <v>17</v>
      </c>
      <c r="D41" t="s">
        <v>13</v>
      </c>
      <c r="E41">
        <v>10.07</v>
      </c>
      <c r="F41">
        <v>145</v>
      </c>
      <c r="G41">
        <v>2.62</v>
      </c>
      <c r="H41" s="3">
        <f t="shared" si="3"/>
        <v>43497</v>
      </c>
      <c r="I41">
        <f>MONTH(Table1[[#This Row],[Date]])</f>
        <v>2</v>
      </c>
      <c r="J41" t="str">
        <f t="shared" si="0"/>
        <v>Q1</v>
      </c>
      <c r="K41" t="str">
        <f t="shared" si="1"/>
        <v>Feb-2019</v>
      </c>
      <c r="L41" t="str">
        <f t="shared" si="2"/>
        <v>Low</v>
      </c>
    </row>
    <row r="42" spans="1:12" x14ac:dyDescent="0.3">
      <c r="A42">
        <v>2019</v>
      </c>
      <c r="B42" s="2" t="s">
        <v>18</v>
      </c>
      <c r="C42" t="s">
        <v>17</v>
      </c>
      <c r="D42" t="s">
        <v>14</v>
      </c>
      <c r="E42">
        <v>6.84</v>
      </c>
      <c r="F42">
        <v>147</v>
      </c>
      <c r="G42">
        <v>2.7</v>
      </c>
      <c r="H42" s="3">
        <f t="shared" si="3"/>
        <v>43497</v>
      </c>
      <c r="I42">
        <f>MONTH(Table1[[#This Row],[Date]])</f>
        <v>2</v>
      </c>
      <c r="J42" t="str">
        <f t="shared" si="0"/>
        <v>Q1</v>
      </c>
      <c r="K42" t="str">
        <f t="shared" si="1"/>
        <v>Feb-2019</v>
      </c>
      <c r="L42" t="str">
        <f t="shared" si="2"/>
        <v>Low</v>
      </c>
    </row>
    <row r="43" spans="1:12" x14ac:dyDescent="0.3">
      <c r="A43">
        <v>2019</v>
      </c>
      <c r="B43" s="2" t="s">
        <v>18</v>
      </c>
      <c r="C43" t="s">
        <v>17</v>
      </c>
      <c r="D43" t="s">
        <v>15</v>
      </c>
      <c r="E43">
        <v>28.32</v>
      </c>
      <c r="F43">
        <v>149</v>
      </c>
      <c r="G43">
        <v>2.78</v>
      </c>
      <c r="H43" s="3">
        <f t="shared" si="3"/>
        <v>43497</v>
      </c>
      <c r="I43">
        <f>MONTH(Table1[[#This Row],[Date]])</f>
        <v>2</v>
      </c>
      <c r="J43" t="str">
        <f t="shared" si="0"/>
        <v>Q1</v>
      </c>
      <c r="K43" t="str">
        <f t="shared" si="1"/>
        <v>Feb-2019</v>
      </c>
      <c r="L43" t="str">
        <f t="shared" si="2"/>
        <v>Low</v>
      </c>
    </row>
    <row r="44" spans="1:12" x14ac:dyDescent="0.3">
      <c r="A44">
        <v>2019</v>
      </c>
      <c r="B44" s="2" t="s">
        <v>19</v>
      </c>
      <c r="C44" t="s">
        <v>8</v>
      </c>
      <c r="D44" t="s">
        <v>9</v>
      </c>
      <c r="E44">
        <v>100</v>
      </c>
      <c r="F44">
        <v>136.19999999999999</v>
      </c>
      <c r="G44">
        <v>2.4500000000000002</v>
      </c>
      <c r="H44" s="3">
        <f t="shared" si="3"/>
        <v>43525</v>
      </c>
      <c r="I44">
        <f>MONTH(Table1[[#This Row],[Date]])</f>
        <v>3</v>
      </c>
      <c r="J44" t="str">
        <f t="shared" si="0"/>
        <v>Q1</v>
      </c>
      <c r="K44" t="str">
        <f t="shared" si="1"/>
        <v>Mar-2019</v>
      </c>
      <c r="L44" t="str">
        <f t="shared" si="2"/>
        <v>Low</v>
      </c>
    </row>
    <row r="45" spans="1:12" x14ac:dyDescent="0.3">
      <c r="A45">
        <v>2019</v>
      </c>
      <c r="B45" s="2" t="s">
        <v>19</v>
      </c>
      <c r="C45" t="s">
        <v>8</v>
      </c>
      <c r="D45" t="s">
        <v>10</v>
      </c>
      <c r="E45">
        <v>45.86</v>
      </c>
      <c r="F45">
        <v>138.19999999999999</v>
      </c>
      <c r="G45">
        <v>2.5299999999999998</v>
      </c>
      <c r="H45" s="3">
        <f t="shared" si="3"/>
        <v>43525</v>
      </c>
      <c r="I45">
        <f>MONTH(Table1[[#This Row],[Date]])</f>
        <v>3</v>
      </c>
      <c r="J45" t="str">
        <f t="shared" si="0"/>
        <v>Q1</v>
      </c>
      <c r="K45" t="str">
        <f t="shared" si="1"/>
        <v>Mar-2019</v>
      </c>
      <c r="L45" t="str">
        <f t="shared" si="2"/>
        <v>Low</v>
      </c>
    </row>
    <row r="46" spans="1:12" x14ac:dyDescent="0.3">
      <c r="A46">
        <v>2019</v>
      </c>
      <c r="B46" s="2" t="s">
        <v>19</v>
      </c>
      <c r="C46" t="s">
        <v>8</v>
      </c>
      <c r="D46" t="s">
        <v>11</v>
      </c>
      <c r="E46">
        <v>2.38</v>
      </c>
      <c r="F46">
        <v>140.19999999999999</v>
      </c>
      <c r="G46">
        <v>2.61</v>
      </c>
      <c r="H46" s="3">
        <f t="shared" si="3"/>
        <v>43525</v>
      </c>
      <c r="I46">
        <f>MONTH(Table1[[#This Row],[Date]])</f>
        <v>3</v>
      </c>
      <c r="J46" t="str">
        <f t="shared" si="0"/>
        <v>Q1</v>
      </c>
      <c r="K46" t="str">
        <f t="shared" si="1"/>
        <v>Mar-2019</v>
      </c>
      <c r="L46" t="str">
        <f t="shared" si="2"/>
        <v>Low</v>
      </c>
    </row>
    <row r="47" spans="1:12" x14ac:dyDescent="0.3">
      <c r="A47">
        <v>2019</v>
      </c>
      <c r="B47" s="2" t="s">
        <v>19</v>
      </c>
      <c r="C47" t="s">
        <v>8</v>
      </c>
      <c r="D47" t="s">
        <v>12</v>
      </c>
      <c r="E47">
        <v>6.53</v>
      </c>
      <c r="F47">
        <v>142.19999999999999</v>
      </c>
      <c r="G47">
        <v>2.69</v>
      </c>
      <c r="H47" s="3">
        <f t="shared" si="3"/>
        <v>43525</v>
      </c>
      <c r="I47">
        <f>MONTH(Table1[[#This Row],[Date]])</f>
        <v>3</v>
      </c>
      <c r="J47" t="str">
        <f t="shared" si="0"/>
        <v>Q1</v>
      </c>
      <c r="K47" t="str">
        <f t="shared" si="1"/>
        <v>Mar-2019</v>
      </c>
      <c r="L47" t="str">
        <f t="shared" si="2"/>
        <v>Low</v>
      </c>
    </row>
    <row r="48" spans="1:12" x14ac:dyDescent="0.3">
      <c r="A48">
        <v>2019</v>
      </c>
      <c r="B48" s="2" t="s">
        <v>19</v>
      </c>
      <c r="C48" t="s">
        <v>8</v>
      </c>
      <c r="D48" t="s">
        <v>13</v>
      </c>
      <c r="E48">
        <v>10.07</v>
      </c>
      <c r="F48">
        <v>144.19999999999999</v>
      </c>
      <c r="G48">
        <v>2.77</v>
      </c>
      <c r="H48" s="3">
        <f t="shared" si="3"/>
        <v>43525</v>
      </c>
      <c r="I48">
        <f>MONTH(Table1[[#This Row],[Date]])</f>
        <v>3</v>
      </c>
      <c r="J48" t="str">
        <f t="shared" si="0"/>
        <v>Q1</v>
      </c>
      <c r="K48" t="str">
        <f t="shared" si="1"/>
        <v>Mar-2019</v>
      </c>
      <c r="L48" t="str">
        <f t="shared" si="2"/>
        <v>Low</v>
      </c>
    </row>
    <row r="49" spans="1:12" x14ac:dyDescent="0.3">
      <c r="A49">
        <v>2019</v>
      </c>
      <c r="B49" s="2" t="s">
        <v>19</v>
      </c>
      <c r="C49" t="s">
        <v>8</v>
      </c>
      <c r="D49" t="s">
        <v>14</v>
      </c>
      <c r="E49">
        <v>6.84</v>
      </c>
      <c r="F49">
        <v>146.19999999999999</v>
      </c>
      <c r="G49">
        <v>2.85</v>
      </c>
      <c r="H49" s="3">
        <f t="shared" si="3"/>
        <v>43525</v>
      </c>
      <c r="I49">
        <f>MONTH(Table1[[#This Row],[Date]])</f>
        <v>3</v>
      </c>
      <c r="J49" t="str">
        <f t="shared" si="0"/>
        <v>Q1</v>
      </c>
      <c r="K49" t="str">
        <f t="shared" si="1"/>
        <v>Mar-2019</v>
      </c>
      <c r="L49" t="str">
        <f t="shared" si="2"/>
        <v>Low</v>
      </c>
    </row>
    <row r="50" spans="1:12" x14ac:dyDescent="0.3">
      <c r="A50">
        <v>2019</v>
      </c>
      <c r="B50" s="2" t="s">
        <v>19</v>
      </c>
      <c r="C50" t="s">
        <v>8</v>
      </c>
      <c r="D50" t="s">
        <v>15</v>
      </c>
      <c r="E50">
        <v>28.32</v>
      </c>
      <c r="F50">
        <v>148.19999999999999</v>
      </c>
      <c r="G50">
        <v>2.93</v>
      </c>
      <c r="H50" s="3">
        <f t="shared" si="3"/>
        <v>43525</v>
      </c>
      <c r="I50">
        <f>MONTH(Table1[[#This Row],[Date]])</f>
        <v>3</v>
      </c>
      <c r="J50" t="str">
        <f t="shared" si="0"/>
        <v>Q1</v>
      </c>
      <c r="K50" t="str">
        <f t="shared" si="1"/>
        <v>Mar-2019</v>
      </c>
      <c r="L50" t="str">
        <f t="shared" si="2"/>
        <v>Low</v>
      </c>
    </row>
    <row r="51" spans="1:12" x14ac:dyDescent="0.3">
      <c r="A51">
        <v>2019</v>
      </c>
      <c r="B51" s="2" t="s">
        <v>19</v>
      </c>
      <c r="C51" t="s">
        <v>16</v>
      </c>
      <c r="D51" t="s">
        <v>9</v>
      </c>
      <c r="E51">
        <v>100</v>
      </c>
      <c r="F51">
        <v>136.80000000000001</v>
      </c>
      <c r="G51">
        <v>2.4500000000000002</v>
      </c>
      <c r="H51" s="3">
        <f t="shared" si="3"/>
        <v>43525</v>
      </c>
      <c r="I51">
        <f>MONTH(Table1[[#This Row],[Date]])</f>
        <v>3</v>
      </c>
      <c r="J51" t="str">
        <f t="shared" si="0"/>
        <v>Q1</v>
      </c>
      <c r="K51" t="str">
        <f t="shared" si="1"/>
        <v>Mar-2019</v>
      </c>
      <c r="L51" t="str">
        <f t="shared" si="2"/>
        <v>Low</v>
      </c>
    </row>
    <row r="52" spans="1:12" x14ac:dyDescent="0.3">
      <c r="A52">
        <v>2019</v>
      </c>
      <c r="B52" s="2" t="s">
        <v>19</v>
      </c>
      <c r="C52" t="s">
        <v>16</v>
      </c>
      <c r="D52" t="s">
        <v>10</v>
      </c>
      <c r="E52">
        <v>45.86</v>
      </c>
      <c r="F52">
        <v>138.80000000000001</v>
      </c>
      <c r="G52">
        <v>2.5299999999999998</v>
      </c>
      <c r="H52" s="3">
        <f t="shared" si="3"/>
        <v>43525</v>
      </c>
      <c r="I52">
        <f>MONTH(Table1[[#This Row],[Date]])</f>
        <v>3</v>
      </c>
      <c r="J52" t="str">
        <f t="shared" si="0"/>
        <v>Q1</v>
      </c>
      <c r="K52" t="str">
        <f t="shared" si="1"/>
        <v>Mar-2019</v>
      </c>
      <c r="L52" t="str">
        <f t="shared" si="2"/>
        <v>Low</v>
      </c>
    </row>
    <row r="53" spans="1:12" x14ac:dyDescent="0.3">
      <c r="A53">
        <v>2019</v>
      </c>
      <c r="B53" s="2" t="s">
        <v>19</v>
      </c>
      <c r="C53" t="s">
        <v>16</v>
      </c>
      <c r="D53" t="s">
        <v>11</v>
      </c>
      <c r="E53">
        <v>2.38</v>
      </c>
      <c r="F53">
        <v>140.80000000000001</v>
      </c>
      <c r="G53">
        <v>2.61</v>
      </c>
      <c r="H53" s="3">
        <f t="shared" si="3"/>
        <v>43525</v>
      </c>
      <c r="I53">
        <f>MONTH(Table1[[#This Row],[Date]])</f>
        <v>3</v>
      </c>
      <c r="J53" t="str">
        <f t="shared" si="0"/>
        <v>Q1</v>
      </c>
      <c r="K53" t="str">
        <f t="shared" si="1"/>
        <v>Mar-2019</v>
      </c>
      <c r="L53" t="str">
        <f t="shared" si="2"/>
        <v>Low</v>
      </c>
    </row>
    <row r="54" spans="1:12" x14ac:dyDescent="0.3">
      <c r="A54">
        <v>2019</v>
      </c>
      <c r="B54" s="2" t="s">
        <v>19</v>
      </c>
      <c r="C54" t="s">
        <v>16</v>
      </c>
      <c r="D54" t="s">
        <v>12</v>
      </c>
      <c r="E54">
        <v>6.53</v>
      </c>
      <c r="F54">
        <v>142.80000000000001</v>
      </c>
      <c r="G54">
        <v>2.69</v>
      </c>
      <c r="H54" s="3">
        <f t="shared" si="3"/>
        <v>43525</v>
      </c>
      <c r="I54">
        <f>MONTH(Table1[[#This Row],[Date]])</f>
        <v>3</v>
      </c>
      <c r="J54" t="str">
        <f t="shared" si="0"/>
        <v>Q1</v>
      </c>
      <c r="K54" t="str">
        <f t="shared" si="1"/>
        <v>Mar-2019</v>
      </c>
      <c r="L54" t="str">
        <f t="shared" si="2"/>
        <v>Low</v>
      </c>
    </row>
    <row r="55" spans="1:12" x14ac:dyDescent="0.3">
      <c r="A55">
        <v>2019</v>
      </c>
      <c r="B55" s="2" t="s">
        <v>19</v>
      </c>
      <c r="C55" t="s">
        <v>16</v>
      </c>
      <c r="D55" t="s">
        <v>13</v>
      </c>
      <c r="E55">
        <v>10.07</v>
      </c>
      <c r="F55">
        <v>144.80000000000001</v>
      </c>
      <c r="G55">
        <v>2.77</v>
      </c>
      <c r="H55" s="3">
        <f t="shared" si="3"/>
        <v>43525</v>
      </c>
      <c r="I55">
        <f>MONTH(Table1[[#This Row],[Date]])</f>
        <v>3</v>
      </c>
      <c r="J55" t="str">
        <f t="shared" si="0"/>
        <v>Q1</v>
      </c>
      <c r="K55" t="str">
        <f t="shared" si="1"/>
        <v>Mar-2019</v>
      </c>
      <c r="L55" t="str">
        <f t="shared" si="2"/>
        <v>Low</v>
      </c>
    </row>
    <row r="56" spans="1:12" x14ac:dyDescent="0.3">
      <c r="A56">
        <v>2019</v>
      </c>
      <c r="B56" s="2" t="s">
        <v>19</v>
      </c>
      <c r="C56" t="s">
        <v>16</v>
      </c>
      <c r="D56" t="s">
        <v>14</v>
      </c>
      <c r="E56">
        <v>6.84</v>
      </c>
      <c r="F56">
        <v>146.80000000000001</v>
      </c>
      <c r="G56">
        <v>2.85</v>
      </c>
      <c r="H56" s="3">
        <f t="shared" si="3"/>
        <v>43525</v>
      </c>
      <c r="I56">
        <f>MONTH(Table1[[#This Row],[Date]])</f>
        <v>3</v>
      </c>
      <c r="J56" t="str">
        <f t="shared" si="0"/>
        <v>Q1</v>
      </c>
      <c r="K56" t="str">
        <f t="shared" si="1"/>
        <v>Mar-2019</v>
      </c>
      <c r="L56" t="str">
        <f t="shared" si="2"/>
        <v>Low</v>
      </c>
    </row>
    <row r="57" spans="1:12" x14ac:dyDescent="0.3">
      <c r="A57">
        <v>2019</v>
      </c>
      <c r="B57" s="2" t="s">
        <v>19</v>
      </c>
      <c r="C57" t="s">
        <v>16</v>
      </c>
      <c r="D57" t="s">
        <v>15</v>
      </c>
      <c r="E57">
        <v>28.32</v>
      </c>
      <c r="F57">
        <v>148.80000000000001</v>
      </c>
      <c r="G57">
        <v>2.93</v>
      </c>
      <c r="H57" s="3">
        <f t="shared" si="3"/>
        <v>43525</v>
      </c>
      <c r="I57">
        <f>MONTH(Table1[[#This Row],[Date]])</f>
        <v>3</v>
      </c>
      <c r="J57" t="str">
        <f t="shared" si="0"/>
        <v>Q1</v>
      </c>
      <c r="K57" t="str">
        <f t="shared" si="1"/>
        <v>Mar-2019</v>
      </c>
      <c r="L57" t="str">
        <f t="shared" si="2"/>
        <v>Low</v>
      </c>
    </row>
    <row r="58" spans="1:12" x14ac:dyDescent="0.3">
      <c r="A58">
        <v>2019</v>
      </c>
      <c r="B58" s="2" t="s">
        <v>19</v>
      </c>
      <c r="C58" t="s">
        <v>17</v>
      </c>
      <c r="D58" t="s">
        <v>9</v>
      </c>
      <c r="E58">
        <v>100</v>
      </c>
      <c r="F58">
        <v>137.4</v>
      </c>
      <c r="G58">
        <v>2.4500000000000002</v>
      </c>
      <c r="H58" s="3">
        <f t="shared" si="3"/>
        <v>43525</v>
      </c>
      <c r="I58">
        <f>MONTH(Table1[[#This Row],[Date]])</f>
        <v>3</v>
      </c>
      <c r="J58" t="str">
        <f t="shared" si="0"/>
        <v>Q1</v>
      </c>
      <c r="K58" t="str">
        <f t="shared" si="1"/>
        <v>Mar-2019</v>
      </c>
      <c r="L58" t="str">
        <f t="shared" si="2"/>
        <v>Low</v>
      </c>
    </row>
    <row r="59" spans="1:12" x14ac:dyDescent="0.3">
      <c r="A59">
        <v>2019</v>
      </c>
      <c r="B59" s="2" t="s">
        <v>19</v>
      </c>
      <c r="C59" t="s">
        <v>17</v>
      </c>
      <c r="D59" t="s">
        <v>10</v>
      </c>
      <c r="E59">
        <v>45.86</v>
      </c>
      <c r="F59">
        <v>139.4</v>
      </c>
      <c r="G59">
        <v>2.5299999999999998</v>
      </c>
      <c r="H59" s="3">
        <f t="shared" si="3"/>
        <v>43525</v>
      </c>
      <c r="I59">
        <f>MONTH(Table1[[#This Row],[Date]])</f>
        <v>3</v>
      </c>
      <c r="J59" t="str">
        <f t="shared" si="0"/>
        <v>Q1</v>
      </c>
      <c r="K59" t="str">
        <f t="shared" si="1"/>
        <v>Mar-2019</v>
      </c>
      <c r="L59" t="str">
        <f t="shared" si="2"/>
        <v>Low</v>
      </c>
    </row>
    <row r="60" spans="1:12" x14ac:dyDescent="0.3">
      <c r="A60">
        <v>2019</v>
      </c>
      <c r="B60" s="2" t="s">
        <v>19</v>
      </c>
      <c r="C60" t="s">
        <v>17</v>
      </c>
      <c r="D60" t="s">
        <v>11</v>
      </c>
      <c r="E60">
        <v>2.38</v>
      </c>
      <c r="F60">
        <v>141.4</v>
      </c>
      <c r="G60">
        <v>2.61</v>
      </c>
      <c r="H60" s="3">
        <f t="shared" si="3"/>
        <v>43525</v>
      </c>
      <c r="I60">
        <f>MONTH(Table1[[#This Row],[Date]])</f>
        <v>3</v>
      </c>
      <c r="J60" t="str">
        <f t="shared" si="0"/>
        <v>Q1</v>
      </c>
      <c r="K60" t="str">
        <f t="shared" si="1"/>
        <v>Mar-2019</v>
      </c>
      <c r="L60" t="str">
        <f t="shared" si="2"/>
        <v>Low</v>
      </c>
    </row>
    <row r="61" spans="1:12" x14ac:dyDescent="0.3">
      <c r="A61">
        <v>2019</v>
      </c>
      <c r="B61" s="2" t="s">
        <v>19</v>
      </c>
      <c r="C61" t="s">
        <v>17</v>
      </c>
      <c r="D61" t="s">
        <v>12</v>
      </c>
      <c r="E61">
        <v>6.53</v>
      </c>
      <c r="F61">
        <v>143.4</v>
      </c>
      <c r="G61">
        <v>2.69</v>
      </c>
      <c r="H61" s="3">
        <f t="shared" si="3"/>
        <v>43525</v>
      </c>
      <c r="I61">
        <f>MONTH(Table1[[#This Row],[Date]])</f>
        <v>3</v>
      </c>
      <c r="J61" t="str">
        <f t="shared" si="0"/>
        <v>Q1</v>
      </c>
      <c r="K61" t="str">
        <f t="shared" si="1"/>
        <v>Mar-2019</v>
      </c>
      <c r="L61" t="str">
        <f t="shared" si="2"/>
        <v>Low</v>
      </c>
    </row>
    <row r="62" spans="1:12" x14ac:dyDescent="0.3">
      <c r="A62">
        <v>2019</v>
      </c>
      <c r="B62" s="2" t="s">
        <v>19</v>
      </c>
      <c r="C62" t="s">
        <v>17</v>
      </c>
      <c r="D62" t="s">
        <v>13</v>
      </c>
      <c r="E62">
        <v>10.07</v>
      </c>
      <c r="F62">
        <v>145.4</v>
      </c>
      <c r="G62">
        <v>2.77</v>
      </c>
      <c r="H62" s="3">
        <f t="shared" si="3"/>
        <v>43525</v>
      </c>
      <c r="I62">
        <f>MONTH(Table1[[#This Row],[Date]])</f>
        <v>3</v>
      </c>
      <c r="J62" t="str">
        <f t="shared" si="0"/>
        <v>Q1</v>
      </c>
      <c r="K62" t="str">
        <f t="shared" si="1"/>
        <v>Mar-2019</v>
      </c>
      <c r="L62" t="str">
        <f t="shared" si="2"/>
        <v>Low</v>
      </c>
    </row>
    <row r="63" spans="1:12" x14ac:dyDescent="0.3">
      <c r="A63">
        <v>2019</v>
      </c>
      <c r="B63" s="2" t="s">
        <v>19</v>
      </c>
      <c r="C63" t="s">
        <v>17</v>
      </c>
      <c r="D63" t="s">
        <v>14</v>
      </c>
      <c r="E63">
        <v>6.84</v>
      </c>
      <c r="F63">
        <v>147.4</v>
      </c>
      <c r="G63">
        <v>2.85</v>
      </c>
      <c r="H63" s="3">
        <f t="shared" si="3"/>
        <v>43525</v>
      </c>
      <c r="I63">
        <f>MONTH(Table1[[#This Row],[Date]])</f>
        <v>3</v>
      </c>
      <c r="J63" t="str">
        <f t="shared" si="0"/>
        <v>Q1</v>
      </c>
      <c r="K63" t="str">
        <f t="shared" si="1"/>
        <v>Mar-2019</v>
      </c>
      <c r="L63" t="str">
        <f t="shared" si="2"/>
        <v>Low</v>
      </c>
    </row>
    <row r="64" spans="1:12" x14ac:dyDescent="0.3">
      <c r="A64">
        <v>2019</v>
      </c>
      <c r="B64" s="2" t="s">
        <v>19</v>
      </c>
      <c r="C64" t="s">
        <v>17</v>
      </c>
      <c r="D64" t="s">
        <v>15</v>
      </c>
      <c r="E64">
        <v>28.32</v>
      </c>
      <c r="F64">
        <v>149.4</v>
      </c>
      <c r="G64">
        <v>2.93</v>
      </c>
      <c r="H64" s="3">
        <f t="shared" si="3"/>
        <v>43525</v>
      </c>
      <c r="I64">
        <f>MONTH(Table1[[#This Row],[Date]])</f>
        <v>3</v>
      </c>
      <c r="J64" t="str">
        <f t="shared" si="0"/>
        <v>Q1</v>
      </c>
      <c r="K64" t="str">
        <f t="shared" si="1"/>
        <v>Mar-2019</v>
      </c>
      <c r="L64" t="str">
        <f t="shared" si="2"/>
        <v>Low</v>
      </c>
    </row>
    <row r="65" spans="1:12" x14ac:dyDescent="0.3">
      <c r="A65">
        <v>2019</v>
      </c>
      <c r="B65" s="2" t="s">
        <v>20</v>
      </c>
      <c r="C65" t="s">
        <v>8</v>
      </c>
      <c r="D65" t="s">
        <v>9</v>
      </c>
      <c r="E65">
        <v>100</v>
      </c>
      <c r="F65">
        <v>136.6</v>
      </c>
      <c r="G65">
        <v>2.6</v>
      </c>
      <c r="H65" s="3">
        <f t="shared" si="3"/>
        <v>43556</v>
      </c>
      <c r="I65">
        <f>MONTH(Table1[[#This Row],[Date]])</f>
        <v>4</v>
      </c>
      <c r="J65" t="str">
        <f t="shared" si="0"/>
        <v>Q2</v>
      </c>
      <c r="K65" t="str">
        <f t="shared" si="1"/>
        <v>Apr-2019</v>
      </c>
      <c r="L65" t="str">
        <f t="shared" si="2"/>
        <v>Low</v>
      </c>
    </row>
    <row r="66" spans="1:12" x14ac:dyDescent="0.3">
      <c r="A66">
        <v>2019</v>
      </c>
      <c r="B66" s="2" t="s">
        <v>20</v>
      </c>
      <c r="C66" t="s">
        <v>8</v>
      </c>
      <c r="D66" t="s">
        <v>10</v>
      </c>
      <c r="E66">
        <v>45.86</v>
      </c>
      <c r="F66">
        <v>138.6</v>
      </c>
      <c r="G66">
        <v>2.68</v>
      </c>
      <c r="H66" s="3">
        <f t="shared" ref="H66:H129" si="4">DATE(A66,MONTH(DATEVALUE(B66&amp;" 1")),1)</f>
        <v>43556</v>
      </c>
      <c r="I66">
        <f>MONTH(Table1[[#This Row],[Date]])</f>
        <v>4</v>
      </c>
      <c r="J66" t="str">
        <f t="shared" ref="J66:J129" si="5">"Q"&amp;ROUNDUP(MONTH(H66)/3,0)</f>
        <v>Q2</v>
      </c>
      <c r="K66" t="str">
        <f t="shared" ref="K66:K129" si="6">TEXT(H66,"mmm-yyyy")</f>
        <v>Apr-2019</v>
      </c>
      <c r="L66" t="str">
        <f t="shared" ref="L66:L129" si="7">IF(G66&lt;3,"Low",IF(G66&lt;4,"Medium","High"))</f>
        <v>Low</v>
      </c>
    </row>
    <row r="67" spans="1:12" x14ac:dyDescent="0.3">
      <c r="A67">
        <v>2019</v>
      </c>
      <c r="B67" s="2" t="s">
        <v>20</v>
      </c>
      <c r="C67" t="s">
        <v>8</v>
      </c>
      <c r="D67" t="s">
        <v>11</v>
      </c>
      <c r="E67">
        <v>2.38</v>
      </c>
      <c r="F67">
        <v>140.6</v>
      </c>
      <c r="G67">
        <v>2.76</v>
      </c>
      <c r="H67" s="3">
        <f t="shared" si="4"/>
        <v>43556</v>
      </c>
      <c r="I67">
        <f>MONTH(Table1[[#This Row],[Date]])</f>
        <v>4</v>
      </c>
      <c r="J67" t="str">
        <f t="shared" si="5"/>
        <v>Q2</v>
      </c>
      <c r="K67" t="str">
        <f t="shared" si="6"/>
        <v>Apr-2019</v>
      </c>
      <c r="L67" t="str">
        <f t="shared" si="7"/>
        <v>Low</v>
      </c>
    </row>
    <row r="68" spans="1:12" x14ac:dyDescent="0.3">
      <c r="A68">
        <v>2019</v>
      </c>
      <c r="B68" s="2" t="s">
        <v>20</v>
      </c>
      <c r="C68" t="s">
        <v>8</v>
      </c>
      <c r="D68" t="s">
        <v>12</v>
      </c>
      <c r="E68">
        <v>6.53</v>
      </c>
      <c r="F68">
        <v>142.6</v>
      </c>
      <c r="G68">
        <v>2.84</v>
      </c>
      <c r="H68" s="3">
        <f t="shared" si="4"/>
        <v>43556</v>
      </c>
      <c r="I68">
        <f>MONTH(Table1[[#This Row],[Date]])</f>
        <v>4</v>
      </c>
      <c r="J68" t="str">
        <f t="shared" si="5"/>
        <v>Q2</v>
      </c>
      <c r="K68" t="str">
        <f t="shared" si="6"/>
        <v>Apr-2019</v>
      </c>
      <c r="L68" t="str">
        <f t="shared" si="7"/>
        <v>Low</v>
      </c>
    </row>
    <row r="69" spans="1:12" x14ac:dyDescent="0.3">
      <c r="A69">
        <v>2019</v>
      </c>
      <c r="B69" s="2" t="s">
        <v>20</v>
      </c>
      <c r="C69" t="s">
        <v>8</v>
      </c>
      <c r="D69" t="s">
        <v>13</v>
      </c>
      <c r="E69">
        <v>10.07</v>
      </c>
      <c r="F69">
        <v>144.6</v>
      </c>
      <c r="G69">
        <v>2.92</v>
      </c>
      <c r="H69" s="3">
        <f t="shared" si="4"/>
        <v>43556</v>
      </c>
      <c r="I69">
        <f>MONTH(Table1[[#This Row],[Date]])</f>
        <v>4</v>
      </c>
      <c r="J69" t="str">
        <f t="shared" si="5"/>
        <v>Q2</v>
      </c>
      <c r="K69" t="str">
        <f t="shared" si="6"/>
        <v>Apr-2019</v>
      </c>
      <c r="L69" t="str">
        <f t="shared" si="7"/>
        <v>Low</v>
      </c>
    </row>
    <row r="70" spans="1:12" x14ac:dyDescent="0.3">
      <c r="A70">
        <v>2019</v>
      </c>
      <c r="B70" s="2" t="s">
        <v>20</v>
      </c>
      <c r="C70" t="s">
        <v>8</v>
      </c>
      <c r="D70" t="s">
        <v>14</v>
      </c>
      <c r="E70">
        <v>6.84</v>
      </c>
      <c r="F70">
        <v>146.6</v>
      </c>
      <c r="G70">
        <v>3</v>
      </c>
      <c r="H70" s="3">
        <f t="shared" si="4"/>
        <v>43556</v>
      </c>
      <c r="I70">
        <f>MONTH(Table1[[#This Row],[Date]])</f>
        <v>4</v>
      </c>
      <c r="J70" t="str">
        <f t="shared" si="5"/>
        <v>Q2</v>
      </c>
      <c r="K70" t="str">
        <f t="shared" si="6"/>
        <v>Apr-2019</v>
      </c>
      <c r="L70" t="str">
        <f t="shared" si="7"/>
        <v>Medium</v>
      </c>
    </row>
    <row r="71" spans="1:12" x14ac:dyDescent="0.3">
      <c r="A71">
        <v>2019</v>
      </c>
      <c r="B71" s="2" t="s">
        <v>20</v>
      </c>
      <c r="C71" t="s">
        <v>8</v>
      </c>
      <c r="D71" t="s">
        <v>15</v>
      </c>
      <c r="E71">
        <v>28.32</v>
      </c>
      <c r="F71">
        <v>148.6</v>
      </c>
      <c r="G71">
        <v>3.08</v>
      </c>
      <c r="H71" s="3">
        <f t="shared" si="4"/>
        <v>43556</v>
      </c>
      <c r="I71">
        <f>MONTH(Table1[[#This Row],[Date]])</f>
        <v>4</v>
      </c>
      <c r="J71" t="str">
        <f t="shared" si="5"/>
        <v>Q2</v>
      </c>
      <c r="K71" t="str">
        <f t="shared" si="6"/>
        <v>Apr-2019</v>
      </c>
      <c r="L71" t="str">
        <f t="shared" si="7"/>
        <v>Medium</v>
      </c>
    </row>
    <row r="72" spans="1:12" x14ac:dyDescent="0.3">
      <c r="A72">
        <v>2019</v>
      </c>
      <c r="B72" s="2" t="s">
        <v>20</v>
      </c>
      <c r="C72" t="s">
        <v>16</v>
      </c>
      <c r="D72" t="s">
        <v>9</v>
      </c>
      <c r="E72">
        <v>100</v>
      </c>
      <c r="F72">
        <v>137.19999999999999</v>
      </c>
      <c r="G72">
        <v>2.6</v>
      </c>
      <c r="H72" s="3">
        <f t="shared" si="4"/>
        <v>43556</v>
      </c>
      <c r="I72">
        <f>MONTH(Table1[[#This Row],[Date]])</f>
        <v>4</v>
      </c>
      <c r="J72" t="str">
        <f t="shared" si="5"/>
        <v>Q2</v>
      </c>
      <c r="K72" t="str">
        <f t="shared" si="6"/>
        <v>Apr-2019</v>
      </c>
      <c r="L72" t="str">
        <f t="shared" si="7"/>
        <v>Low</v>
      </c>
    </row>
    <row r="73" spans="1:12" x14ac:dyDescent="0.3">
      <c r="A73">
        <v>2019</v>
      </c>
      <c r="B73" s="2" t="s">
        <v>20</v>
      </c>
      <c r="C73" t="s">
        <v>16</v>
      </c>
      <c r="D73" t="s">
        <v>10</v>
      </c>
      <c r="E73">
        <v>45.86</v>
      </c>
      <c r="F73">
        <v>139.19999999999999</v>
      </c>
      <c r="G73">
        <v>2.68</v>
      </c>
      <c r="H73" s="3">
        <f t="shared" si="4"/>
        <v>43556</v>
      </c>
      <c r="I73">
        <f>MONTH(Table1[[#This Row],[Date]])</f>
        <v>4</v>
      </c>
      <c r="J73" t="str">
        <f t="shared" si="5"/>
        <v>Q2</v>
      </c>
      <c r="K73" t="str">
        <f t="shared" si="6"/>
        <v>Apr-2019</v>
      </c>
      <c r="L73" t="str">
        <f t="shared" si="7"/>
        <v>Low</v>
      </c>
    </row>
    <row r="74" spans="1:12" x14ac:dyDescent="0.3">
      <c r="A74">
        <v>2019</v>
      </c>
      <c r="B74" s="2" t="s">
        <v>20</v>
      </c>
      <c r="C74" t="s">
        <v>16</v>
      </c>
      <c r="D74" t="s">
        <v>11</v>
      </c>
      <c r="E74">
        <v>2.38</v>
      </c>
      <c r="F74">
        <v>141.19999999999999</v>
      </c>
      <c r="G74">
        <v>2.76</v>
      </c>
      <c r="H74" s="3">
        <f t="shared" si="4"/>
        <v>43556</v>
      </c>
      <c r="I74">
        <f>MONTH(Table1[[#This Row],[Date]])</f>
        <v>4</v>
      </c>
      <c r="J74" t="str">
        <f t="shared" si="5"/>
        <v>Q2</v>
      </c>
      <c r="K74" t="str">
        <f t="shared" si="6"/>
        <v>Apr-2019</v>
      </c>
      <c r="L74" t="str">
        <f t="shared" si="7"/>
        <v>Low</v>
      </c>
    </row>
    <row r="75" spans="1:12" x14ac:dyDescent="0.3">
      <c r="A75">
        <v>2019</v>
      </c>
      <c r="B75" s="2" t="s">
        <v>20</v>
      </c>
      <c r="C75" t="s">
        <v>16</v>
      </c>
      <c r="D75" t="s">
        <v>12</v>
      </c>
      <c r="E75">
        <v>6.53</v>
      </c>
      <c r="F75">
        <v>143.19999999999999</v>
      </c>
      <c r="G75">
        <v>2.84</v>
      </c>
      <c r="H75" s="3">
        <f t="shared" si="4"/>
        <v>43556</v>
      </c>
      <c r="I75">
        <f>MONTH(Table1[[#This Row],[Date]])</f>
        <v>4</v>
      </c>
      <c r="J75" t="str">
        <f t="shared" si="5"/>
        <v>Q2</v>
      </c>
      <c r="K75" t="str">
        <f t="shared" si="6"/>
        <v>Apr-2019</v>
      </c>
      <c r="L75" t="str">
        <f t="shared" si="7"/>
        <v>Low</v>
      </c>
    </row>
    <row r="76" spans="1:12" x14ac:dyDescent="0.3">
      <c r="A76">
        <v>2019</v>
      </c>
      <c r="B76" s="2" t="s">
        <v>20</v>
      </c>
      <c r="C76" t="s">
        <v>16</v>
      </c>
      <c r="D76" t="s">
        <v>13</v>
      </c>
      <c r="E76">
        <v>10.07</v>
      </c>
      <c r="F76">
        <v>145.19999999999999</v>
      </c>
      <c r="G76">
        <v>2.92</v>
      </c>
      <c r="H76" s="3">
        <f t="shared" si="4"/>
        <v>43556</v>
      </c>
      <c r="I76">
        <f>MONTH(Table1[[#This Row],[Date]])</f>
        <v>4</v>
      </c>
      <c r="J76" t="str">
        <f t="shared" si="5"/>
        <v>Q2</v>
      </c>
      <c r="K76" t="str">
        <f t="shared" si="6"/>
        <v>Apr-2019</v>
      </c>
      <c r="L76" t="str">
        <f t="shared" si="7"/>
        <v>Low</v>
      </c>
    </row>
    <row r="77" spans="1:12" x14ac:dyDescent="0.3">
      <c r="A77">
        <v>2019</v>
      </c>
      <c r="B77" s="2" t="s">
        <v>20</v>
      </c>
      <c r="C77" t="s">
        <v>16</v>
      </c>
      <c r="D77" t="s">
        <v>14</v>
      </c>
      <c r="E77">
        <v>6.84</v>
      </c>
      <c r="F77">
        <v>147.19999999999999</v>
      </c>
      <c r="G77">
        <v>3</v>
      </c>
      <c r="H77" s="3">
        <f t="shared" si="4"/>
        <v>43556</v>
      </c>
      <c r="I77">
        <f>MONTH(Table1[[#This Row],[Date]])</f>
        <v>4</v>
      </c>
      <c r="J77" t="str">
        <f t="shared" si="5"/>
        <v>Q2</v>
      </c>
      <c r="K77" t="str">
        <f t="shared" si="6"/>
        <v>Apr-2019</v>
      </c>
      <c r="L77" t="str">
        <f t="shared" si="7"/>
        <v>Medium</v>
      </c>
    </row>
    <row r="78" spans="1:12" x14ac:dyDescent="0.3">
      <c r="A78">
        <v>2019</v>
      </c>
      <c r="B78" s="2" t="s">
        <v>20</v>
      </c>
      <c r="C78" t="s">
        <v>16</v>
      </c>
      <c r="D78" t="s">
        <v>15</v>
      </c>
      <c r="E78">
        <v>28.32</v>
      </c>
      <c r="F78">
        <v>149.19999999999999</v>
      </c>
      <c r="G78">
        <v>3.08</v>
      </c>
      <c r="H78" s="3">
        <f t="shared" si="4"/>
        <v>43556</v>
      </c>
      <c r="I78">
        <f>MONTH(Table1[[#This Row],[Date]])</f>
        <v>4</v>
      </c>
      <c r="J78" t="str">
        <f t="shared" si="5"/>
        <v>Q2</v>
      </c>
      <c r="K78" t="str">
        <f t="shared" si="6"/>
        <v>Apr-2019</v>
      </c>
      <c r="L78" t="str">
        <f t="shared" si="7"/>
        <v>Medium</v>
      </c>
    </row>
    <row r="79" spans="1:12" x14ac:dyDescent="0.3">
      <c r="A79">
        <v>2019</v>
      </c>
      <c r="B79" s="2" t="s">
        <v>20</v>
      </c>
      <c r="C79" t="s">
        <v>17</v>
      </c>
      <c r="D79" t="s">
        <v>9</v>
      </c>
      <c r="E79">
        <v>100</v>
      </c>
      <c r="F79">
        <v>137.80000000000001</v>
      </c>
      <c r="G79">
        <v>2.6</v>
      </c>
      <c r="H79" s="3">
        <f t="shared" si="4"/>
        <v>43556</v>
      </c>
      <c r="I79">
        <f>MONTH(Table1[[#This Row],[Date]])</f>
        <v>4</v>
      </c>
      <c r="J79" t="str">
        <f t="shared" si="5"/>
        <v>Q2</v>
      </c>
      <c r="K79" t="str">
        <f t="shared" si="6"/>
        <v>Apr-2019</v>
      </c>
      <c r="L79" t="str">
        <f t="shared" si="7"/>
        <v>Low</v>
      </c>
    </row>
    <row r="80" spans="1:12" x14ac:dyDescent="0.3">
      <c r="A80">
        <v>2019</v>
      </c>
      <c r="B80" s="2" t="s">
        <v>20</v>
      </c>
      <c r="C80" t="s">
        <v>17</v>
      </c>
      <c r="D80" t="s">
        <v>10</v>
      </c>
      <c r="E80">
        <v>45.86</v>
      </c>
      <c r="F80">
        <v>139.80000000000001</v>
      </c>
      <c r="G80">
        <v>2.68</v>
      </c>
      <c r="H80" s="3">
        <f t="shared" si="4"/>
        <v>43556</v>
      </c>
      <c r="I80">
        <f>MONTH(Table1[[#This Row],[Date]])</f>
        <v>4</v>
      </c>
      <c r="J80" t="str">
        <f t="shared" si="5"/>
        <v>Q2</v>
      </c>
      <c r="K80" t="str">
        <f t="shared" si="6"/>
        <v>Apr-2019</v>
      </c>
      <c r="L80" t="str">
        <f t="shared" si="7"/>
        <v>Low</v>
      </c>
    </row>
    <row r="81" spans="1:12" x14ac:dyDescent="0.3">
      <c r="A81">
        <v>2019</v>
      </c>
      <c r="B81" s="2" t="s">
        <v>20</v>
      </c>
      <c r="C81" t="s">
        <v>17</v>
      </c>
      <c r="D81" t="s">
        <v>11</v>
      </c>
      <c r="E81">
        <v>2.38</v>
      </c>
      <c r="F81">
        <v>141.80000000000001</v>
      </c>
      <c r="G81">
        <v>2.76</v>
      </c>
      <c r="H81" s="3">
        <f t="shared" si="4"/>
        <v>43556</v>
      </c>
      <c r="I81">
        <f>MONTH(Table1[[#This Row],[Date]])</f>
        <v>4</v>
      </c>
      <c r="J81" t="str">
        <f t="shared" si="5"/>
        <v>Q2</v>
      </c>
      <c r="K81" t="str">
        <f t="shared" si="6"/>
        <v>Apr-2019</v>
      </c>
      <c r="L81" t="str">
        <f t="shared" si="7"/>
        <v>Low</v>
      </c>
    </row>
    <row r="82" spans="1:12" x14ac:dyDescent="0.3">
      <c r="A82">
        <v>2019</v>
      </c>
      <c r="B82" s="2" t="s">
        <v>20</v>
      </c>
      <c r="C82" t="s">
        <v>17</v>
      </c>
      <c r="D82" t="s">
        <v>12</v>
      </c>
      <c r="E82">
        <v>6.53</v>
      </c>
      <c r="F82">
        <v>143.80000000000001</v>
      </c>
      <c r="G82">
        <v>2.84</v>
      </c>
      <c r="H82" s="3">
        <f t="shared" si="4"/>
        <v>43556</v>
      </c>
      <c r="I82">
        <f>MONTH(Table1[[#This Row],[Date]])</f>
        <v>4</v>
      </c>
      <c r="J82" t="str">
        <f t="shared" si="5"/>
        <v>Q2</v>
      </c>
      <c r="K82" t="str">
        <f t="shared" si="6"/>
        <v>Apr-2019</v>
      </c>
      <c r="L82" t="str">
        <f t="shared" si="7"/>
        <v>Low</v>
      </c>
    </row>
    <row r="83" spans="1:12" x14ac:dyDescent="0.3">
      <c r="A83">
        <v>2019</v>
      </c>
      <c r="B83" s="2" t="s">
        <v>20</v>
      </c>
      <c r="C83" t="s">
        <v>17</v>
      </c>
      <c r="D83" t="s">
        <v>13</v>
      </c>
      <c r="E83">
        <v>10.07</v>
      </c>
      <c r="F83">
        <v>145.80000000000001</v>
      </c>
      <c r="G83">
        <v>2.92</v>
      </c>
      <c r="H83" s="3">
        <f t="shared" si="4"/>
        <v>43556</v>
      </c>
      <c r="I83">
        <f>MONTH(Table1[[#This Row],[Date]])</f>
        <v>4</v>
      </c>
      <c r="J83" t="str">
        <f t="shared" si="5"/>
        <v>Q2</v>
      </c>
      <c r="K83" t="str">
        <f t="shared" si="6"/>
        <v>Apr-2019</v>
      </c>
      <c r="L83" t="str">
        <f t="shared" si="7"/>
        <v>Low</v>
      </c>
    </row>
    <row r="84" spans="1:12" x14ac:dyDescent="0.3">
      <c r="A84">
        <v>2019</v>
      </c>
      <c r="B84" s="2" t="s">
        <v>20</v>
      </c>
      <c r="C84" t="s">
        <v>17</v>
      </c>
      <c r="D84" t="s">
        <v>14</v>
      </c>
      <c r="E84">
        <v>6.84</v>
      </c>
      <c r="F84">
        <v>147.80000000000001</v>
      </c>
      <c r="G84">
        <v>3</v>
      </c>
      <c r="H84" s="3">
        <f t="shared" si="4"/>
        <v>43556</v>
      </c>
      <c r="I84">
        <f>MONTH(Table1[[#This Row],[Date]])</f>
        <v>4</v>
      </c>
      <c r="J84" t="str">
        <f t="shared" si="5"/>
        <v>Q2</v>
      </c>
      <c r="K84" t="str">
        <f t="shared" si="6"/>
        <v>Apr-2019</v>
      </c>
      <c r="L84" t="str">
        <f t="shared" si="7"/>
        <v>Medium</v>
      </c>
    </row>
    <row r="85" spans="1:12" x14ac:dyDescent="0.3">
      <c r="A85">
        <v>2019</v>
      </c>
      <c r="B85" s="2" t="s">
        <v>20</v>
      </c>
      <c r="C85" t="s">
        <v>17</v>
      </c>
      <c r="D85" t="s">
        <v>15</v>
      </c>
      <c r="E85">
        <v>28.32</v>
      </c>
      <c r="F85">
        <v>149.80000000000001</v>
      </c>
      <c r="G85">
        <v>3.08</v>
      </c>
      <c r="H85" s="3">
        <f t="shared" si="4"/>
        <v>43556</v>
      </c>
      <c r="I85">
        <f>MONTH(Table1[[#This Row],[Date]])</f>
        <v>4</v>
      </c>
      <c r="J85" t="str">
        <f t="shared" si="5"/>
        <v>Q2</v>
      </c>
      <c r="K85" t="str">
        <f t="shared" si="6"/>
        <v>Apr-2019</v>
      </c>
      <c r="L85" t="str">
        <f t="shared" si="7"/>
        <v>Medium</v>
      </c>
    </row>
    <row r="86" spans="1:12" x14ac:dyDescent="0.3">
      <c r="A86">
        <v>2019</v>
      </c>
      <c r="B86" s="2" t="s">
        <v>21</v>
      </c>
      <c r="C86" t="s">
        <v>8</v>
      </c>
      <c r="D86" t="s">
        <v>9</v>
      </c>
      <c r="E86">
        <v>100</v>
      </c>
      <c r="F86">
        <v>137</v>
      </c>
      <c r="G86">
        <v>2.75</v>
      </c>
      <c r="H86" s="3">
        <f t="shared" si="4"/>
        <v>43586</v>
      </c>
      <c r="I86">
        <f>MONTH(Table1[[#This Row],[Date]])</f>
        <v>5</v>
      </c>
      <c r="J86" t="str">
        <f t="shared" si="5"/>
        <v>Q2</v>
      </c>
      <c r="K86" t="str">
        <f t="shared" si="6"/>
        <v>May-2019</v>
      </c>
      <c r="L86" t="str">
        <f t="shared" si="7"/>
        <v>Low</v>
      </c>
    </row>
    <row r="87" spans="1:12" x14ac:dyDescent="0.3">
      <c r="A87">
        <v>2019</v>
      </c>
      <c r="B87" s="2" t="s">
        <v>21</v>
      </c>
      <c r="C87" t="s">
        <v>8</v>
      </c>
      <c r="D87" t="s">
        <v>10</v>
      </c>
      <c r="E87">
        <v>45.86</v>
      </c>
      <c r="F87">
        <v>139</v>
      </c>
      <c r="G87">
        <v>2.83</v>
      </c>
      <c r="H87" s="3">
        <f t="shared" si="4"/>
        <v>43586</v>
      </c>
      <c r="I87">
        <f>MONTH(Table1[[#This Row],[Date]])</f>
        <v>5</v>
      </c>
      <c r="J87" t="str">
        <f t="shared" si="5"/>
        <v>Q2</v>
      </c>
      <c r="K87" t="str">
        <f t="shared" si="6"/>
        <v>May-2019</v>
      </c>
      <c r="L87" t="str">
        <f t="shared" si="7"/>
        <v>Low</v>
      </c>
    </row>
    <row r="88" spans="1:12" x14ac:dyDescent="0.3">
      <c r="A88">
        <v>2019</v>
      </c>
      <c r="B88" s="2" t="s">
        <v>21</v>
      </c>
      <c r="C88" t="s">
        <v>8</v>
      </c>
      <c r="D88" t="s">
        <v>11</v>
      </c>
      <c r="E88">
        <v>2.38</v>
      </c>
      <c r="F88">
        <v>141</v>
      </c>
      <c r="G88">
        <v>2.91</v>
      </c>
      <c r="H88" s="3">
        <f t="shared" si="4"/>
        <v>43586</v>
      </c>
      <c r="I88">
        <f>MONTH(Table1[[#This Row],[Date]])</f>
        <v>5</v>
      </c>
      <c r="J88" t="str">
        <f t="shared" si="5"/>
        <v>Q2</v>
      </c>
      <c r="K88" t="str">
        <f t="shared" si="6"/>
        <v>May-2019</v>
      </c>
      <c r="L88" t="str">
        <f t="shared" si="7"/>
        <v>Low</v>
      </c>
    </row>
    <row r="89" spans="1:12" x14ac:dyDescent="0.3">
      <c r="A89">
        <v>2019</v>
      </c>
      <c r="B89" s="2" t="s">
        <v>21</v>
      </c>
      <c r="C89" t="s">
        <v>8</v>
      </c>
      <c r="D89" t="s">
        <v>12</v>
      </c>
      <c r="E89">
        <v>6.53</v>
      </c>
      <c r="F89">
        <v>143</v>
      </c>
      <c r="G89">
        <v>2.99</v>
      </c>
      <c r="H89" s="3">
        <f t="shared" si="4"/>
        <v>43586</v>
      </c>
      <c r="I89">
        <f>MONTH(Table1[[#This Row],[Date]])</f>
        <v>5</v>
      </c>
      <c r="J89" t="str">
        <f t="shared" si="5"/>
        <v>Q2</v>
      </c>
      <c r="K89" t="str">
        <f t="shared" si="6"/>
        <v>May-2019</v>
      </c>
      <c r="L89" t="str">
        <f t="shared" si="7"/>
        <v>Low</v>
      </c>
    </row>
    <row r="90" spans="1:12" x14ac:dyDescent="0.3">
      <c r="A90">
        <v>2019</v>
      </c>
      <c r="B90" s="2" t="s">
        <v>21</v>
      </c>
      <c r="C90" t="s">
        <v>8</v>
      </c>
      <c r="D90" t="s">
        <v>13</v>
      </c>
      <c r="E90">
        <v>10.07</v>
      </c>
      <c r="F90">
        <v>145</v>
      </c>
      <c r="G90">
        <v>3.07</v>
      </c>
      <c r="H90" s="3">
        <f t="shared" si="4"/>
        <v>43586</v>
      </c>
      <c r="I90">
        <f>MONTH(Table1[[#This Row],[Date]])</f>
        <v>5</v>
      </c>
      <c r="J90" t="str">
        <f t="shared" si="5"/>
        <v>Q2</v>
      </c>
      <c r="K90" t="str">
        <f t="shared" si="6"/>
        <v>May-2019</v>
      </c>
      <c r="L90" t="str">
        <f t="shared" si="7"/>
        <v>Medium</v>
      </c>
    </row>
    <row r="91" spans="1:12" x14ac:dyDescent="0.3">
      <c r="A91">
        <v>2019</v>
      </c>
      <c r="B91" s="2" t="s">
        <v>21</v>
      </c>
      <c r="C91" t="s">
        <v>8</v>
      </c>
      <c r="D91" t="s">
        <v>14</v>
      </c>
      <c r="E91">
        <v>6.84</v>
      </c>
      <c r="F91">
        <v>147</v>
      </c>
      <c r="G91">
        <v>3.15</v>
      </c>
      <c r="H91" s="3">
        <f t="shared" si="4"/>
        <v>43586</v>
      </c>
      <c r="I91">
        <f>MONTH(Table1[[#This Row],[Date]])</f>
        <v>5</v>
      </c>
      <c r="J91" t="str">
        <f t="shared" si="5"/>
        <v>Q2</v>
      </c>
      <c r="K91" t="str">
        <f t="shared" si="6"/>
        <v>May-2019</v>
      </c>
      <c r="L91" t="str">
        <f t="shared" si="7"/>
        <v>Medium</v>
      </c>
    </row>
    <row r="92" spans="1:12" x14ac:dyDescent="0.3">
      <c r="A92">
        <v>2019</v>
      </c>
      <c r="B92" s="2" t="s">
        <v>21</v>
      </c>
      <c r="C92" t="s">
        <v>8</v>
      </c>
      <c r="D92" t="s">
        <v>15</v>
      </c>
      <c r="E92">
        <v>28.32</v>
      </c>
      <c r="F92">
        <v>149</v>
      </c>
      <c r="G92">
        <v>3.23</v>
      </c>
      <c r="H92" s="3">
        <f t="shared" si="4"/>
        <v>43586</v>
      </c>
      <c r="I92">
        <f>MONTH(Table1[[#This Row],[Date]])</f>
        <v>5</v>
      </c>
      <c r="J92" t="str">
        <f t="shared" si="5"/>
        <v>Q2</v>
      </c>
      <c r="K92" t="str">
        <f t="shared" si="6"/>
        <v>May-2019</v>
      </c>
      <c r="L92" t="str">
        <f t="shared" si="7"/>
        <v>Medium</v>
      </c>
    </row>
    <row r="93" spans="1:12" x14ac:dyDescent="0.3">
      <c r="A93">
        <v>2019</v>
      </c>
      <c r="B93" s="2" t="s">
        <v>21</v>
      </c>
      <c r="C93" t="s">
        <v>16</v>
      </c>
      <c r="D93" t="s">
        <v>9</v>
      </c>
      <c r="E93">
        <v>100</v>
      </c>
      <c r="F93">
        <v>137.6</v>
      </c>
      <c r="G93">
        <v>2.75</v>
      </c>
      <c r="H93" s="3">
        <f t="shared" si="4"/>
        <v>43586</v>
      </c>
      <c r="I93">
        <f>MONTH(Table1[[#This Row],[Date]])</f>
        <v>5</v>
      </c>
      <c r="J93" t="str">
        <f t="shared" si="5"/>
        <v>Q2</v>
      </c>
      <c r="K93" t="str">
        <f t="shared" si="6"/>
        <v>May-2019</v>
      </c>
      <c r="L93" t="str">
        <f t="shared" si="7"/>
        <v>Low</v>
      </c>
    </row>
    <row r="94" spans="1:12" x14ac:dyDescent="0.3">
      <c r="A94">
        <v>2019</v>
      </c>
      <c r="B94" s="2" t="s">
        <v>21</v>
      </c>
      <c r="C94" t="s">
        <v>16</v>
      </c>
      <c r="D94" t="s">
        <v>10</v>
      </c>
      <c r="E94">
        <v>45.86</v>
      </c>
      <c r="F94">
        <v>139.6</v>
      </c>
      <c r="G94">
        <v>2.83</v>
      </c>
      <c r="H94" s="3">
        <f t="shared" si="4"/>
        <v>43586</v>
      </c>
      <c r="I94">
        <f>MONTH(Table1[[#This Row],[Date]])</f>
        <v>5</v>
      </c>
      <c r="J94" t="str">
        <f t="shared" si="5"/>
        <v>Q2</v>
      </c>
      <c r="K94" t="str">
        <f t="shared" si="6"/>
        <v>May-2019</v>
      </c>
      <c r="L94" t="str">
        <f t="shared" si="7"/>
        <v>Low</v>
      </c>
    </row>
    <row r="95" spans="1:12" x14ac:dyDescent="0.3">
      <c r="A95">
        <v>2019</v>
      </c>
      <c r="B95" s="2" t="s">
        <v>21</v>
      </c>
      <c r="C95" t="s">
        <v>16</v>
      </c>
      <c r="D95" t="s">
        <v>11</v>
      </c>
      <c r="E95">
        <v>2.38</v>
      </c>
      <c r="F95">
        <v>141.6</v>
      </c>
      <c r="G95">
        <v>2.91</v>
      </c>
      <c r="H95" s="3">
        <f t="shared" si="4"/>
        <v>43586</v>
      </c>
      <c r="I95">
        <f>MONTH(Table1[[#This Row],[Date]])</f>
        <v>5</v>
      </c>
      <c r="J95" t="str">
        <f t="shared" si="5"/>
        <v>Q2</v>
      </c>
      <c r="K95" t="str">
        <f t="shared" si="6"/>
        <v>May-2019</v>
      </c>
      <c r="L95" t="str">
        <f t="shared" si="7"/>
        <v>Low</v>
      </c>
    </row>
    <row r="96" spans="1:12" x14ac:dyDescent="0.3">
      <c r="A96">
        <v>2019</v>
      </c>
      <c r="B96" s="2" t="s">
        <v>21</v>
      </c>
      <c r="C96" t="s">
        <v>16</v>
      </c>
      <c r="D96" t="s">
        <v>12</v>
      </c>
      <c r="E96">
        <v>6.53</v>
      </c>
      <c r="F96">
        <v>143.6</v>
      </c>
      <c r="G96">
        <v>2.99</v>
      </c>
      <c r="H96" s="3">
        <f t="shared" si="4"/>
        <v>43586</v>
      </c>
      <c r="I96">
        <f>MONTH(Table1[[#This Row],[Date]])</f>
        <v>5</v>
      </c>
      <c r="J96" t="str">
        <f t="shared" si="5"/>
        <v>Q2</v>
      </c>
      <c r="K96" t="str">
        <f t="shared" si="6"/>
        <v>May-2019</v>
      </c>
      <c r="L96" t="str">
        <f t="shared" si="7"/>
        <v>Low</v>
      </c>
    </row>
    <row r="97" spans="1:12" x14ac:dyDescent="0.3">
      <c r="A97">
        <v>2019</v>
      </c>
      <c r="B97" s="2" t="s">
        <v>21</v>
      </c>
      <c r="C97" t="s">
        <v>16</v>
      </c>
      <c r="D97" t="s">
        <v>13</v>
      </c>
      <c r="E97">
        <v>10.07</v>
      </c>
      <c r="F97">
        <v>145.6</v>
      </c>
      <c r="G97">
        <v>3.07</v>
      </c>
      <c r="H97" s="3">
        <f t="shared" si="4"/>
        <v>43586</v>
      </c>
      <c r="I97">
        <f>MONTH(Table1[[#This Row],[Date]])</f>
        <v>5</v>
      </c>
      <c r="J97" t="str">
        <f t="shared" si="5"/>
        <v>Q2</v>
      </c>
      <c r="K97" t="str">
        <f t="shared" si="6"/>
        <v>May-2019</v>
      </c>
      <c r="L97" t="str">
        <f t="shared" si="7"/>
        <v>Medium</v>
      </c>
    </row>
    <row r="98" spans="1:12" x14ac:dyDescent="0.3">
      <c r="A98">
        <v>2019</v>
      </c>
      <c r="B98" s="2" t="s">
        <v>21</v>
      </c>
      <c r="C98" t="s">
        <v>16</v>
      </c>
      <c r="D98" t="s">
        <v>14</v>
      </c>
      <c r="E98">
        <v>6.84</v>
      </c>
      <c r="F98">
        <v>147.6</v>
      </c>
      <c r="G98">
        <v>3.15</v>
      </c>
      <c r="H98" s="3">
        <f t="shared" si="4"/>
        <v>43586</v>
      </c>
      <c r="I98">
        <f>MONTH(Table1[[#This Row],[Date]])</f>
        <v>5</v>
      </c>
      <c r="J98" t="str">
        <f t="shared" si="5"/>
        <v>Q2</v>
      </c>
      <c r="K98" t="str">
        <f t="shared" si="6"/>
        <v>May-2019</v>
      </c>
      <c r="L98" t="str">
        <f t="shared" si="7"/>
        <v>Medium</v>
      </c>
    </row>
    <row r="99" spans="1:12" x14ac:dyDescent="0.3">
      <c r="A99">
        <v>2019</v>
      </c>
      <c r="B99" s="2" t="s">
        <v>21</v>
      </c>
      <c r="C99" t="s">
        <v>16</v>
      </c>
      <c r="D99" t="s">
        <v>15</v>
      </c>
      <c r="E99">
        <v>28.32</v>
      </c>
      <c r="F99">
        <v>149.6</v>
      </c>
      <c r="G99">
        <v>3.23</v>
      </c>
      <c r="H99" s="3">
        <f t="shared" si="4"/>
        <v>43586</v>
      </c>
      <c r="I99">
        <f>MONTH(Table1[[#This Row],[Date]])</f>
        <v>5</v>
      </c>
      <c r="J99" t="str">
        <f t="shared" si="5"/>
        <v>Q2</v>
      </c>
      <c r="K99" t="str">
        <f t="shared" si="6"/>
        <v>May-2019</v>
      </c>
      <c r="L99" t="str">
        <f t="shared" si="7"/>
        <v>Medium</v>
      </c>
    </row>
    <row r="100" spans="1:12" x14ac:dyDescent="0.3">
      <c r="A100">
        <v>2019</v>
      </c>
      <c r="B100" s="2" t="s">
        <v>21</v>
      </c>
      <c r="C100" t="s">
        <v>17</v>
      </c>
      <c r="D100" t="s">
        <v>9</v>
      </c>
      <c r="E100">
        <v>100</v>
      </c>
      <c r="F100">
        <v>138.19999999999999</v>
      </c>
      <c r="G100">
        <v>2.75</v>
      </c>
      <c r="H100" s="3">
        <f t="shared" si="4"/>
        <v>43586</v>
      </c>
      <c r="I100">
        <f>MONTH(Table1[[#This Row],[Date]])</f>
        <v>5</v>
      </c>
      <c r="J100" t="str">
        <f t="shared" si="5"/>
        <v>Q2</v>
      </c>
      <c r="K100" t="str">
        <f t="shared" si="6"/>
        <v>May-2019</v>
      </c>
      <c r="L100" t="str">
        <f t="shared" si="7"/>
        <v>Low</v>
      </c>
    </row>
    <row r="101" spans="1:12" x14ac:dyDescent="0.3">
      <c r="A101">
        <v>2019</v>
      </c>
      <c r="B101" s="2" t="s">
        <v>21</v>
      </c>
      <c r="C101" t="s">
        <v>17</v>
      </c>
      <c r="D101" t="s">
        <v>10</v>
      </c>
      <c r="E101">
        <v>45.86</v>
      </c>
      <c r="F101">
        <v>140.19999999999999</v>
      </c>
      <c r="G101">
        <v>2.83</v>
      </c>
      <c r="H101" s="3">
        <f t="shared" si="4"/>
        <v>43586</v>
      </c>
      <c r="I101">
        <f>MONTH(Table1[[#This Row],[Date]])</f>
        <v>5</v>
      </c>
      <c r="J101" t="str">
        <f t="shared" si="5"/>
        <v>Q2</v>
      </c>
      <c r="K101" t="str">
        <f t="shared" si="6"/>
        <v>May-2019</v>
      </c>
      <c r="L101" t="str">
        <f t="shared" si="7"/>
        <v>Low</v>
      </c>
    </row>
    <row r="102" spans="1:12" x14ac:dyDescent="0.3">
      <c r="A102">
        <v>2019</v>
      </c>
      <c r="B102" s="2" t="s">
        <v>21</v>
      </c>
      <c r="C102" t="s">
        <v>17</v>
      </c>
      <c r="D102" t="s">
        <v>11</v>
      </c>
      <c r="E102">
        <v>2.38</v>
      </c>
      <c r="F102">
        <v>142.19999999999999</v>
      </c>
      <c r="G102">
        <v>2.91</v>
      </c>
      <c r="H102" s="3">
        <f t="shared" si="4"/>
        <v>43586</v>
      </c>
      <c r="I102">
        <f>MONTH(Table1[[#This Row],[Date]])</f>
        <v>5</v>
      </c>
      <c r="J102" t="str">
        <f t="shared" si="5"/>
        <v>Q2</v>
      </c>
      <c r="K102" t="str">
        <f t="shared" si="6"/>
        <v>May-2019</v>
      </c>
      <c r="L102" t="str">
        <f t="shared" si="7"/>
        <v>Low</v>
      </c>
    </row>
    <row r="103" spans="1:12" x14ac:dyDescent="0.3">
      <c r="A103">
        <v>2019</v>
      </c>
      <c r="B103" s="2" t="s">
        <v>21</v>
      </c>
      <c r="C103" t="s">
        <v>17</v>
      </c>
      <c r="D103" t="s">
        <v>12</v>
      </c>
      <c r="E103">
        <v>6.53</v>
      </c>
      <c r="F103">
        <v>144.19999999999999</v>
      </c>
      <c r="G103">
        <v>2.99</v>
      </c>
      <c r="H103" s="3">
        <f t="shared" si="4"/>
        <v>43586</v>
      </c>
      <c r="I103">
        <f>MONTH(Table1[[#This Row],[Date]])</f>
        <v>5</v>
      </c>
      <c r="J103" t="str">
        <f t="shared" si="5"/>
        <v>Q2</v>
      </c>
      <c r="K103" t="str">
        <f t="shared" si="6"/>
        <v>May-2019</v>
      </c>
      <c r="L103" t="str">
        <f t="shared" si="7"/>
        <v>Low</v>
      </c>
    </row>
    <row r="104" spans="1:12" x14ac:dyDescent="0.3">
      <c r="A104">
        <v>2019</v>
      </c>
      <c r="B104" s="2" t="s">
        <v>21</v>
      </c>
      <c r="C104" t="s">
        <v>17</v>
      </c>
      <c r="D104" t="s">
        <v>13</v>
      </c>
      <c r="E104">
        <v>10.07</v>
      </c>
      <c r="F104">
        <v>146.19999999999999</v>
      </c>
      <c r="G104">
        <v>3.07</v>
      </c>
      <c r="H104" s="3">
        <f t="shared" si="4"/>
        <v>43586</v>
      </c>
      <c r="I104">
        <f>MONTH(Table1[[#This Row],[Date]])</f>
        <v>5</v>
      </c>
      <c r="J104" t="str">
        <f t="shared" si="5"/>
        <v>Q2</v>
      </c>
      <c r="K104" t="str">
        <f t="shared" si="6"/>
        <v>May-2019</v>
      </c>
      <c r="L104" t="str">
        <f t="shared" si="7"/>
        <v>Medium</v>
      </c>
    </row>
    <row r="105" spans="1:12" x14ac:dyDescent="0.3">
      <c r="A105">
        <v>2019</v>
      </c>
      <c r="B105" s="2" t="s">
        <v>21</v>
      </c>
      <c r="C105" t="s">
        <v>17</v>
      </c>
      <c r="D105" t="s">
        <v>14</v>
      </c>
      <c r="E105">
        <v>6.84</v>
      </c>
      <c r="F105">
        <v>148.19999999999999</v>
      </c>
      <c r="G105">
        <v>3.15</v>
      </c>
      <c r="H105" s="3">
        <f t="shared" si="4"/>
        <v>43586</v>
      </c>
      <c r="I105">
        <f>MONTH(Table1[[#This Row],[Date]])</f>
        <v>5</v>
      </c>
      <c r="J105" t="str">
        <f t="shared" si="5"/>
        <v>Q2</v>
      </c>
      <c r="K105" t="str">
        <f t="shared" si="6"/>
        <v>May-2019</v>
      </c>
      <c r="L105" t="str">
        <f t="shared" si="7"/>
        <v>Medium</v>
      </c>
    </row>
    <row r="106" spans="1:12" x14ac:dyDescent="0.3">
      <c r="A106">
        <v>2019</v>
      </c>
      <c r="B106" s="2" t="s">
        <v>21</v>
      </c>
      <c r="C106" t="s">
        <v>17</v>
      </c>
      <c r="D106" t="s">
        <v>15</v>
      </c>
      <c r="E106">
        <v>28.32</v>
      </c>
      <c r="F106">
        <v>150.19999999999999</v>
      </c>
      <c r="G106">
        <v>3.23</v>
      </c>
      <c r="H106" s="3">
        <f t="shared" si="4"/>
        <v>43586</v>
      </c>
      <c r="I106">
        <f>MONTH(Table1[[#This Row],[Date]])</f>
        <v>5</v>
      </c>
      <c r="J106" t="str">
        <f t="shared" si="5"/>
        <v>Q2</v>
      </c>
      <c r="K106" t="str">
        <f t="shared" si="6"/>
        <v>May-2019</v>
      </c>
      <c r="L106" t="str">
        <f t="shared" si="7"/>
        <v>Medium</v>
      </c>
    </row>
    <row r="107" spans="1:12" x14ac:dyDescent="0.3">
      <c r="A107">
        <v>2019</v>
      </c>
      <c r="B107" s="2" t="s">
        <v>22</v>
      </c>
      <c r="C107" t="s">
        <v>8</v>
      </c>
      <c r="D107" t="s">
        <v>9</v>
      </c>
      <c r="E107">
        <v>100</v>
      </c>
      <c r="F107">
        <v>137.4</v>
      </c>
      <c r="G107">
        <v>2</v>
      </c>
      <c r="H107" s="3">
        <f t="shared" si="4"/>
        <v>43617</v>
      </c>
      <c r="I107">
        <f>MONTH(Table1[[#This Row],[Date]])</f>
        <v>6</v>
      </c>
      <c r="J107" t="str">
        <f t="shared" si="5"/>
        <v>Q2</v>
      </c>
      <c r="K107" t="str">
        <f t="shared" si="6"/>
        <v>Jun-2019</v>
      </c>
      <c r="L107" t="str">
        <f t="shared" si="7"/>
        <v>Low</v>
      </c>
    </row>
    <row r="108" spans="1:12" x14ac:dyDescent="0.3">
      <c r="A108">
        <v>2019</v>
      </c>
      <c r="B108" s="2" t="s">
        <v>22</v>
      </c>
      <c r="C108" t="s">
        <v>8</v>
      </c>
      <c r="D108" t="s">
        <v>10</v>
      </c>
      <c r="E108">
        <v>45.86</v>
      </c>
      <c r="F108">
        <v>139.4</v>
      </c>
      <c r="G108">
        <v>2.08</v>
      </c>
      <c r="H108" s="3">
        <f t="shared" si="4"/>
        <v>43617</v>
      </c>
      <c r="I108">
        <f>MONTH(Table1[[#This Row],[Date]])</f>
        <v>6</v>
      </c>
      <c r="J108" t="str">
        <f t="shared" si="5"/>
        <v>Q2</v>
      </c>
      <c r="K108" t="str">
        <f t="shared" si="6"/>
        <v>Jun-2019</v>
      </c>
      <c r="L108" t="str">
        <f t="shared" si="7"/>
        <v>Low</v>
      </c>
    </row>
    <row r="109" spans="1:12" x14ac:dyDescent="0.3">
      <c r="A109">
        <v>2019</v>
      </c>
      <c r="B109" s="2" t="s">
        <v>22</v>
      </c>
      <c r="C109" t="s">
        <v>8</v>
      </c>
      <c r="D109" t="s">
        <v>11</v>
      </c>
      <c r="E109">
        <v>2.38</v>
      </c>
      <c r="F109">
        <v>141.4</v>
      </c>
      <c r="G109">
        <v>2.16</v>
      </c>
      <c r="H109" s="3">
        <f t="shared" si="4"/>
        <v>43617</v>
      </c>
      <c r="I109">
        <f>MONTH(Table1[[#This Row],[Date]])</f>
        <v>6</v>
      </c>
      <c r="J109" t="str">
        <f t="shared" si="5"/>
        <v>Q2</v>
      </c>
      <c r="K109" t="str">
        <f t="shared" si="6"/>
        <v>Jun-2019</v>
      </c>
      <c r="L109" t="str">
        <f t="shared" si="7"/>
        <v>Low</v>
      </c>
    </row>
    <row r="110" spans="1:12" x14ac:dyDescent="0.3">
      <c r="A110">
        <v>2019</v>
      </c>
      <c r="B110" s="2" t="s">
        <v>22</v>
      </c>
      <c r="C110" t="s">
        <v>8</v>
      </c>
      <c r="D110" t="s">
        <v>12</v>
      </c>
      <c r="E110">
        <v>6.53</v>
      </c>
      <c r="F110">
        <v>143.4</v>
      </c>
      <c r="G110">
        <v>2.2400000000000002</v>
      </c>
      <c r="H110" s="3">
        <f t="shared" si="4"/>
        <v>43617</v>
      </c>
      <c r="I110">
        <f>MONTH(Table1[[#This Row],[Date]])</f>
        <v>6</v>
      </c>
      <c r="J110" t="str">
        <f t="shared" si="5"/>
        <v>Q2</v>
      </c>
      <c r="K110" t="str">
        <f t="shared" si="6"/>
        <v>Jun-2019</v>
      </c>
      <c r="L110" t="str">
        <f t="shared" si="7"/>
        <v>Low</v>
      </c>
    </row>
    <row r="111" spans="1:12" x14ac:dyDescent="0.3">
      <c r="A111">
        <v>2019</v>
      </c>
      <c r="B111" s="2" t="s">
        <v>22</v>
      </c>
      <c r="C111" t="s">
        <v>8</v>
      </c>
      <c r="D111" t="s">
        <v>13</v>
      </c>
      <c r="E111">
        <v>10.07</v>
      </c>
      <c r="F111">
        <v>145.4</v>
      </c>
      <c r="G111">
        <v>2.3199999999999998</v>
      </c>
      <c r="H111" s="3">
        <f t="shared" si="4"/>
        <v>43617</v>
      </c>
      <c r="I111">
        <f>MONTH(Table1[[#This Row],[Date]])</f>
        <v>6</v>
      </c>
      <c r="J111" t="str">
        <f t="shared" si="5"/>
        <v>Q2</v>
      </c>
      <c r="K111" t="str">
        <f t="shared" si="6"/>
        <v>Jun-2019</v>
      </c>
      <c r="L111" t="str">
        <f t="shared" si="7"/>
        <v>Low</v>
      </c>
    </row>
    <row r="112" spans="1:12" x14ac:dyDescent="0.3">
      <c r="A112">
        <v>2019</v>
      </c>
      <c r="B112" s="2" t="s">
        <v>22</v>
      </c>
      <c r="C112" t="s">
        <v>8</v>
      </c>
      <c r="D112" t="s">
        <v>14</v>
      </c>
      <c r="E112">
        <v>6.84</v>
      </c>
      <c r="F112">
        <v>147.4</v>
      </c>
      <c r="G112">
        <v>2.4</v>
      </c>
      <c r="H112" s="3">
        <f t="shared" si="4"/>
        <v>43617</v>
      </c>
      <c r="I112">
        <f>MONTH(Table1[[#This Row],[Date]])</f>
        <v>6</v>
      </c>
      <c r="J112" t="str">
        <f t="shared" si="5"/>
        <v>Q2</v>
      </c>
      <c r="K112" t="str">
        <f t="shared" si="6"/>
        <v>Jun-2019</v>
      </c>
      <c r="L112" t="str">
        <f t="shared" si="7"/>
        <v>Low</v>
      </c>
    </row>
    <row r="113" spans="1:12" x14ac:dyDescent="0.3">
      <c r="A113">
        <v>2019</v>
      </c>
      <c r="B113" s="2" t="s">
        <v>22</v>
      </c>
      <c r="C113" t="s">
        <v>8</v>
      </c>
      <c r="D113" t="s">
        <v>15</v>
      </c>
      <c r="E113">
        <v>28.32</v>
      </c>
      <c r="F113">
        <v>149.4</v>
      </c>
      <c r="G113">
        <v>2.48</v>
      </c>
      <c r="H113" s="3">
        <f t="shared" si="4"/>
        <v>43617</v>
      </c>
      <c r="I113">
        <f>MONTH(Table1[[#This Row],[Date]])</f>
        <v>6</v>
      </c>
      <c r="J113" t="str">
        <f t="shared" si="5"/>
        <v>Q2</v>
      </c>
      <c r="K113" t="str">
        <f t="shared" si="6"/>
        <v>Jun-2019</v>
      </c>
      <c r="L113" t="str">
        <f t="shared" si="7"/>
        <v>Low</v>
      </c>
    </row>
    <row r="114" spans="1:12" x14ac:dyDescent="0.3">
      <c r="A114">
        <v>2019</v>
      </c>
      <c r="B114" s="2" t="s">
        <v>22</v>
      </c>
      <c r="C114" t="s">
        <v>16</v>
      </c>
      <c r="D114" t="s">
        <v>9</v>
      </c>
      <c r="E114">
        <v>100</v>
      </c>
      <c r="F114">
        <v>138</v>
      </c>
      <c r="G114">
        <v>2</v>
      </c>
      <c r="H114" s="3">
        <f t="shared" si="4"/>
        <v>43617</v>
      </c>
      <c r="I114">
        <f>MONTH(Table1[[#This Row],[Date]])</f>
        <v>6</v>
      </c>
      <c r="J114" t="str">
        <f t="shared" si="5"/>
        <v>Q2</v>
      </c>
      <c r="K114" t="str">
        <f t="shared" si="6"/>
        <v>Jun-2019</v>
      </c>
      <c r="L114" t="str">
        <f t="shared" si="7"/>
        <v>Low</v>
      </c>
    </row>
    <row r="115" spans="1:12" x14ac:dyDescent="0.3">
      <c r="A115">
        <v>2019</v>
      </c>
      <c r="B115" s="2" t="s">
        <v>22</v>
      </c>
      <c r="C115" t="s">
        <v>16</v>
      </c>
      <c r="D115" t="s">
        <v>10</v>
      </c>
      <c r="E115">
        <v>45.86</v>
      </c>
      <c r="F115">
        <v>140</v>
      </c>
      <c r="G115">
        <v>2.08</v>
      </c>
      <c r="H115" s="3">
        <f t="shared" si="4"/>
        <v>43617</v>
      </c>
      <c r="I115">
        <f>MONTH(Table1[[#This Row],[Date]])</f>
        <v>6</v>
      </c>
      <c r="J115" t="str">
        <f t="shared" si="5"/>
        <v>Q2</v>
      </c>
      <c r="K115" t="str">
        <f t="shared" si="6"/>
        <v>Jun-2019</v>
      </c>
      <c r="L115" t="str">
        <f t="shared" si="7"/>
        <v>Low</v>
      </c>
    </row>
    <row r="116" spans="1:12" x14ac:dyDescent="0.3">
      <c r="A116">
        <v>2019</v>
      </c>
      <c r="B116" s="2" t="s">
        <v>22</v>
      </c>
      <c r="C116" t="s">
        <v>16</v>
      </c>
      <c r="D116" t="s">
        <v>11</v>
      </c>
      <c r="E116">
        <v>2.38</v>
      </c>
      <c r="F116">
        <v>142</v>
      </c>
      <c r="G116">
        <v>2.16</v>
      </c>
      <c r="H116" s="3">
        <f t="shared" si="4"/>
        <v>43617</v>
      </c>
      <c r="I116">
        <f>MONTH(Table1[[#This Row],[Date]])</f>
        <v>6</v>
      </c>
      <c r="J116" t="str">
        <f t="shared" si="5"/>
        <v>Q2</v>
      </c>
      <c r="K116" t="str">
        <f t="shared" si="6"/>
        <v>Jun-2019</v>
      </c>
      <c r="L116" t="str">
        <f t="shared" si="7"/>
        <v>Low</v>
      </c>
    </row>
    <row r="117" spans="1:12" x14ac:dyDescent="0.3">
      <c r="A117">
        <v>2019</v>
      </c>
      <c r="B117" s="2" t="s">
        <v>22</v>
      </c>
      <c r="C117" t="s">
        <v>16</v>
      </c>
      <c r="D117" t="s">
        <v>12</v>
      </c>
      <c r="E117">
        <v>6.53</v>
      </c>
      <c r="F117">
        <v>144</v>
      </c>
      <c r="G117">
        <v>2.2400000000000002</v>
      </c>
      <c r="H117" s="3">
        <f t="shared" si="4"/>
        <v>43617</v>
      </c>
      <c r="I117">
        <f>MONTH(Table1[[#This Row],[Date]])</f>
        <v>6</v>
      </c>
      <c r="J117" t="str">
        <f t="shared" si="5"/>
        <v>Q2</v>
      </c>
      <c r="K117" t="str">
        <f t="shared" si="6"/>
        <v>Jun-2019</v>
      </c>
      <c r="L117" t="str">
        <f t="shared" si="7"/>
        <v>Low</v>
      </c>
    </row>
    <row r="118" spans="1:12" x14ac:dyDescent="0.3">
      <c r="A118">
        <v>2019</v>
      </c>
      <c r="B118" s="2" t="s">
        <v>22</v>
      </c>
      <c r="C118" t="s">
        <v>16</v>
      </c>
      <c r="D118" t="s">
        <v>13</v>
      </c>
      <c r="E118">
        <v>10.07</v>
      </c>
      <c r="F118">
        <v>146</v>
      </c>
      <c r="G118">
        <v>2.3199999999999998</v>
      </c>
      <c r="H118" s="3">
        <f t="shared" si="4"/>
        <v>43617</v>
      </c>
      <c r="I118">
        <f>MONTH(Table1[[#This Row],[Date]])</f>
        <v>6</v>
      </c>
      <c r="J118" t="str">
        <f t="shared" si="5"/>
        <v>Q2</v>
      </c>
      <c r="K118" t="str">
        <f t="shared" si="6"/>
        <v>Jun-2019</v>
      </c>
      <c r="L118" t="str">
        <f t="shared" si="7"/>
        <v>Low</v>
      </c>
    </row>
    <row r="119" spans="1:12" x14ac:dyDescent="0.3">
      <c r="A119">
        <v>2019</v>
      </c>
      <c r="B119" s="2" t="s">
        <v>22</v>
      </c>
      <c r="C119" t="s">
        <v>16</v>
      </c>
      <c r="D119" t="s">
        <v>14</v>
      </c>
      <c r="E119">
        <v>6.84</v>
      </c>
      <c r="F119">
        <v>148</v>
      </c>
      <c r="G119">
        <v>2.4</v>
      </c>
      <c r="H119" s="3">
        <f t="shared" si="4"/>
        <v>43617</v>
      </c>
      <c r="I119">
        <f>MONTH(Table1[[#This Row],[Date]])</f>
        <v>6</v>
      </c>
      <c r="J119" t="str">
        <f t="shared" si="5"/>
        <v>Q2</v>
      </c>
      <c r="K119" t="str">
        <f t="shared" si="6"/>
        <v>Jun-2019</v>
      </c>
      <c r="L119" t="str">
        <f t="shared" si="7"/>
        <v>Low</v>
      </c>
    </row>
    <row r="120" spans="1:12" x14ac:dyDescent="0.3">
      <c r="A120">
        <v>2019</v>
      </c>
      <c r="B120" s="2" t="s">
        <v>22</v>
      </c>
      <c r="C120" t="s">
        <v>16</v>
      </c>
      <c r="D120" t="s">
        <v>15</v>
      </c>
      <c r="E120">
        <v>28.32</v>
      </c>
      <c r="F120">
        <v>150</v>
      </c>
      <c r="G120">
        <v>2.48</v>
      </c>
      <c r="H120" s="3">
        <f t="shared" si="4"/>
        <v>43617</v>
      </c>
      <c r="I120">
        <f>MONTH(Table1[[#This Row],[Date]])</f>
        <v>6</v>
      </c>
      <c r="J120" t="str">
        <f t="shared" si="5"/>
        <v>Q2</v>
      </c>
      <c r="K120" t="str">
        <f t="shared" si="6"/>
        <v>Jun-2019</v>
      </c>
      <c r="L120" t="str">
        <f t="shared" si="7"/>
        <v>Low</v>
      </c>
    </row>
    <row r="121" spans="1:12" x14ac:dyDescent="0.3">
      <c r="A121">
        <v>2019</v>
      </c>
      <c r="B121" s="2" t="s">
        <v>22</v>
      </c>
      <c r="C121" t="s">
        <v>17</v>
      </c>
      <c r="D121" t="s">
        <v>9</v>
      </c>
      <c r="E121">
        <v>100</v>
      </c>
      <c r="F121">
        <v>138.6</v>
      </c>
      <c r="G121">
        <v>2</v>
      </c>
      <c r="H121" s="3">
        <f t="shared" si="4"/>
        <v>43617</v>
      </c>
      <c r="I121">
        <f>MONTH(Table1[[#This Row],[Date]])</f>
        <v>6</v>
      </c>
      <c r="J121" t="str">
        <f t="shared" si="5"/>
        <v>Q2</v>
      </c>
      <c r="K121" t="str">
        <f t="shared" si="6"/>
        <v>Jun-2019</v>
      </c>
      <c r="L121" t="str">
        <f t="shared" si="7"/>
        <v>Low</v>
      </c>
    </row>
    <row r="122" spans="1:12" x14ac:dyDescent="0.3">
      <c r="A122">
        <v>2019</v>
      </c>
      <c r="B122" s="2" t="s">
        <v>22</v>
      </c>
      <c r="C122" t="s">
        <v>17</v>
      </c>
      <c r="D122" t="s">
        <v>10</v>
      </c>
      <c r="E122">
        <v>45.86</v>
      </c>
      <c r="F122">
        <v>140.6</v>
      </c>
      <c r="G122">
        <v>2.08</v>
      </c>
      <c r="H122" s="3">
        <f t="shared" si="4"/>
        <v>43617</v>
      </c>
      <c r="I122">
        <f>MONTH(Table1[[#This Row],[Date]])</f>
        <v>6</v>
      </c>
      <c r="J122" t="str">
        <f t="shared" si="5"/>
        <v>Q2</v>
      </c>
      <c r="K122" t="str">
        <f t="shared" si="6"/>
        <v>Jun-2019</v>
      </c>
      <c r="L122" t="str">
        <f t="shared" si="7"/>
        <v>Low</v>
      </c>
    </row>
    <row r="123" spans="1:12" x14ac:dyDescent="0.3">
      <c r="A123">
        <v>2019</v>
      </c>
      <c r="B123" s="2" t="s">
        <v>22</v>
      </c>
      <c r="C123" t="s">
        <v>17</v>
      </c>
      <c r="D123" t="s">
        <v>11</v>
      </c>
      <c r="E123">
        <v>2.38</v>
      </c>
      <c r="F123">
        <v>142.6</v>
      </c>
      <c r="G123">
        <v>2.16</v>
      </c>
      <c r="H123" s="3">
        <f t="shared" si="4"/>
        <v>43617</v>
      </c>
      <c r="I123">
        <f>MONTH(Table1[[#This Row],[Date]])</f>
        <v>6</v>
      </c>
      <c r="J123" t="str">
        <f t="shared" si="5"/>
        <v>Q2</v>
      </c>
      <c r="K123" t="str">
        <f t="shared" si="6"/>
        <v>Jun-2019</v>
      </c>
      <c r="L123" t="str">
        <f t="shared" si="7"/>
        <v>Low</v>
      </c>
    </row>
    <row r="124" spans="1:12" x14ac:dyDescent="0.3">
      <c r="A124">
        <v>2019</v>
      </c>
      <c r="B124" s="2" t="s">
        <v>22</v>
      </c>
      <c r="C124" t="s">
        <v>17</v>
      </c>
      <c r="D124" t="s">
        <v>12</v>
      </c>
      <c r="E124">
        <v>6.53</v>
      </c>
      <c r="F124">
        <v>144.6</v>
      </c>
      <c r="G124">
        <v>2.2400000000000002</v>
      </c>
      <c r="H124" s="3">
        <f t="shared" si="4"/>
        <v>43617</v>
      </c>
      <c r="I124">
        <f>MONTH(Table1[[#This Row],[Date]])</f>
        <v>6</v>
      </c>
      <c r="J124" t="str">
        <f t="shared" si="5"/>
        <v>Q2</v>
      </c>
      <c r="K124" t="str">
        <f t="shared" si="6"/>
        <v>Jun-2019</v>
      </c>
      <c r="L124" t="str">
        <f t="shared" si="7"/>
        <v>Low</v>
      </c>
    </row>
    <row r="125" spans="1:12" x14ac:dyDescent="0.3">
      <c r="A125">
        <v>2019</v>
      </c>
      <c r="B125" s="2" t="s">
        <v>22</v>
      </c>
      <c r="C125" t="s">
        <v>17</v>
      </c>
      <c r="D125" t="s">
        <v>13</v>
      </c>
      <c r="E125">
        <v>10.07</v>
      </c>
      <c r="F125">
        <v>146.6</v>
      </c>
      <c r="G125">
        <v>2.3199999999999998</v>
      </c>
      <c r="H125" s="3">
        <f t="shared" si="4"/>
        <v>43617</v>
      </c>
      <c r="I125">
        <f>MONTH(Table1[[#This Row],[Date]])</f>
        <v>6</v>
      </c>
      <c r="J125" t="str">
        <f t="shared" si="5"/>
        <v>Q2</v>
      </c>
      <c r="K125" t="str">
        <f t="shared" si="6"/>
        <v>Jun-2019</v>
      </c>
      <c r="L125" t="str">
        <f t="shared" si="7"/>
        <v>Low</v>
      </c>
    </row>
    <row r="126" spans="1:12" x14ac:dyDescent="0.3">
      <c r="A126">
        <v>2019</v>
      </c>
      <c r="B126" s="2" t="s">
        <v>22</v>
      </c>
      <c r="C126" t="s">
        <v>17</v>
      </c>
      <c r="D126" t="s">
        <v>14</v>
      </c>
      <c r="E126">
        <v>6.84</v>
      </c>
      <c r="F126">
        <v>148.6</v>
      </c>
      <c r="G126">
        <v>2.4</v>
      </c>
      <c r="H126" s="3">
        <f t="shared" si="4"/>
        <v>43617</v>
      </c>
      <c r="I126">
        <f>MONTH(Table1[[#This Row],[Date]])</f>
        <v>6</v>
      </c>
      <c r="J126" t="str">
        <f t="shared" si="5"/>
        <v>Q2</v>
      </c>
      <c r="K126" t="str">
        <f t="shared" si="6"/>
        <v>Jun-2019</v>
      </c>
      <c r="L126" t="str">
        <f t="shared" si="7"/>
        <v>Low</v>
      </c>
    </row>
    <row r="127" spans="1:12" x14ac:dyDescent="0.3">
      <c r="A127">
        <v>2019</v>
      </c>
      <c r="B127" s="2" t="s">
        <v>22</v>
      </c>
      <c r="C127" t="s">
        <v>17</v>
      </c>
      <c r="D127" t="s">
        <v>15</v>
      </c>
      <c r="E127">
        <v>28.32</v>
      </c>
      <c r="F127">
        <v>150.6</v>
      </c>
      <c r="G127">
        <v>2.48</v>
      </c>
      <c r="H127" s="3">
        <f t="shared" si="4"/>
        <v>43617</v>
      </c>
      <c r="I127">
        <f>MONTH(Table1[[#This Row],[Date]])</f>
        <v>6</v>
      </c>
      <c r="J127" t="str">
        <f t="shared" si="5"/>
        <v>Q2</v>
      </c>
      <c r="K127" t="str">
        <f t="shared" si="6"/>
        <v>Jun-2019</v>
      </c>
      <c r="L127" t="str">
        <f t="shared" si="7"/>
        <v>Low</v>
      </c>
    </row>
    <row r="128" spans="1:12" x14ac:dyDescent="0.3">
      <c r="A128">
        <v>2019</v>
      </c>
      <c r="B128" s="2" t="s">
        <v>23</v>
      </c>
      <c r="C128" t="s">
        <v>8</v>
      </c>
      <c r="D128" t="s">
        <v>9</v>
      </c>
      <c r="E128">
        <v>100</v>
      </c>
      <c r="F128">
        <v>137.80000000000001</v>
      </c>
      <c r="G128">
        <v>2.15</v>
      </c>
      <c r="H128" s="3">
        <f t="shared" si="4"/>
        <v>43647</v>
      </c>
      <c r="I128">
        <f>MONTH(Table1[[#This Row],[Date]])</f>
        <v>7</v>
      </c>
      <c r="J128" t="str">
        <f t="shared" si="5"/>
        <v>Q3</v>
      </c>
      <c r="K128" t="str">
        <f t="shared" si="6"/>
        <v>Jul-2019</v>
      </c>
      <c r="L128" t="str">
        <f t="shared" si="7"/>
        <v>Low</v>
      </c>
    </row>
    <row r="129" spans="1:12" x14ac:dyDescent="0.3">
      <c r="A129">
        <v>2019</v>
      </c>
      <c r="B129" s="2" t="s">
        <v>23</v>
      </c>
      <c r="C129" t="s">
        <v>8</v>
      </c>
      <c r="D129" t="s">
        <v>10</v>
      </c>
      <c r="E129">
        <v>45.86</v>
      </c>
      <c r="F129">
        <v>139.80000000000001</v>
      </c>
      <c r="G129">
        <v>2.23</v>
      </c>
      <c r="H129" s="3">
        <f t="shared" si="4"/>
        <v>43647</v>
      </c>
      <c r="I129">
        <f>MONTH(Table1[[#This Row],[Date]])</f>
        <v>7</v>
      </c>
      <c r="J129" t="str">
        <f t="shared" si="5"/>
        <v>Q3</v>
      </c>
      <c r="K129" t="str">
        <f t="shared" si="6"/>
        <v>Jul-2019</v>
      </c>
      <c r="L129" t="str">
        <f t="shared" si="7"/>
        <v>Low</v>
      </c>
    </row>
    <row r="130" spans="1:12" x14ac:dyDescent="0.3">
      <c r="A130">
        <v>2019</v>
      </c>
      <c r="B130" s="2" t="s">
        <v>23</v>
      </c>
      <c r="C130" t="s">
        <v>8</v>
      </c>
      <c r="D130" t="s">
        <v>11</v>
      </c>
      <c r="E130">
        <v>2.38</v>
      </c>
      <c r="F130">
        <v>141.80000000000001</v>
      </c>
      <c r="G130">
        <v>2.31</v>
      </c>
      <c r="H130" s="3">
        <f t="shared" ref="H130:H193" si="8">DATE(A130,MONTH(DATEVALUE(B130&amp;" 1")),1)</f>
        <v>43647</v>
      </c>
      <c r="I130">
        <f>MONTH(Table1[[#This Row],[Date]])</f>
        <v>7</v>
      </c>
      <c r="J130" t="str">
        <f t="shared" ref="J130:J193" si="9">"Q"&amp;ROUNDUP(MONTH(H130)/3,0)</f>
        <v>Q3</v>
      </c>
      <c r="K130" t="str">
        <f t="shared" ref="K130:K193" si="10">TEXT(H130,"mmm-yyyy")</f>
        <v>Jul-2019</v>
      </c>
      <c r="L130" t="str">
        <f t="shared" ref="L130:L193" si="11">IF(G130&lt;3,"Low",IF(G130&lt;4,"Medium","High"))</f>
        <v>Low</v>
      </c>
    </row>
    <row r="131" spans="1:12" x14ac:dyDescent="0.3">
      <c r="A131">
        <v>2019</v>
      </c>
      <c r="B131" s="2" t="s">
        <v>23</v>
      </c>
      <c r="C131" t="s">
        <v>8</v>
      </c>
      <c r="D131" t="s">
        <v>12</v>
      </c>
      <c r="E131">
        <v>6.53</v>
      </c>
      <c r="F131">
        <v>143.80000000000001</v>
      </c>
      <c r="G131">
        <v>2.39</v>
      </c>
      <c r="H131" s="3">
        <f t="shared" si="8"/>
        <v>43647</v>
      </c>
      <c r="I131">
        <f>MONTH(Table1[[#This Row],[Date]])</f>
        <v>7</v>
      </c>
      <c r="J131" t="str">
        <f t="shared" si="9"/>
        <v>Q3</v>
      </c>
      <c r="K131" t="str">
        <f t="shared" si="10"/>
        <v>Jul-2019</v>
      </c>
      <c r="L131" t="str">
        <f t="shared" si="11"/>
        <v>Low</v>
      </c>
    </row>
    <row r="132" spans="1:12" x14ac:dyDescent="0.3">
      <c r="A132">
        <v>2019</v>
      </c>
      <c r="B132" s="2" t="s">
        <v>23</v>
      </c>
      <c r="C132" t="s">
        <v>8</v>
      </c>
      <c r="D132" t="s">
        <v>13</v>
      </c>
      <c r="E132">
        <v>10.07</v>
      </c>
      <c r="F132">
        <v>145.80000000000001</v>
      </c>
      <c r="G132">
        <v>2.4700000000000002</v>
      </c>
      <c r="H132" s="3">
        <f t="shared" si="8"/>
        <v>43647</v>
      </c>
      <c r="I132">
        <f>MONTH(Table1[[#This Row],[Date]])</f>
        <v>7</v>
      </c>
      <c r="J132" t="str">
        <f t="shared" si="9"/>
        <v>Q3</v>
      </c>
      <c r="K132" t="str">
        <f t="shared" si="10"/>
        <v>Jul-2019</v>
      </c>
      <c r="L132" t="str">
        <f t="shared" si="11"/>
        <v>Low</v>
      </c>
    </row>
    <row r="133" spans="1:12" x14ac:dyDescent="0.3">
      <c r="A133">
        <v>2019</v>
      </c>
      <c r="B133" s="2" t="s">
        <v>23</v>
      </c>
      <c r="C133" t="s">
        <v>8</v>
      </c>
      <c r="D133" t="s">
        <v>14</v>
      </c>
      <c r="E133">
        <v>6.84</v>
      </c>
      <c r="F133">
        <v>147.80000000000001</v>
      </c>
      <c r="G133">
        <v>2.5499999999999998</v>
      </c>
      <c r="H133" s="3">
        <f t="shared" si="8"/>
        <v>43647</v>
      </c>
      <c r="I133">
        <f>MONTH(Table1[[#This Row],[Date]])</f>
        <v>7</v>
      </c>
      <c r="J133" t="str">
        <f t="shared" si="9"/>
        <v>Q3</v>
      </c>
      <c r="K133" t="str">
        <f t="shared" si="10"/>
        <v>Jul-2019</v>
      </c>
      <c r="L133" t="str">
        <f t="shared" si="11"/>
        <v>Low</v>
      </c>
    </row>
    <row r="134" spans="1:12" x14ac:dyDescent="0.3">
      <c r="A134">
        <v>2019</v>
      </c>
      <c r="B134" s="2" t="s">
        <v>23</v>
      </c>
      <c r="C134" t="s">
        <v>8</v>
      </c>
      <c r="D134" t="s">
        <v>15</v>
      </c>
      <c r="E134">
        <v>28.32</v>
      </c>
      <c r="F134">
        <v>149.80000000000001</v>
      </c>
      <c r="G134">
        <v>2.63</v>
      </c>
      <c r="H134" s="3">
        <f t="shared" si="8"/>
        <v>43647</v>
      </c>
      <c r="I134">
        <f>MONTH(Table1[[#This Row],[Date]])</f>
        <v>7</v>
      </c>
      <c r="J134" t="str">
        <f t="shared" si="9"/>
        <v>Q3</v>
      </c>
      <c r="K134" t="str">
        <f t="shared" si="10"/>
        <v>Jul-2019</v>
      </c>
      <c r="L134" t="str">
        <f t="shared" si="11"/>
        <v>Low</v>
      </c>
    </row>
    <row r="135" spans="1:12" x14ac:dyDescent="0.3">
      <c r="A135">
        <v>2019</v>
      </c>
      <c r="B135" s="2" t="s">
        <v>23</v>
      </c>
      <c r="C135" t="s">
        <v>16</v>
      </c>
      <c r="D135" t="s">
        <v>9</v>
      </c>
      <c r="E135">
        <v>100</v>
      </c>
      <c r="F135">
        <v>138.4</v>
      </c>
      <c r="G135">
        <v>2.15</v>
      </c>
      <c r="H135" s="3">
        <f t="shared" si="8"/>
        <v>43647</v>
      </c>
      <c r="I135">
        <f>MONTH(Table1[[#This Row],[Date]])</f>
        <v>7</v>
      </c>
      <c r="J135" t="str">
        <f t="shared" si="9"/>
        <v>Q3</v>
      </c>
      <c r="K135" t="str">
        <f t="shared" si="10"/>
        <v>Jul-2019</v>
      </c>
      <c r="L135" t="str">
        <f t="shared" si="11"/>
        <v>Low</v>
      </c>
    </row>
    <row r="136" spans="1:12" x14ac:dyDescent="0.3">
      <c r="A136">
        <v>2019</v>
      </c>
      <c r="B136" s="2" t="s">
        <v>23</v>
      </c>
      <c r="C136" t="s">
        <v>16</v>
      </c>
      <c r="D136" t="s">
        <v>10</v>
      </c>
      <c r="E136">
        <v>45.86</v>
      </c>
      <c r="F136">
        <v>140.4</v>
      </c>
      <c r="G136">
        <v>2.23</v>
      </c>
      <c r="H136" s="3">
        <f t="shared" si="8"/>
        <v>43647</v>
      </c>
      <c r="I136">
        <f>MONTH(Table1[[#This Row],[Date]])</f>
        <v>7</v>
      </c>
      <c r="J136" t="str">
        <f t="shared" si="9"/>
        <v>Q3</v>
      </c>
      <c r="K136" t="str">
        <f t="shared" si="10"/>
        <v>Jul-2019</v>
      </c>
      <c r="L136" t="str">
        <f t="shared" si="11"/>
        <v>Low</v>
      </c>
    </row>
    <row r="137" spans="1:12" x14ac:dyDescent="0.3">
      <c r="A137">
        <v>2019</v>
      </c>
      <c r="B137" s="2" t="s">
        <v>23</v>
      </c>
      <c r="C137" t="s">
        <v>16</v>
      </c>
      <c r="D137" t="s">
        <v>11</v>
      </c>
      <c r="E137">
        <v>2.38</v>
      </c>
      <c r="F137">
        <v>142.4</v>
      </c>
      <c r="G137">
        <v>2.31</v>
      </c>
      <c r="H137" s="3">
        <f t="shared" si="8"/>
        <v>43647</v>
      </c>
      <c r="I137">
        <f>MONTH(Table1[[#This Row],[Date]])</f>
        <v>7</v>
      </c>
      <c r="J137" t="str">
        <f t="shared" si="9"/>
        <v>Q3</v>
      </c>
      <c r="K137" t="str">
        <f t="shared" si="10"/>
        <v>Jul-2019</v>
      </c>
      <c r="L137" t="str">
        <f t="shared" si="11"/>
        <v>Low</v>
      </c>
    </row>
    <row r="138" spans="1:12" x14ac:dyDescent="0.3">
      <c r="A138">
        <v>2019</v>
      </c>
      <c r="B138" s="2" t="s">
        <v>23</v>
      </c>
      <c r="C138" t="s">
        <v>16</v>
      </c>
      <c r="D138" t="s">
        <v>12</v>
      </c>
      <c r="E138">
        <v>6.53</v>
      </c>
      <c r="F138">
        <v>144.4</v>
      </c>
      <c r="G138">
        <v>2.39</v>
      </c>
      <c r="H138" s="3">
        <f t="shared" si="8"/>
        <v>43647</v>
      </c>
      <c r="I138">
        <f>MONTH(Table1[[#This Row],[Date]])</f>
        <v>7</v>
      </c>
      <c r="J138" t="str">
        <f t="shared" si="9"/>
        <v>Q3</v>
      </c>
      <c r="K138" t="str">
        <f t="shared" si="10"/>
        <v>Jul-2019</v>
      </c>
      <c r="L138" t="str">
        <f t="shared" si="11"/>
        <v>Low</v>
      </c>
    </row>
    <row r="139" spans="1:12" x14ac:dyDescent="0.3">
      <c r="A139">
        <v>2019</v>
      </c>
      <c r="B139" s="2" t="s">
        <v>23</v>
      </c>
      <c r="C139" t="s">
        <v>16</v>
      </c>
      <c r="D139" t="s">
        <v>13</v>
      </c>
      <c r="E139">
        <v>10.07</v>
      </c>
      <c r="F139">
        <v>146.4</v>
      </c>
      <c r="G139">
        <v>2.4700000000000002</v>
      </c>
      <c r="H139" s="3">
        <f t="shared" si="8"/>
        <v>43647</v>
      </c>
      <c r="I139">
        <f>MONTH(Table1[[#This Row],[Date]])</f>
        <v>7</v>
      </c>
      <c r="J139" t="str">
        <f t="shared" si="9"/>
        <v>Q3</v>
      </c>
      <c r="K139" t="str">
        <f t="shared" si="10"/>
        <v>Jul-2019</v>
      </c>
      <c r="L139" t="str">
        <f t="shared" si="11"/>
        <v>Low</v>
      </c>
    </row>
    <row r="140" spans="1:12" x14ac:dyDescent="0.3">
      <c r="A140">
        <v>2019</v>
      </c>
      <c r="B140" s="2" t="s">
        <v>23</v>
      </c>
      <c r="C140" t="s">
        <v>16</v>
      </c>
      <c r="D140" t="s">
        <v>14</v>
      </c>
      <c r="E140">
        <v>6.84</v>
      </c>
      <c r="F140">
        <v>148.4</v>
      </c>
      <c r="G140">
        <v>2.5499999999999998</v>
      </c>
      <c r="H140" s="3">
        <f t="shared" si="8"/>
        <v>43647</v>
      </c>
      <c r="I140">
        <f>MONTH(Table1[[#This Row],[Date]])</f>
        <v>7</v>
      </c>
      <c r="J140" t="str">
        <f t="shared" si="9"/>
        <v>Q3</v>
      </c>
      <c r="K140" t="str">
        <f t="shared" si="10"/>
        <v>Jul-2019</v>
      </c>
      <c r="L140" t="str">
        <f t="shared" si="11"/>
        <v>Low</v>
      </c>
    </row>
    <row r="141" spans="1:12" x14ac:dyDescent="0.3">
      <c r="A141">
        <v>2019</v>
      </c>
      <c r="B141" s="2" t="s">
        <v>23</v>
      </c>
      <c r="C141" t="s">
        <v>16</v>
      </c>
      <c r="D141" t="s">
        <v>15</v>
      </c>
      <c r="E141">
        <v>28.32</v>
      </c>
      <c r="F141">
        <v>150.4</v>
      </c>
      <c r="G141">
        <v>2.63</v>
      </c>
      <c r="H141" s="3">
        <f t="shared" si="8"/>
        <v>43647</v>
      </c>
      <c r="I141">
        <f>MONTH(Table1[[#This Row],[Date]])</f>
        <v>7</v>
      </c>
      <c r="J141" t="str">
        <f t="shared" si="9"/>
        <v>Q3</v>
      </c>
      <c r="K141" t="str">
        <f t="shared" si="10"/>
        <v>Jul-2019</v>
      </c>
      <c r="L141" t="str">
        <f t="shared" si="11"/>
        <v>Low</v>
      </c>
    </row>
    <row r="142" spans="1:12" x14ac:dyDescent="0.3">
      <c r="A142">
        <v>2019</v>
      </c>
      <c r="B142" s="2" t="s">
        <v>23</v>
      </c>
      <c r="C142" t="s">
        <v>17</v>
      </c>
      <c r="D142" t="s">
        <v>9</v>
      </c>
      <c r="E142">
        <v>100</v>
      </c>
      <c r="F142">
        <v>139</v>
      </c>
      <c r="G142">
        <v>2.15</v>
      </c>
      <c r="H142" s="3">
        <f t="shared" si="8"/>
        <v>43647</v>
      </c>
      <c r="I142">
        <f>MONTH(Table1[[#This Row],[Date]])</f>
        <v>7</v>
      </c>
      <c r="J142" t="str">
        <f t="shared" si="9"/>
        <v>Q3</v>
      </c>
      <c r="K142" t="str">
        <f t="shared" si="10"/>
        <v>Jul-2019</v>
      </c>
      <c r="L142" t="str">
        <f t="shared" si="11"/>
        <v>Low</v>
      </c>
    </row>
    <row r="143" spans="1:12" x14ac:dyDescent="0.3">
      <c r="A143">
        <v>2019</v>
      </c>
      <c r="B143" s="2" t="s">
        <v>23</v>
      </c>
      <c r="C143" t="s">
        <v>17</v>
      </c>
      <c r="D143" t="s">
        <v>10</v>
      </c>
      <c r="E143">
        <v>45.86</v>
      </c>
      <c r="F143">
        <v>141</v>
      </c>
      <c r="G143">
        <v>2.23</v>
      </c>
      <c r="H143" s="3">
        <f t="shared" si="8"/>
        <v>43647</v>
      </c>
      <c r="I143">
        <f>MONTH(Table1[[#This Row],[Date]])</f>
        <v>7</v>
      </c>
      <c r="J143" t="str">
        <f t="shared" si="9"/>
        <v>Q3</v>
      </c>
      <c r="K143" t="str">
        <f t="shared" si="10"/>
        <v>Jul-2019</v>
      </c>
      <c r="L143" t="str">
        <f t="shared" si="11"/>
        <v>Low</v>
      </c>
    </row>
    <row r="144" spans="1:12" x14ac:dyDescent="0.3">
      <c r="A144">
        <v>2019</v>
      </c>
      <c r="B144" s="2" t="s">
        <v>23</v>
      </c>
      <c r="C144" t="s">
        <v>17</v>
      </c>
      <c r="D144" t="s">
        <v>11</v>
      </c>
      <c r="E144">
        <v>2.38</v>
      </c>
      <c r="F144">
        <v>143</v>
      </c>
      <c r="G144">
        <v>2.31</v>
      </c>
      <c r="H144" s="3">
        <f t="shared" si="8"/>
        <v>43647</v>
      </c>
      <c r="I144">
        <f>MONTH(Table1[[#This Row],[Date]])</f>
        <v>7</v>
      </c>
      <c r="J144" t="str">
        <f t="shared" si="9"/>
        <v>Q3</v>
      </c>
      <c r="K144" t="str">
        <f t="shared" si="10"/>
        <v>Jul-2019</v>
      </c>
      <c r="L144" t="str">
        <f t="shared" si="11"/>
        <v>Low</v>
      </c>
    </row>
    <row r="145" spans="1:12" x14ac:dyDescent="0.3">
      <c r="A145">
        <v>2019</v>
      </c>
      <c r="B145" s="2" t="s">
        <v>23</v>
      </c>
      <c r="C145" t="s">
        <v>17</v>
      </c>
      <c r="D145" t="s">
        <v>12</v>
      </c>
      <c r="E145">
        <v>6.53</v>
      </c>
      <c r="F145">
        <v>145</v>
      </c>
      <c r="G145">
        <v>2.39</v>
      </c>
      <c r="H145" s="3">
        <f t="shared" si="8"/>
        <v>43647</v>
      </c>
      <c r="I145">
        <f>MONTH(Table1[[#This Row],[Date]])</f>
        <v>7</v>
      </c>
      <c r="J145" t="str">
        <f t="shared" si="9"/>
        <v>Q3</v>
      </c>
      <c r="K145" t="str">
        <f t="shared" si="10"/>
        <v>Jul-2019</v>
      </c>
      <c r="L145" t="str">
        <f t="shared" si="11"/>
        <v>Low</v>
      </c>
    </row>
    <row r="146" spans="1:12" x14ac:dyDescent="0.3">
      <c r="A146">
        <v>2019</v>
      </c>
      <c r="B146" s="2" t="s">
        <v>23</v>
      </c>
      <c r="C146" t="s">
        <v>17</v>
      </c>
      <c r="D146" t="s">
        <v>13</v>
      </c>
      <c r="E146">
        <v>10.07</v>
      </c>
      <c r="F146">
        <v>147</v>
      </c>
      <c r="G146">
        <v>2.4700000000000002</v>
      </c>
      <c r="H146" s="3">
        <f t="shared" si="8"/>
        <v>43647</v>
      </c>
      <c r="I146">
        <f>MONTH(Table1[[#This Row],[Date]])</f>
        <v>7</v>
      </c>
      <c r="J146" t="str">
        <f t="shared" si="9"/>
        <v>Q3</v>
      </c>
      <c r="K146" t="str">
        <f t="shared" si="10"/>
        <v>Jul-2019</v>
      </c>
      <c r="L146" t="str">
        <f t="shared" si="11"/>
        <v>Low</v>
      </c>
    </row>
    <row r="147" spans="1:12" x14ac:dyDescent="0.3">
      <c r="A147">
        <v>2019</v>
      </c>
      <c r="B147" s="2" t="s">
        <v>23</v>
      </c>
      <c r="C147" t="s">
        <v>17</v>
      </c>
      <c r="D147" t="s">
        <v>14</v>
      </c>
      <c r="E147">
        <v>6.84</v>
      </c>
      <c r="F147">
        <v>149</v>
      </c>
      <c r="G147">
        <v>2.5499999999999998</v>
      </c>
      <c r="H147" s="3">
        <f t="shared" si="8"/>
        <v>43647</v>
      </c>
      <c r="I147">
        <f>MONTH(Table1[[#This Row],[Date]])</f>
        <v>7</v>
      </c>
      <c r="J147" t="str">
        <f t="shared" si="9"/>
        <v>Q3</v>
      </c>
      <c r="K147" t="str">
        <f t="shared" si="10"/>
        <v>Jul-2019</v>
      </c>
      <c r="L147" t="str">
        <f t="shared" si="11"/>
        <v>Low</v>
      </c>
    </row>
    <row r="148" spans="1:12" x14ac:dyDescent="0.3">
      <c r="A148">
        <v>2019</v>
      </c>
      <c r="B148" s="2" t="s">
        <v>23</v>
      </c>
      <c r="C148" t="s">
        <v>17</v>
      </c>
      <c r="D148" t="s">
        <v>15</v>
      </c>
      <c r="E148">
        <v>28.32</v>
      </c>
      <c r="F148">
        <v>151</v>
      </c>
      <c r="G148">
        <v>2.63</v>
      </c>
      <c r="H148" s="3">
        <f t="shared" si="8"/>
        <v>43647</v>
      </c>
      <c r="I148">
        <f>MONTH(Table1[[#This Row],[Date]])</f>
        <v>7</v>
      </c>
      <c r="J148" t="str">
        <f t="shared" si="9"/>
        <v>Q3</v>
      </c>
      <c r="K148" t="str">
        <f t="shared" si="10"/>
        <v>Jul-2019</v>
      </c>
      <c r="L148" t="str">
        <f t="shared" si="11"/>
        <v>Low</v>
      </c>
    </row>
    <row r="149" spans="1:12" x14ac:dyDescent="0.3">
      <c r="A149">
        <v>2019</v>
      </c>
      <c r="B149" s="2" t="s">
        <v>24</v>
      </c>
      <c r="C149" t="s">
        <v>8</v>
      </c>
      <c r="D149" t="s">
        <v>9</v>
      </c>
      <c r="E149">
        <v>100</v>
      </c>
      <c r="F149">
        <v>138.19999999999999</v>
      </c>
      <c r="G149">
        <v>2.2999999999999998</v>
      </c>
      <c r="H149" s="3">
        <f t="shared" si="8"/>
        <v>43678</v>
      </c>
      <c r="I149">
        <f>MONTH(Table1[[#This Row],[Date]])</f>
        <v>8</v>
      </c>
      <c r="J149" t="str">
        <f t="shared" si="9"/>
        <v>Q3</v>
      </c>
      <c r="K149" t="str">
        <f t="shared" si="10"/>
        <v>Aug-2019</v>
      </c>
      <c r="L149" t="str">
        <f t="shared" si="11"/>
        <v>Low</v>
      </c>
    </row>
    <row r="150" spans="1:12" x14ac:dyDescent="0.3">
      <c r="A150">
        <v>2019</v>
      </c>
      <c r="B150" s="2" t="s">
        <v>24</v>
      </c>
      <c r="C150" t="s">
        <v>8</v>
      </c>
      <c r="D150" t="s">
        <v>10</v>
      </c>
      <c r="E150">
        <v>45.86</v>
      </c>
      <c r="F150">
        <v>140.19999999999999</v>
      </c>
      <c r="G150">
        <v>2.38</v>
      </c>
      <c r="H150" s="3">
        <f t="shared" si="8"/>
        <v>43678</v>
      </c>
      <c r="I150">
        <f>MONTH(Table1[[#This Row],[Date]])</f>
        <v>8</v>
      </c>
      <c r="J150" t="str">
        <f t="shared" si="9"/>
        <v>Q3</v>
      </c>
      <c r="K150" t="str">
        <f t="shared" si="10"/>
        <v>Aug-2019</v>
      </c>
      <c r="L150" t="str">
        <f t="shared" si="11"/>
        <v>Low</v>
      </c>
    </row>
    <row r="151" spans="1:12" x14ac:dyDescent="0.3">
      <c r="A151">
        <v>2019</v>
      </c>
      <c r="B151" s="2" t="s">
        <v>24</v>
      </c>
      <c r="C151" t="s">
        <v>8</v>
      </c>
      <c r="D151" t="s">
        <v>11</v>
      </c>
      <c r="E151">
        <v>2.38</v>
      </c>
      <c r="F151">
        <v>142.19999999999999</v>
      </c>
      <c r="G151">
        <v>2.46</v>
      </c>
      <c r="H151" s="3">
        <f t="shared" si="8"/>
        <v>43678</v>
      </c>
      <c r="I151">
        <f>MONTH(Table1[[#This Row],[Date]])</f>
        <v>8</v>
      </c>
      <c r="J151" t="str">
        <f t="shared" si="9"/>
        <v>Q3</v>
      </c>
      <c r="K151" t="str">
        <f t="shared" si="10"/>
        <v>Aug-2019</v>
      </c>
      <c r="L151" t="str">
        <f t="shared" si="11"/>
        <v>Low</v>
      </c>
    </row>
    <row r="152" spans="1:12" x14ac:dyDescent="0.3">
      <c r="A152">
        <v>2019</v>
      </c>
      <c r="B152" s="2" t="s">
        <v>24</v>
      </c>
      <c r="C152" t="s">
        <v>8</v>
      </c>
      <c r="D152" t="s">
        <v>12</v>
      </c>
      <c r="E152">
        <v>6.53</v>
      </c>
      <c r="F152">
        <v>144.19999999999999</v>
      </c>
      <c r="G152">
        <v>2.54</v>
      </c>
      <c r="H152" s="3">
        <f t="shared" si="8"/>
        <v>43678</v>
      </c>
      <c r="I152">
        <f>MONTH(Table1[[#This Row],[Date]])</f>
        <v>8</v>
      </c>
      <c r="J152" t="str">
        <f t="shared" si="9"/>
        <v>Q3</v>
      </c>
      <c r="K152" t="str">
        <f t="shared" si="10"/>
        <v>Aug-2019</v>
      </c>
      <c r="L152" t="str">
        <f t="shared" si="11"/>
        <v>Low</v>
      </c>
    </row>
    <row r="153" spans="1:12" x14ac:dyDescent="0.3">
      <c r="A153">
        <v>2019</v>
      </c>
      <c r="B153" s="2" t="s">
        <v>24</v>
      </c>
      <c r="C153" t="s">
        <v>8</v>
      </c>
      <c r="D153" t="s">
        <v>13</v>
      </c>
      <c r="E153">
        <v>10.07</v>
      </c>
      <c r="F153">
        <v>146.19999999999999</v>
      </c>
      <c r="G153">
        <v>2.62</v>
      </c>
      <c r="H153" s="3">
        <f t="shared" si="8"/>
        <v>43678</v>
      </c>
      <c r="I153">
        <f>MONTH(Table1[[#This Row],[Date]])</f>
        <v>8</v>
      </c>
      <c r="J153" t="str">
        <f t="shared" si="9"/>
        <v>Q3</v>
      </c>
      <c r="K153" t="str">
        <f t="shared" si="10"/>
        <v>Aug-2019</v>
      </c>
      <c r="L153" t="str">
        <f t="shared" si="11"/>
        <v>Low</v>
      </c>
    </row>
    <row r="154" spans="1:12" x14ac:dyDescent="0.3">
      <c r="A154">
        <v>2019</v>
      </c>
      <c r="B154" s="2" t="s">
        <v>24</v>
      </c>
      <c r="C154" t="s">
        <v>8</v>
      </c>
      <c r="D154" t="s">
        <v>14</v>
      </c>
      <c r="E154">
        <v>6.84</v>
      </c>
      <c r="F154">
        <v>148.19999999999999</v>
      </c>
      <c r="G154">
        <v>2.7</v>
      </c>
      <c r="H154" s="3">
        <f t="shared" si="8"/>
        <v>43678</v>
      </c>
      <c r="I154">
        <f>MONTH(Table1[[#This Row],[Date]])</f>
        <v>8</v>
      </c>
      <c r="J154" t="str">
        <f t="shared" si="9"/>
        <v>Q3</v>
      </c>
      <c r="K154" t="str">
        <f t="shared" si="10"/>
        <v>Aug-2019</v>
      </c>
      <c r="L154" t="str">
        <f t="shared" si="11"/>
        <v>Low</v>
      </c>
    </row>
    <row r="155" spans="1:12" x14ac:dyDescent="0.3">
      <c r="A155">
        <v>2019</v>
      </c>
      <c r="B155" s="2" t="s">
        <v>24</v>
      </c>
      <c r="C155" t="s">
        <v>8</v>
      </c>
      <c r="D155" t="s">
        <v>15</v>
      </c>
      <c r="E155">
        <v>28.32</v>
      </c>
      <c r="F155">
        <v>150.19999999999999</v>
      </c>
      <c r="G155">
        <v>2.78</v>
      </c>
      <c r="H155" s="3">
        <f t="shared" si="8"/>
        <v>43678</v>
      </c>
      <c r="I155">
        <f>MONTH(Table1[[#This Row],[Date]])</f>
        <v>8</v>
      </c>
      <c r="J155" t="str">
        <f t="shared" si="9"/>
        <v>Q3</v>
      </c>
      <c r="K155" t="str">
        <f t="shared" si="10"/>
        <v>Aug-2019</v>
      </c>
      <c r="L155" t="str">
        <f t="shared" si="11"/>
        <v>Low</v>
      </c>
    </row>
    <row r="156" spans="1:12" x14ac:dyDescent="0.3">
      <c r="A156">
        <v>2019</v>
      </c>
      <c r="B156" s="2" t="s">
        <v>24</v>
      </c>
      <c r="C156" t="s">
        <v>16</v>
      </c>
      <c r="D156" t="s">
        <v>9</v>
      </c>
      <c r="E156">
        <v>100</v>
      </c>
      <c r="F156">
        <v>138.80000000000001</v>
      </c>
      <c r="G156">
        <v>2.2999999999999998</v>
      </c>
      <c r="H156" s="3">
        <f t="shared" si="8"/>
        <v>43678</v>
      </c>
      <c r="I156">
        <f>MONTH(Table1[[#This Row],[Date]])</f>
        <v>8</v>
      </c>
      <c r="J156" t="str">
        <f t="shared" si="9"/>
        <v>Q3</v>
      </c>
      <c r="K156" t="str">
        <f t="shared" si="10"/>
        <v>Aug-2019</v>
      </c>
      <c r="L156" t="str">
        <f t="shared" si="11"/>
        <v>Low</v>
      </c>
    </row>
    <row r="157" spans="1:12" x14ac:dyDescent="0.3">
      <c r="A157">
        <v>2019</v>
      </c>
      <c r="B157" s="2" t="s">
        <v>24</v>
      </c>
      <c r="C157" t="s">
        <v>16</v>
      </c>
      <c r="D157" t="s">
        <v>10</v>
      </c>
      <c r="E157">
        <v>45.86</v>
      </c>
      <c r="F157">
        <v>140.80000000000001</v>
      </c>
      <c r="G157">
        <v>2.38</v>
      </c>
      <c r="H157" s="3">
        <f t="shared" si="8"/>
        <v>43678</v>
      </c>
      <c r="I157">
        <f>MONTH(Table1[[#This Row],[Date]])</f>
        <v>8</v>
      </c>
      <c r="J157" t="str">
        <f t="shared" si="9"/>
        <v>Q3</v>
      </c>
      <c r="K157" t="str">
        <f t="shared" si="10"/>
        <v>Aug-2019</v>
      </c>
      <c r="L157" t="str">
        <f t="shared" si="11"/>
        <v>Low</v>
      </c>
    </row>
    <row r="158" spans="1:12" x14ac:dyDescent="0.3">
      <c r="A158">
        <v>2019</v>
      </c>
      <c r="B158" s="2" t="s">
        <v>24</v>
      </c>
      <c r="C158" t="s">
        <v>16</v>
      </c>
      <c r="D158" t="s">
        <v>11</v>
      </c>
      <c r="E158">
        <v>2.38</v>
      </c>
      <c r="F158">
        <v>142.80000000000001</v>
      </c>
      <c r="G158">
        <v>2.46</v>
      </c>
      <c r="H158" s="3">
        <f t="shared" si="8"/>
        <v>43678</v>
      </c>
      <c r="I158">
        <f>MONTH(Table1[[#This Row],[Date]])</f>
        <v>8</v>
      </c>
      <c r="J158" t="str">
        <f t="shared" si="9"/>
        <v>Q3</v>
      </c>
      <c r="K158" t="str">
        <f t="shared" si="10"/>
        <v>Aug-2019</v>
      </c>
      <c r="L158" t="str">
        <f t="shared" si="11"/>
        <v>Low</v>
      </c>
    </row>
    <row r="159" spans="1:12" x14ac:dyDescent="0.3">
      <c r="A159">
        <v>2019</v>
      </c>
      <c r="B159" s="2" t="s">
        <v>24</v>
      </c>
      <c r="C159" t="s">
        <v>16</v>
      </c>
      <c r="D159" t="s">
        <v>12</v>
      </c>
      <c r="E159">
        <v>6.53</v>
      </c>
      <c r="F159">
        <v>144.80000000000001</v>
      </c>
      <c r="G159">
        <v>2.54</v>
      </c>
      <c r="H159" s="3">
        <f t="shared" si="8"/>
        <v>43678</v>
      </c>
      <c r="I159">
        <f>MONTH(Table1[[#This Row],[Date]])</f>
        <v>8</v>
      </c>
      <c r="J159" t="str">
        <f t="shared" si="9"/>
        <v>Q3</v>
      </c>
      <c r="K159" t="str">
        <f t="shared" si="10"/>
        <v>Aug-2019</v>
      </c>
      <c r="L159" t="str">
        <f t="shared" si="11"/>
        <v>Low</v>
      </c>
    </row>
    <row r="160" spans="1:12" x14ac:dyDescent="0.3">
      <c r="A160">
        <v>2019</v>
      </c>
      <c r="B160" s="2" t="s">
        <v>24</v>
      </c>
      <c r="C160" t="s">
        <v>16</v>
      </c>
      <c r="D160" t="s">
        <v>13</v>
      </c>
      <c r="E160">
        <v>10.07</v>
      </c>
      <c r="F160">
        <v>146.80000000000001</v>
      </c>
      <c r="G160">
        <v>2.62</v>
      </c>
      <c r="H160" s="3">
        <f t="shared" si="8"/>
        <v>43678</v>
      </c>
      <c r="I160">
        <f>MONTH(Table1[[#This Row],[Date]])</f>
        <v>8</v>
      </c>
      <c r="J160" t="str">
        <f t="shared" si="9"/>
        <v>Q3</v>
      </c>
      <c r="K160" t="str">
        <f t="shared" si="10"/>
        <v>Aug-2019</v>
      </c>
      <c r="L160" t="str">
        <f t="shared" si="11"/>
        <v>Low</v>
      </c>
    </row>
    <row r="161" spans="1:12" x14ac:dyDescent="0.3">
      <c r="A161">
        <v>2019</v>
      </c>
      <c r="B161" s="2" t="s">
        <v>24</v>
      </c>
      <c r="C161" t="s">
        <v>16</v>
      </c>
      <c r="D161" t="s">
        <v>14</v>
      </c>
      <c r="E161">
        <v>6.84</v>
      </c>
      <c r="F161">
        <v>148.80000000000001</v>
      </c>
      <c r="G161">
        <v>2.7</v>
      </c>
      <c r="H161" s="3">
        <f t="shared" si="8"/>
        <v>43678</v>
      </c>
      <c r="I161">
        <f>MONTH(Table1[[#This Row],[Date]])</f>
        <v>8</v>
      </c>
      <c r="J161" t="str">
        <f t="shared" si="9"/>
        <v>Q3</v>
      </c>
      <c r="K161" t="str">
        <f t="shared" si="10"/>
        <v>Aug-2019</v>
      </c>
      <c r="L161" t="str">
        <f t="shared" si="11"/>
        <v>Low</v>
      </c>
    </row>
    <row r="162" spans="1:12" x14ac:dyDescent="0.3">
      <c r="A162">
        <v>2019</v>
      </c>
      <c r="B162" s="2" t="s">
        <v>24</v>
      </c>
      <c r="C162" t="s">
        <v>16</v>
      </c>
      <c r="D162" t="s">
        <v>15</v>
      </c>
      <c r="E162">
        <v>28.32</v>
      </c>
      <c r="F162">
        <v>150.80000000000001</v>
      </c>
      <c r="G162">
        <v>2.78</v>
      </c>
      <c r="H162" s="3">
        <f t="shared" si="8"/>
        <v>43678</v>
      </c>
      <c r="I162">
        <f>MONTH(Table1[[#This Row],[Date]])</f>
        <v>8</v>
      </c>
      <c r="J162" t="str">
        <f t="shared" si="9"/>
        <v>Q3</v>
      </c>
      <c r="K162" t="str">
        <f t="shared" si="10"/>
        <v>Aug-2019</v>
      </c>
      <c r="L162" t="str">
        <f t="shared" si="11"/>
        <v>Low</v>
      </c>
    </row>
    <row r="163" spans="1:12" x14ac:dyDescent="0.3">
      <c r="A163">
        <v>2019</v>
      </c>
      <c r="B163" s="2" t="s">
        <v>24</v>
      </c>
      <c r="C163" t="s">
        <v>17</v>
      </c>
      <c r="D163" t="s">
        <v>9</v>
      </c>
      <c r="E163">
        <v>100</v>
      </c>
      <c r="F163">
        <v>139.4</v>
      </c>
      <c r="G163">
        <v>2.2999999999999998</v>
      </c>
      <c r="H163" s="3">
        <f t="shared" si="8"/>
        <v>43678</v>
      </c>
      <c r="I163">
        <f>MONTH(Table1[[#This Row],[Date]])</f>
        <v>8</v>
      </c>
      <c r="J163" t="str">
        <f t="shared" si="9"/>
        <v>Q3</v>
      </c>
      <c r="K163" t="str">
        <f t="shared" si="10"/>
        <v>Aug-2019</v>
      </c>
      <c r="L163" t="str">
        <f t="shared" si="11"/>
        <v>Low</v>
      </c>
    </row>
    <row r="164" spans="1:12" x14ac:dyDescent="0.3">
      <c r="A164">
        <v>2019</v>
      </c>
      <c r="B164" s="2" t="s">
        <v>24</v>
      </c>
      <c r="C164" t="s">
        <v>17</v>
      </c>
      <c r="D164" t="s">
        <v>10</v>
      </c>
      <c r="E164">
        <v>45.86</v>
      </c>
      <c r="F164">
        <v>141.4</v>
      </c>
      <c r="G164">
        <v>2.38</v>
      </c>
      <c r="H164" s="3">
        <f t="shared" si="8"/>
        <v>43678</v>
      </c>
      <c r="I164">
        <f>MONTH(Table1[[#This Row],[Date]])</f>
        <v>8</v>
      </c>
      <c r="J164" t="str">
        <f t="shared" si="9"/>
        <v>Q3</v>
      </c>
      <c r="K164" t="str">
        <f t="shared" si="10"/>
        <v>Aug-2019</v>
      </c>
      <c r="L164" t="str">
        <f t="shared" si="11"/>
        <v>Low</v>
      </c>
    </row>
    <row r="165" spans="1:12" x14ac:dyDescent="0.3">
      <c r="A165">
        <v>2019</v>
      </c>
      <c r="B165" s="2" t="s">
        <v>24</v>
      </c>
      <c r="C165" t="s">
        <v>17</v>
      </c>
      <c r="D165" t="s">
        <v>11</v>
      </c>
      <c r="E165">
        <v>2.38</v>
      </c>
      <c r="F165">
        <v>143.4</v>
      </c>
      <c r="G165">
        <v>2.46</v>
      </c>
      <c r="H165" s="3">
        <f t="shared" si="8"/>
        <v>43678</v>
      </c>
      <c r="I165">
        <f>MONTH(Table1[[#This Row],[Date]])</f>
        <v>8</v>
      </c>
      <c r="J165" t="str">
        <f t="shared" si="9"/>
        <v>Q3</v>
      </c>
      <c r="K165" t="str">
        <f t="shared" si="10"/>
        <v>Aug-2019</v>
      </c>
      <c r="L165" t="str">
        <f t="shared" si="11"/>
        <v>Low</v>
      </c>
    </row>
    <row r="166" spans="1:12" x14ac:dyDescent="0.3">
      <c r="A166">
        <v>2019</v>
      </c>
      <c r="B166" s="2" t="s">
        <v>24</v>
      </c>
      <c r="C166" t="s">
        <v>17</v>
      </c>
      <c r="D166" t="s">
        <v>12</v>
      </c>
      <c r="E166">
        <v>6.53</v>
      </c>
      <c r="F166">
        <v>145.4</v>
      </c>
      <c r="G166">
        <v>2.54</v>
      </c>
      <c r="H166" s="3">
        <f t="shared" si="8"/>
        <v>43678</v>
      </c>
      <c r="I166">
        <f>MONTH(Table1[[#This Row],[Date]])</f>
        <v>8</v>
      </c>
      <c r="J166" t="str">
        <f t="shared" si="9"/>
        <v>Q3</v>
      </c>
      <c r="K166" t="str">
        <f t="shared" si="10"/>
        <v>Aug-2019</v>
      </c>
      <c r="L166" t="str">
        <f t="shared" si="11"/>
        <v>Low</v>
      </c>
    </row>
    <row r="167" spans="1:12" x14ac:dyDescent="0.3">
      <c r="A167">
        <v>2019</v>
      </c>
      <c r="B167" s="2" t="s">
        <v>24</v>
      </c>
      <c r="C167" t="s">
        <v>17</v>
      </c>
      <c r="D167" t="s">
        <v>13</v>
      </c>
      <c r="E167">
        <v>10.07</v>
      </c>
      <c r="F167">
        <v>147.4</v>
      </c>
      <c r="G167">
        <v>2.62</v>
      </c>
      <c r="H167" s="3">
        <f t="shared" si="8"/>
        <v>43678</v>
      </c>
      <c r="I167">
        <f>MONTH(Table1[[#This Row],[Date]])</f>
        <v>8</v>
      </c>
      <c r="J167" t="str">
        <f t="shared" si="9"/>
        <v>Q3</v>
      </c>
      <c r="K167" t="str">
        <f t="shared" si="10"/>
        <v>Aug-2019</v>
      </c>
      <c r="L167" t="str">
        <f t="shared" si="11"/>
        <v>Low</v>
      </c>
    </row>
    <row r="168" spans="1:12" x14ac:dyDescent="0.3">
      <c r="A168">
        <v>2019</v>
      </c>
      <c r="B168" s="2" t="s">
        <v>24</v>
      </c>
      <c r="C168" t="s">
        <v>17</v>
      </c>
      <c r="D168" t="s">
        <v>14</v>
      </c>
      <c r="E168">
        <v>6.84</v>
      </c>
      <c r="F168">
        <v>149.4</v>
      </c>
      <c r="G168">
        <v>2.7</v>
      </c>
      <c r="H168" s="3">
        <f t="shared" si="8"/>
        <v>43678</v>
      </c>
      <c r="I168">
        <f>MONTH(Table1[[#This Row],[Date]])</f>
        <v>8</v>
      </c>
      <c r="J168" t="str">
        <f t="shared" si="9"/>
        <v>Q3</v>
      </c>
      <c r="K168" t="str">
        <f t="shared" si="10"/>
        <v>Aug-2019</v>
      </c>
      <c r="L168" t="str">
        <f t="shared" si="11"/>
        <v>Low</v>
      </c>
    </row>
    <row r="169" spans="1:12" x14ac:dyDescent="0.3">
      <c r="A169">
        <v>2019</v>
      </c>
      <c r="B169" s="2" t="s">
        <v>24</v>
      </c>
      <c r="C169" t="s">
        <v>17</v>
      </c>
      <c r="D169" t="s">
        <v>15</v>
      </c>
      <c r="E169">
        <v>28.32</v>
      </c>
      <c r="F169">
        <v>151.4</v>
      </c>
      <c r="G169">
        <v>2.78</v>
      </c>
      <c r="H169" s="3">
        <f t="shared" si="8"/>
        <v>43678</v>
      </c>
      <c r="I169">
        <f>MONTH(Table1[[#This Row],[Date]])</f>
        <v>8</v>
      </c>
      <c r="J169" t="str">
        <f t="shared" si="9"/>
        <v>Q3</v>
      </c>
      <c r="K169" t="str">
        <f t="shared" si="10"/>
        <v>Aug-2019</v>
      </c>
      <c r="L169" t="str">
        <f t="shared" si="11"/>
        <v>Low</v>
      </c>
    </row>
    <row r="170" spans="1:12" x14ac:dyDescent="0.3">
      <c r="A170">
        <v>2019</v>
      </c>
      <c r="B170" s="2" t="s">
        <v>25</v>
      </c>
      <c r="C170" t="s">
        <v>8</v>
      </c>
      <c r="D170" t="s">
        <v>9</v>
      </c>
      <c r="E170">
        <v>100</v>
      </c>
      <c r="F170">
        <v>138.6</v>
      </c>
      <c r="G170">
        <v>2.4500000000000002</v>
      </c>
      <c r="H170" s="3">
        <f t="shared" si="8"/>
        <v>43709</v>
      </c>
      <c r="I170">
        <f>MONTH(Table1[[#This Row],[Date]])</f>
        <v>9</v>
      </c>
      <c r="J170" t="str">
        <f t="shared" si="9"/>
        <v>Q3</v>
      </c>
      <c r="K170" t="str">
        <f t="shared" si="10"/>
        <v>Sept-2019</v>
      </c>
      <c r="L170" t="str">
        <f t="shared" si="11"/>
        <v>Low</v>
      </c>
    </row>
    <row r="171" spans="1:12" x14ac:dyDescent="0.3">
      <c r="A171">
        <v>2019</v>
      </c>
      <c r="B171" s="2" t="s">
        <v>25</v>
      </c>
      <c r="C171" t="s">
        <v>8</v>
      </c>
      <c r="D171" t="s">
        <v>10</v>
      </c>
      <c r="E171">
        <v>45.86</v>
      </c>
      <c r="F171">
        <v>140.6</v>
      </c>
      <c r="G171">
        <v>2.5299999999999998</v>
      </c>
      <c r="H171" s="3">
        <f t="shared" si="8"/>
        <v>43709</v>
      </c>
      <c r="I171">
        <f>MONTH(Table1[[#This Row],[Date]])</f>
        <v>9</v>
      </c>
      <c r="J171" t="str">
        <f t="shared" si="9"/>
        <v>Q3</v>
      </c>
      <c r="K171" t="str">
        <f t="shared" si="10"/>
        <v>Sept-2019</v>
      </c>
      <c r="L171" t="str">
        <f t="shared" si="11"/>
        <v>Low</v>
      </c>
    </row>
    <row r="172" spans="1:12" x14ac:dyDescent="0.3">
      <c r="A172">
        <v>2019</v>
      </c>
      <c r="B172" s="2" t="s">
        <v>25</v>
      </c>
      <c r="C172" t="s">
        <v>8</v>
      </c>
      <c r="D172" t="s">
        <v>11</v>
      </c>
      <c r="E172">
        <v>2.38</v>
      </c>
      <c r="F172">
        <v>142.6</v>
      </c>
      <c r="G172">
        <v>2.61</v>
      </c>
      <c r="H172" s="3">
        <f t="shared" si="8"/>
        <v>43709</v>
      </c>
      <c r="I172">
        <f>MONTH(Table1[[#This Row],[Date]])</f>
        <v>9</v>
      </c>
      <c r="J172" t="str">
        <f t="shared" si="9"/>
        <v>Q3</v>
      </c>
      <c r="K172" t="str">
        <f t="shared" si="10"/>
        <v>Sept-2019</v>
      </c>
      <c r="L172" t="str">
        <f t="shared" si="11"/>
        <v>Low</v>
      </c>
    </row>
    <row r="173" spans="1:12" x14ac:dyDescent="0.3">
      <c r="A173">
        <v>2019</v>
      </c>
      <c r="B173" s="2" t="s">
        <v>25</v>
      </c>
      <c r="C173" t="s">
        <v>8</v>
      </c>
      <c r="D173" t="s">
        <v>12</v>
      </c>
      <c r="E173">
        <v>6.53</v>
      </c>
      <c r="F173">
        <v>144.6</v>
      </c>
      <c r="G173">
        <v>2.69</v>
      </c>
      <c r="H173" s="3">
        <f t="shared" si="8"/>
        <v>43709</v>
      </c>
      <c r="I173">
        <f>MONTH(Table1[[#This Row],[Date]])</f>
        <v>9</v>
      </c>
      <c r="J173" t="str">
        <f t="shared" si="9"/>
        <v>Q3</v>
      </c>
      <c r="K173" t="str">
        <f t="shared" si="10"/>
        <v>Sept-2019</v>
      </c>
      <c r="L173" t="str">
        <f t="shared" si="11"/>
        <v>Low</v>
      </c>
    </row>
    <row r="174" spans="1:12" x14ac:dyDescent="0.3">
      <c r="A174">
        <v>2019</v>
      </c>
      <c r="B174" s="2" t="s">
        <v>25</v>
      </c>
      <c r="C174" t="s">
        <v>8</v>
      </c>
      <c r="D174" t="s">
        <v>13</v>
      </c>
      <c r="E174">
        <v>10.07</v>
      </c>
      <c r="F174">
        <v>146.6</v>
      </c>
      <c r="G174">
        <v>2.77</v>
      </c>
      <c r="H174" s="3">
        <f t="shared" si="8"/>
        <v>43709</v>
      </c>
      <c r="I174">
        <f>MONTH(Table1[[#This Row],[Date]])</f>
        <v>9</v>
      </c>
      <c r="J174" t="str">
        <f t="shared" si="9"/>
        <v>Q3</v>
      </c>
      <c r="K174" t="str">
        <f t="shared" si="10"/>
        <v>Sept-2019</v>
      </c>
      <c r="L174" t="str">
        <f t="shared" si="11"/>
        <v>Low</v>
      </c>
    </row>
    <row r="175" spans="1:12" x14ac:dyDescent="0.3">
      <c r="A175">
        <v>2019</v>
      </c>
      <c r="B175" s="2" t="s">
        <v>25</v>
      </c>
      <c r="C175" t="s">
        <v>8</v>
      </c>
      <c r="D175" t="s">
        <v>14</v>
      </c>
      <c r="E175">
        <v>6.84</v>
      </c>
      <c r="F175">
        <v>148.6</v>
      </c>
      <c r="G175">
        <v>2.85</v>
      </c>
      <c r="H175" s="3">
        <f t="shared" si="8"/>
        <v>43709</v>
      </c>
      <c r="I175">
        <f>MONTH(Table1[[#This Row],[Date]])</f>
        <v>9</v>
      </c>
      <c r="J175" t="str">
        <f t="shared" si="9"/>
        <v>Q3</v>
      </c>
      <c r="K175" t="str">
        <f t="shared" si="10"/>
        <v>Sept-2019</v>
      </c>
      <c r="L175" t="str">
        <f t="shared" si="11"/>
        <v>Low</v>
      </c>
    </row>
    <row r="176" spans="1:12" x14ac:dyDescent="0.3">
      <c r="A176">
        <v>2019</v>
      </c>
      <c r="B176" s="2" t="s">
        <v>25</v>
      </c>
      <c r="C176" t="s">
        <v>8</v>
      </c>
      <c r="D176" t="s">
        <v>15</v>
      </c>
      <c r="E176">
        <v>28.32</v>
      </c>
      <c r="F176">
        <v>150.6</v>
      </c>
      <c r="G176">
        <v>2.93</v>
      </c>
      <c r="H176" s="3">
        <f t="shared" si="8"/>
        <v>43709</v>
      </c>
      <c r="I176">
        <f>MONTH(Table1[[#This Row],[Date]])</f>
        <v>9</v>
      </c>
      <c r="J176" t="str">
        <f t="shared" si="9"/>
        <v>Q3</v>
      </c>
      <c r="K176" t="str">
        <f t="shared" si="10"/>
        <v>Sept-2019</v>
      </c>
      <c r="L176" t="str">
        <f t="shared" si="11"/>
        <v>Low</v>
      </c>
    </row>
    <row r="177" spans="1:12" x14ac:dyDescent="0.3">
      <c r="A177">
        <v>2019</v>
      </c>
      <c r="B177" s="2" t="s">
        <v>25</v>
      </c>
      <c r="C177" t="s">
        <v>16</v>
      </c>
      <c r="D177" t="s">
        <v>9</v>
      </c>
      <c r="E177">
        <v>100</v>
      </c>
      <c r="F177">
        <v>139.19999999999999</v>
      </c>
      <c r="G177">
        <v>2.4500000000000002</v>
      </c>
      <c r="H177" s="3">
        <f t="shared" si="8"/>
        <v>43709</v>
      </c>
      <c r="I177">
        <f>MONTH(Table1[[#This Row],[Date]])</f>
        <v>9</v>
      </c>
      <c r="J177" t="str">
        <f t="shared" si="9"/>
        <v>Q3</v>
      </c>
      <c r="K177" t="str">
        <f t="shared" si="10"/>
        <v>Sept-2019</v>
      </c>
      <c r="L177" t="str">
        <f t="shared" si="11"/>
        <v>Low</v>
      </c>
    </row>
    <row r="178" spans="1:12" x14ac:dyDescent="0.3">
      <c r="A178">
        <v>2019</v>
      </c>
      <c r="B178" s="2" t="s">
        <v>25</v>
      </c>
      <c r="C178" t="s">
        <v>16</v>
      </c>
      <c r="D178" t="s">
        <v>10</v>
      </c>
      <c r="E178">
        <v>45.86</v>
      </c>
      <c r="F178">
        <v>141.19999999999999</v>
      </c>
      <c r="G178">
        <v>2.5299999999999998</v>
      </c>
      <c r="H178" s="3">
        <f t="shared" si="8"/>
        <v>43709</v>
      </c>
      <c r="I178">
        <f>MONTH(Table1[[#This Row],[Date]])</f>
        <v>9</v>
      </c>
      <c r="J178" t="str">
        <f t="shared" si="9"/>
        <v>Q3</v>
      </c>
      <c r="K178" t="str">
        <f t="shared" si="10"/>
        <v>Sept-2019</v>
      </c>
      <c r="L178" t="str">
        <f t="shared" si="11"/>
        <v>Low</v>
      </c>
    </row>
    <row r="179" spans="1:12" x14ac:dyDescent="0.3">
      <c r="A179">
        <v>2019</v>
      </c>
      <c r="B179" s="2" t="s">
        <v>25</v>
      </c>
      <c r="C179" t="s">
        <v>16</v>
      </c>
      <c r="D179" t="s">
        <v>11</v>
      </c>
      <c r="E179">
        <v>2.38</v>
      </c>
      <c r="F179">
        <v>143.19999999999999</v>
      </c>
      <c r="G179">
        <v>2.61</v>
      </c>
      <c r="H179" s="3">
        <f t="shared" si="8"/>
        <v>43709</v>
      </c>
      <c r="I179">
        <f>MONTH(Table1[[#This Row],[Date]])</f>
        <v>9</v>
      </c>
      <c r="J179" t="str">
        <f t="shared" si="9"/>
        <v>Q3</v>
      </c>
      <c r="K179" t="str">
        <f t="shared" si="10"/>
        <v>Sept-2019</v>
      </c>
      <c r="L179" t="str">
        <f t="shared" si="11"/>
        <v>Low</v>
      </c>
    </row>
    <row r="180" spans="1:12" x14ac:dyDescent="0.3">
      <c r="A180">
        <v>2019</v>
      </c>
      <c r="B180" s="2" t="s">
        <v>25</v>
      </c>
      <c r="C180" t="s">
        <v>16</v>
      </c>
      <c r="D180" t="s">
        <v>12</v>
      </c>
      <c r="E180">
        <v>6.53</v>
      </c>
      <c r="F180">
        <v>145.19999999999999</v>
      </c>
      <c r="G180">
        <v>2.69</v>
      </c>
      <c r="H180" s="3">
        <f t="shared" si="8"/>
        <v>43709</v>
      </c>
      <c r="I180">
        <f>MONTH(Table1[[#This Row],[Date]])</f>
        <v>9</v>
      </c>
      <c r="J180" t="str">
        <f t="shared" si="9"/>
        <v>Q3</v>
      </c>
      <c r="K180" t="str">
        <f t="shared" si="10"/>
        <v>Sept-2019</v>
      </c>
      <c r="L180" t="str">
        <f t="shared" si="11"/>
        <v>Low</v>
      </c>
    </row>
    <row r="181" spans="1:12" x14ac:dyDescent="0.3">
      <c r="A181">
        <v>2019</v>
      </c>
      <c r="B181" s="2" t="s">
        <v>25</v>
      </c>
      <c r="C181" t="s">
        <v>16</v>
      </c>
      <c r="D181" t="s">
        <v>13</v>
      </c>
      <c r="E181">
        <v>10.07</v>
      </c>
      <c r="F181">
        <v>147.19999999999999</v>
      </c>
      <c r="G181">
        <v>2.77</v>
      </c>
      <c r="H181" s="3">
        <f t="shared" si="8"/>
        <v>43709</v>
      </c>
      <c r="I181">
        <f>MONTH(Table1[[#This Row],[Date]])</f>
        <v>9</v>
      </c>
      <c r="J181" t="str">
        <f t="shared" si="9"/>
        <v>Q3</v>
      </c>
      <c r="K181" t="str">
        <f t="shared" si="10"/>
        <v>Sept-2019</v>
      </c>
      <c r="L181" t="str">
        <f t="shared" si="11"/>
        <v>Low</v>
      </c>
    </row>
    <row r="182" spans="1:12" x14ac:dyDescent="0.3">
      <c r="A182">
        <v>2019</v>
      </c>
      <c r="B182" s="2" t="s">
        <v>25</v>
      </c>
      <c r="C182" t="s">
        <v>16</v>
      </c>
      <c r="D182" t="s">
        <v>14</v>
      </c>
      <c r="E182">
        <v>6.84</v>
      </c>
      <c r="F182">
        <v>149.19999999999999</v>
      </c>
      <c r="G182">
        <v>2.85</v>
      </c>
      <c r="H182" s="3">
        <f t="shared" si="8"/>
        <v>43709</v>
      </c>
      <c r="I182">
        <f>MONTH(Table1[[#This Row],[Date]])</f>
        <v>9</v>
      </c>
      <c r="J182" t="str">
        <f t="shared" si="9"/>
        <v>Q3</v>
      </c>
      <c r="K182" t="str">
        <f t="shared" si="10"/>
        <v>Sept-2019</v>
      </c>
      <c r="L182" t="str">
        <f t="shared" si="11"/>
        <v>Low</v>
      </c>
    </row>
    <row r="183" spans="1:12" x14ac:dyDescent="0.3">
      <c r="A183">
        <v>2019</v>
      </c>
      <c r="B183" s="2" t="s">
        <v>25</v>
      </c>
      <c r="C183" t="s">
        <v>16</v>
      </c>
      <c r="D183" t="s">
        <v>15</v>
      </c>
      <c r="E183">
        <v>28.32</v>
      </c>
      <c r="F183">
        <v>151.19999999999999</v>
      </c>
      <c r="G183">
        <v>2.93</v>
      </c>
      <c r="H183" s="3">
        <f t="shared" si="8"/>
        <v>43709</v>
      </c>
      <c r="I183">
        <f>MONTH(Table1[[#This Row],[Date]])</f>
        <v>9</v>
      </c>
      <c r="J183" t="str">
        <f t="shared" si="9"/>
        <v>Q3</v>
      </c>
      <c r="K183" t="str">
        <f t="shared" si="10"/>
        <v>Sept-2019</v>
      </c>
      <c r="L183" t="str">
        <f t="shared" si="11"/>
        <v>Low</v>
      </c>
    </row>
    <row r="184" spans="1:12" x14ac:dyDescent="0.3">
      <c r="A184">
        <v>2019</v>
      </c>
      <c r="B184" s="2" t="s">
        <v>25</v>
      </c>
      <c r="C184" t="s">
        <v>17</v>
      </c>
      <c r="D184" t="s">
        <v>9</v>
      </c>
      <c r="E184">
        <v>100</v>
      </c>
      <c r="F184">
        <v>139.80000000000001</v>
      </c>
      <c r="G184">
        <v>2.4500000000000002</v>
      </c>
      <c r="H184" s="3">
        <f t="shared" si="8"/>
        <v>43709</v>
      </c>
      <c r="I184">
        <f>MONTH(Table1[[#This Row],[Date]])</f>
        <v>9</v>
      </c>
      <c r="J184" t="str">
        <f t="shared" si="9"/>
        <v>Q3</v>
      </c>
      <c r="K184" t="str">
        <f t="shared" si="10"/>
        <v>Sept-2019</v>
      </c>
      <c r="L184" t="str">
        <f t="shared" si="11"/>
        <v>Low</v>
      </c>
    </row>
    <row r="185" spans="1:12" x14ac:dyDescent="0.3">
      <c r="A185">
        <v>2019</v>
      </c>
      <c r="B185" s="2" t="s">
        <v>25</v>
      </c>
      <c r="C185" t="s">
        <v>17</v>
      </c>
      <c r="D185" t="s">
        <v>10</v>
      </c>
      <c r="E185">
        <v>45.86</v>
      </c>
      <c r="F185">
        <v>141.80000000000001</v>
      </c>
      <c r="G185">
        <v>2.5299999999999998</v>
      </c>
      <c r="H185" s="3">
        <f t="shared" si="8"/>
        <v>43709</v>
      </c>
      <c r="I185">
        <f>MONTH(Table1[[#This Row],[Date]])</f>
        <v>9</v>
      </c>
      <c r="J185" t="str">
        <f t="shared" si="9"/>
        <v>Q3</v>
      </c>
      <c r="K185" t="str">
        <f t="shared" si="10"/>
        <v>Sept-2019</v>
      </c>
      <c r="L185" t="str">
        <f t="shared" si="11"/>
        <v>Low</v>
      </c>
    </row>
    <row r="186" spans="1:12" x14ac:dyDescent="0.3">
      <c r="A186">
        <v>2019</v>
      </c>
      <c r="B186" s="2" t="s">
        <v>25</v>
      </c>
      <c r="C186" t="s">
        <v>17</v>
      </c>
      <c r="D186" t="s">
        <v>11</v>
      </c>
      <c r="E186">
        <v>2.38</v>
      </c>
      <c r="F186">
        <v>143.80000000000001</v>
      </c>
      <c r="G186">
        <v>2.61</v>
      </c>
      <c r="H186" s="3">
        <f t="shared" si="8"/>
        <v>43709</v>
      </c>
      <c r="I186">
        <f>MONTH(Table1[[#This Row],[Date]])</f>
        <v>9</v>
      </c>
      <c r="J186" t="str">
        <f t="shared" si="9"/>
        <v>Q3</v>
      </c>
      <c r="K186" t="str">
        <f t="shared" si="10"/>
        <v>Sept-2019</v>
      </c>
      <c r="L186" t="str">
        <f t="shared" si="11"/>
        <v>Low</v>
      </c>
    </row>
    <row r="187" spans="1:12" x14ac:dyDescent="0.3">
      <c r="A187">
        <v>2019</v>
      </c>
      <c r="B187" s="2" t="s">
        <v>25</v>
      </c>
      <c r="C187" t="s">
        <v>17</v>
      </c>
      <c r="D187" t="s">
        <v>12</v>
      </c>
      <c r="E187">
        <v>6.53</v>
      </c>
      <c r="F187">
        <v>145.80000000000001</v>
      </c>
      <c r="G187">
        <v>2.69</v>
      </c>
      <c r="H187" s="3">
        <f t="shared" si="8"/>
        <v>43709</v>
      </c>
      <c r="I187">
        <f>MONTH(Table1[[#This Row],[Date]])</f>
        <v>9</v>
      </c>
      <c r="J187" t="str">
        <f t="shared" si="9"/>
        <v>Q3</v>
      </c>
      <c r="K187" t="str">
        <f t="shared" si="10"/>
        <v>Sept-2019</v>
      </c>
      <c r="L187" t="str">
        <f t="shared" si="11"/>
        <v>Low</v>
      </c>
    </row>
    <row r="188" spans="1:12" x14ac:dyDescent="0.3">
      <c r="A188">
        <v>2019</v>
      </c>
      <c r="B188" s="2" t="s">
        <v>25</v>
      </c>
      <c r="C188" t="s">
        <v>17</v>
      </c>
      <c r="D188" t="s">
        <v>13</v>
      </c>
      <c r="E188">
        <v>10.07</v>
      </c>
      <c r="F188">
        <v>147.80000000000001</v>
      </c>
      <c r="G188">
        <v>2.77</v>
      </c>
      <c r="H188" s="3">
        <f t="shared" si="8"/>
        <v>43709</v>
      </c>
      <c r="I188">
        <f>MONTH(Table1[[#This Row],[Date]])</f>
        <v>9</v>
      </c>
      <c r="J188" t="str">
        <f t="shared" si="9"/>
        <v>Q3</v>
      </c>
      <c r="K188" t="str">
        <f t="shared" si="10"/>
        <v>Sept-2019</v>
      </c>
      <c r="L188" t="str">
        <f t="shared" si="11"/>
        <v>Low</v>
      </c>
    </row>
    <row r="189" spans="1:12" x14ac:dyDescent="0.3">
      <c r="A189">
        <v>2019</v>
      </c>
      <c r="B189" s="2" t="s">
        <v>25</v>
      </c>
      <c r="C189" t="s">
        <v>17</v>
      </c>
      <c r="D189" t="s">
        <v>14</v>
      </c>
      <c r="E189">
        <v>6.84</v>
      </c>
      <c r="F189">
        <v>149.80000000000001</v>
      </c>
      <c r="G189">
        <v>2.85</v>
      </c>
      <c r="H189" s="3">
        <f t="shared" si="8"/>
        <v>43709</v>
      </c>
      <c r="I189">
        <f>MONTH(Table1[[#This Row],[Date]])</f>
        <v>9</v>
      </c>
      <c r="J189" t="str">
        <f t="shared" si="9"/>
        <v>Q3</v>
      </c>
      <c r="K189" t="str">
        <f t="shared" si="10"/>
        <v>Sept-2019</v>
      </c>
      <c r="L189" t="str">
        <f t="shared" si="11"/>
        <v>Low</v>
      </c>
    </row>
    <row r="190" spans="1:12" x14ac:dyDescent="0.3">
      <c r="A190">
        <v>2019</v>
      </c>
      <c r="B190" s="2" t="s">
        <v>25</v>
      </c>
      <c r="C190" t="s">
        <v>17</v>
      </c>
      <c r="D190" t="s">
        <v>15</v>
      </c>
      <c r="E190">
        <v>28.32</v>
      </c>
      <c r="F190">
        <v>151.80000000000001</v>
      </c>
      <c r="G190">
        <v>2.93</v>
      </c>
      <c r="H190" s="3">
        <f t="shared" si="8"/>
        <v>43709</v>
      </c>
      <c r="I190">
        <f>MONTH(Table1[[#This Row],[Date]])</f>
        <v>9</v>
      </c>
      <c r="J190" t="str">
        <f t="shared" si="9"/>
        <v>Q3</v>
      </c>
      <c r="K190" t="str">
        <f t="shared" si="10"/>
        <v>Sept-2019</v>
      </c>
      <c r="L190" t="str">
        <f t="shared" si="11"/>
        <v>Low</v>
      </c>
    </row>
    <row r="191" spans="1:12" x14ac:dyDescent="0.3">
      <c r="A191">
        <v>2019</v>
      </c>
      <c r="B191" s="2" t="s">
        <v>26</v>
      </c>
      <c r="C191" t="s">
        <v>8</v>
      </c>
      <c r="D191" t="s">
        <v>9</v>
      </c>
      <c r="E191">
        <v>100</v>
      </c>
      <c r="F191">
        <v>139</v>
      </c>
      <c r="G191">
        <v>2.6</v>
      </c>
      <c r="H191" s="3">
        <f t="shared" si="8"/>
        <v>43739</v>
      </c>
      <c r="I191">
        <f>MONTH(Table1[[#This Row],[Date]])</f>
        <v>10</v>
      </c>
      <c r="J191" t="str">
        <f t="shared" si="9"/>
        <v>Q4</v>
      </c>
      <c r="K191" t="str">
        <f t="shared" si="10"/>
        <v>Oct-2019</v>
      </c>
      <c r="L191" t="str">
        <f t="shared" si="11"/>
        <v>Low</v>
      </c>
    </row>
    <row r="192" spans="1:12" x14ac:dyDescent="0.3">
      <c r="A192">
        <v>2019</v>
      </c>
      <c r="B192" s="2" t="s">
        <v>26</v>
      </c>
      <c r="C192" t="s">
        <v>8</v>
      </c>
      <c r="D192" t="s">
        <v>10</v>
      </c>
      <c r="E192">
        <v>45.86</v>
      </c>
      <c r="F192">
        <v>141</v>
      </c>
      <c r="G192">
        <v>2.68</v>
      </c>
      <c r="H192" s="3">
        <f t="shared" si="8"/>
        <v>43739</v>
      </c>
      <c r="I192">
        <f>MONTH(Table1[[#This Row],[Date]])</f>
        <v>10</v>
      </c>
      <c r="J192" t="str">
        <f t="shared" si="9"/>
        <v>Q4</v>
      </c>
      <c r="K192" t="str">
        <f t="shared" si="10"/>
        <v>Oct-2019</v>
      </c>
      <c r="L192" t="str">
        <f t="shared" si="11"/>
        <v>Low</v>
      </c>
    </row>
    <row r="193" spans="1:12" x14ac:dyDescent="0.3">
      <c r="A193">
        <v>2019</v>
      </c>
      <c r="B193" s="2" t="s">
        <v>26</v>
      </c>
      <c r="C193" t="s">
        <v>8</v>
      </c>
      <c r="D193" t="s">
        <v>11</v>
      </c>
      <c r="E193">
        <v>2.38</v>
      </c>
      <c r="F193">
        <v>143</v>
      </c>
      <c r="G193">
        <v>2.76</v>
      </c>
      <c r="H193" s="3">
        <f t="shared" si="8"/>
        <v>43739</v>
      </c>
      <c r="I193">
        <f>MONTH(Table1[[#This Row],[Date]])</f>
        <v>10</v>
      </c>
      <c r="J193" t="str">
        <f t="shared" si="9"/>
        <v>Q4</v>
      </c>
      <c r="K193" t="str">
        <f t="shared" si="10"/>
        <v>Oct-2019</v>
      </c>
      <c r="L193" t="str">
        <f t="shared" si="11"/>
        <v>Low</v>
      </c>
    </row>
    <row r="194" spans="1:12" x14ac:dyDescent="0.3">
      <c r="A194">
        <v>2019</v>
      </c>
      <c r="B194" s="2" t="s">
        <v>26</v>
      </c>
      <c r="C194" t="s">
        <v>8</v>
      </c>
      <c r="D194" t="s">
        <v>12</v>
      </c>
      <c r="E194">
        <v>6.53</v>
      </c>
      <c r="F194">
        <v>145</v>
      </c>
      <c r="G194">
        <v>2.84</v>
      </c>
      <c r="H194" s="3">
        <f t="shared" ref="H194:H257" si="12">DATE(A194,MONTH(DATEVALUE(B194&amp;" 1")),1)</f>
        <v>43739</v>
      </c>
      <c r="I194">
        <f>MONTH(Table1[[#This Row],[Date]])</f>
        <v>10</v>
      </c>
      <c r="J194" t="str">
        <f t="shared" ref="J194:J257" si="13">"Q"&amp;ROUNDUP(MONTH(H194)/3,0)</f>
        <v>Q4</v>
      </c>
      <c r="K194" t="str">
        <f t="shared" ref="K194:K257" si="14">TEXT(H194,"mmm-yyyy")</f>
        <v>Oct-2019</v>
      </c>
      <c r="L194" t="str">
        <f t="shared" ref="L194:L257" si="15">IF(G194&lt;3,"Low",IF(G194&lt;4,"Medium","High"))</f>
        <v>Low</v>
      </c>
    </row>
    <row r="195" spans="1:12" x14ac:dyDescent="0.3">
      <c r="A195">
        <v>2019</v>
      </c>
      <c r="B195" s="2" t="s">
        <v>26</v>
      </c>
      <c r="C195" t="s">
        <v>8</v>
      </c>
      <c r="D195" t="s">
        <v>13</v>
      </c>
      <c r="E195">
        <v>10.07</v>
      </c>
      <c r="F195">
        <v>147</v>
      </c>
      <c r="G195">
        <v>2.92</v>
      </c>
      <c r="H195" s="3">
        <f t="shared" si="12"/>
        <v>43739</v>
      </c>
      <c r="I195">
        <f>MONTH(Table1[[#This Row],[Date]])</f>
        <v>10</v>
      </c>
      <c r="J195" t="str">
        <f t="shared" si="13"/>
        <v>Q4</v>
      </c>
      <c r="K195" t="str">
        <f t="shared" si="14"/>
        <v>Oct-2019</v>
      </c>
      <c r="L195" t="str">
        <f t="shared" si="15"/>
        <v>Low</v>
      </c>
    </row>
    <row r="196" spans="1:12" x14ac:dyDescent="0.3">
      <c r="A196">
        <v>2019</v>
      </c>
      <c r="B196" s="2" t="s">
        <v>26</v>
      </c>
      <c r="C196" t="s">
        <v>8</v>
      </c>
      <c r="D196" t="s">
        <v>14</v>
      </c>
      <c r="E196">
        <v>6.84</v>
      </c>
      <c r="F196">
        <v>149</v>
      </c>
      <c r="G196">
        <v>3</v>
      </c>
      <c r="H196" s="3">
        <f t="shared" si="12"/>
        <v>43739</v>
      </c>
      <c r="I196">
        <f>MONTH(Table1[[#This Row],[Date]])</f>
        <v>10</v>
      </c>
      <c r="J196" t="str">
        <f t="shared" si="13"/>
        <v>Q4</v>
      </c>
      <c r="K196" t="str">
        <f t="shared" si="14"/>
        <v>Oct-2019</v>
      </c>
      <c r="L196" t="str">
        <f t="shared" si="15"/>
        <v>Medium</v>
      </c>
    </row>
    <row r="197" spans="1:12" x14ac:dyDescent="0.3">
      <c r="A197">
        <v>2019</v>
      </c>
      <c r="B197" s="2" t="s">
        <v>26</v>
      </c>
      <c r="C197" t="s">
        <v>8</v>
      </c>
      <c r="D197" t="s">
        <v>15</v>
      </c>
      <c r="E197">
        <v>28.32</v>
      </c>
      <c r="F197">
        <v>151</v>
      </c>
      <c r="G197">
        <v>3.08</v>
      </c>
      <c r="H197" s="3">
        <f t="shared" si="12"/>
        <v>43739</v>
      </c>
      <c r="I197">
        <f>MONTH(Table1[[#This Row],[Date]])</f>
        <v>10</v>
      </c>
      <c r="J197" t="str">
        <f t="shared" si="13"/>
        <v>Q4</v>
      </c>
      <c r="K197" t="str">
        <f t="shared" si="14"/>
        <v>Oct-2019</v>
      </c>
      <c r="L197" t="str">
        <f t="shared" si="15"/>
        <v>Medium</v>
      </c>
    </row>
    <row r="198" spans="1:12" x14ac:dyDescent="0.3">
      <c r="A198">
        <v>2019</v>
      </c>
      <c r="B198" s="2" t="s">
        <v>26</v>
      </c>
      <c r="C198" t="s">
        <v>16</v>
      </c>
      <c r="D198" t="s">
        <v>9</v>
      </c>
      <c r="E198">
        <v>100</v>
      </c>
      <c r="F198">
        <v>139.6</v>
      </c>
      <c r="G198">
        <v>2.6</v>
      </c>
      <c r="H198" s="3">
        <f t="shared" si="12"/>
        <v>43739</v>
      </c>
      <c r="I198">
        <f>MONTH(Table1[[#This Row],[Date]])</f>
        <v>10</v>
      </c>
      <c r="J198" t="str">
        <f t="shared" si="13"/>
        <v>Q4</v>
      </c>
      <c r="K198" t="str">
        <f t="shared" si="14"/>
        <v>Oct-2019</v>
      </c>
      <c r="L198" t="str">
        <f t="shared" si="15"/>
        <v>Low</v>
      </c>
    </row>
    <row r="199" spans="1:12" x14ac:dyDescent="0.3">
      <c r="A199">
        <v>2019</v>
      </c>
      <c r="B199" s="2" t="s">
        <v>26</v>
      </c>
      <c r="C199" t="s">
        <v>16</v>
      </c>
      <c r="D199" t="s">
        <v>10</v>
      </c>
      <c r="E199">
        <v>45.86</v>
      </c>
      <c r="F199">
        <v>141.6</v>
      </c>
      <c r="G199">
        <v>2.68</v>
      </c>
      <c r="H199" s="3">
        <f t="shared" si="12"/>
        <v>43739</v>
      </c>
      <c r="I199">
        <f>MONTH(Table1[[#This Row],[Date]])</f>
        <v>10</v>
      </c>
      <c r="J199" t="str">
        <f t="shared" si="13"/>
        <v>Q4</v>
      </c>
      <c r="K199" t="str">
        <f t="shared" si="14"/>
        <v>Oct-2019</v>
      </c>
      <c r="L199" t="str">
        <f t="shared" si="15"/>
        <v>Low</v>
      </c>
    </row>
    <row r="200" spans="1:12" x14ac:dyDescent="0.3">
      <c r="A200">
        <v>2019</v>
      </c>
      <c r="B200" s="2" t="s">
        <v>26</v>
      </c>
      <c r="C200" t="s">
        <v>16</v>
      </c>
      <c r="D200" t="s">
        <v>11</v>
      </c>
      <c r="E200">
        <v>2.38</v>
      </c>
      <c r="F200">
        <v>143.6</v>
      </c>
      <c r="G200">
        <v>2.76</v>
      </c>
      <c r="H200" s="3">
        <f t="shared" si="12"/>
        <v>43739</v>
      </c>
      <c r="I200">
        <f>MONTH(Table1[[#This Row],[Date]])</f>
        <v>10</v>
      </c>
      <c r="J200" t="str">
        <f t="shared" si="13"/>
        <v>Q4</v>
      </c>
      <c r="K200" t="str">
        <f t="shared" si="14"/>
        <v>Oct-2019</v>
      </c>
      <c r="L200" t="str">
        <f t="shared" si="15"/>
        <v>Low</v>
      </c>
    </row>
    <row r="201" spans="1:12" x14ac:dyDescent="0.3">
      <c r="A201">
        <v>2019</v>
      </c>
      <c r="B201" s="2" t="s">
        <v>26</v>
      </c>
      <c r="C201" t="s">
        <v>16</v>
      </c>
      <c r="D201" t="s">
        <v>12</v>
      </c>
      <c r="E201">
        <v>6.53</v>
      </c>
      <c r="F201">
        <v>145.6</v>
      </c>
      <c r="G201">
        <v>2.84</v>
      </c>
      <c r="H201" s="3">
        <f t="shared" si="12"/>
        <v>43739</v>
      </c>
      <c r="I201">
        <f>MONTH(Table1[[#This Row],[Date]])</f>
        <v>10</v>
      </c>
      <c r="J201" t="str">
        <f t="shared" si="13"/>
        <v>Q4</v>
      </c>
      <c r="K201" t="str">
        <f t="shared" si="14"/>
        <v>Oct-2019</v>
      </c>
      <c r="L201" t="str">
        <f t="shared" si="15"/>
        <v>Low</v>
      </c>
    </row>
    <row r="202" spans="1:12" x14ac:dyDescent="0.3">
      <c r="A202">
        <v>2019</v>
      </c>
      <c r="B202" s="2" t="s">
        <v>26</v>
      </c>
      <c r="C202" t="s">
        <v>16</v>
      </c>
      <c r="D202" t="s">
        <v>13</v>
      </c>
      <c r="E202">
        <v>10.07</v>
      </c>
      <c r="F202">
        <v>147.6</v>
      </c>
      <c r="G202">
        <v>2.92</v>
      </c>
      <c r="H202" s="3">
        <f t="shared" si="12"/>
        <v>43739</v>
      </c>
      <c r="I202">
        <f>MONTH(Table1[[#This Row],[Date]])</f>
        <v>10</v>
      </c>
      <c r="J202" t="str">
        <f t="shared" si="13"/>
        <v>Q4</v>
      </c>
      <c r="K202" t="str">
        <f t="shared" si="14"/>
        <v>Oct-2019</v>
      </c>
      <c r="L202" t="str">
        <f t="shared" si="15"/>
        <v>Low</v>
      </c>
    </row>
    <row r="203" spans="1:12" x14ac:dyDescent="0.3">
      <c r="A203">
        <v>2019</v>
      </c>
      <c r="B203" s="2" t="s">
        <v>26</v>
      </c>
      <c r="C203" t="s">
        <v>16</v>
      </c>
      <c r="D203" t="s">
        <v>14</v>
      </c>
      <c r="E203">
        <v>6.84</v>
      </c>
      <c r="F203">
        <v>149.6</v>
      </c>
      <c r="G203">
        <v>3</v>
      </c>
      <c r="H203" s="3">
        <f t="shared" si="12"/>
        <v>43739</v>
      </c>
      <c r="I203">
        <f>MONTH(Table1[[#This Row],[Date]])</f>
        <v>10</v>
      </c>
      <c r="J203" t="str">
        <f t="shared" si="13"/>
        <v>Q4</v>
      </c>
      <c r="K203" t="str">
        <f t="shared" si="14"/>
        <v>Oct-2019</v>
      </c>
      <c r="L203" t="str">
        <f t="shared" si="15"/>
        <v>Medium</v>
      </c>
    </row>
    <row r="204" spans="1:12" x14ac:dyDescent="0.3">
      <c r="A204">
        <v>2019</v>
      </c>
      <c r="B204" s="2" t="s">
        <v>26</v>
      </c>
      <c r="C204" t="s">
        <v>16</v>
      </c>
      <c r="D204" t="s">
        <v>15</v>
      </c>
      <c r="E204">
        <v>28.32</v>
      </c>
      <c r="F204">
        <v>151.6</v>
      </c>
      <c r="G204">
        <v>3.08</v>
      </c>
      <c r="H204" s="3">
        <f t="shared" si="12"/>
        <v>43739</v>
      </c>
      <c r="I204">
        <f>MONTH(Table1[[#This Row],[Date]])</f>
        <v>10</v>
      </c>
      <c r="J204" t="str">
        <f t="shared" si="13"/>
        <v>Q4</v>
      </c>
      <c r="K204" t="str">
        <f t="shared" si="14"/>
        <v>Oct-2019</v>
      </c>
      <c r="L204" t="str">
        <f t="shared" si="15"/>
        <v>Medium</v>
      </c>
    </row>
    <row r="205" spans="1:12" x14ac:dyDescent="0.3">
      <c r="A205">
        <v>2019</v>
      </c>
      <c r="B205" s="2" t="s">
        <v>26</v>
      </c>
      <c r="C205" t="s">
        <v>17</v>
      </c>
      <c r="D205" t="s">
        <v>9</v>
      </c>
      <c r="E205">
        <v>100</v>
      </c>
      <c r="F205">
        <v>140.19999999999999</v>
      </c>
      <c r="G205">
        <v>2.6</v>
      </c>
      <c r="H205" s="3">
        <f t="shared" si="12"/>
        <v>43739</v>
      </c>
      <c r="I205">
        <f>MONTH(Table1[[#This Row],[Date]])</f>
        <v>10</v>
      </c>
      <c r="J205" t="str">
        <f t="shared" si="13"/>
        <v>Q4</v>
      </c>
      <c r="K205" t="str">
        <f t="shared" si="14"/>
        <v>Oct-2019</v>
      </c>
      <c r="L205" t="str">
        <f t="shared" si="15"/>
        <v>Low</v>
      </c>
    </row>
    <row r="206" spans="1:12" x14ac:dyDescent="0.3">
      <c r="A206">
        <v>2019</v>
      </c>
      <c r="B206" s="2" t="s">
        <v>26</v>
      </c>
      <c r="C206" t="s">
        <v>17</v>
      </c>
      <c r="D206" t="s">
        <v>10</v>
      </c>
      <c r="E206">
        <v>45.86</v>
      </c>
      <c r="F206">
        <v>142.19999999999999</v>
      </c>
      <c r="G206">
        <v>2.68</v>
      </c>
      <c r="H206" s="3">
        <f t="shared" si="12"/>
        <v>43739</v>
      </c>
      <c r="I206">
        <f>MONTH(Table1[[#This Row],[Date]])</f>
        <v>10</v>
      </c>
      <c r="J206" t="str">
        <f t="shared" si="13"/>
        <v>Q4</v>
      </c>
      <c r="K206" t="str">
        <f t="shared" si="14"/>
        <v>Oct-2019</v>
      </c>
      <c r="L206" t="str">
        <f t="shared" si="15"/>
        <v>Low</v>
      </c>
    </row>
    <row r="207" spans="1:12" x14ac:dyDescent="0.3">
      <c r="A207">
        <v>2019</v>
      </c>
      <c r="B207" s="2" t="s">
        <v>26</v>
      </c>
      <c r="C207" t="s">
        <v>17</v>
      </c>
      <c r="D207" t="s">
        <v>11</v>
      </c>
      <c r="E207">
        <v>2.38</v>
      </c>
      <c r="F207">
        <v>144.19999999999999</v>
      </c>
      <c r="G207">
        <v>2.76</v>
      </c>
      <c r="H207" s="3">
        <f t="shared" si="12"/>
        <v>43739</v>
      </c>
      <c r="I207">
        <f>MONTH(Table1[[#This Row],[Date]])</f>
        <v>10</v>
      </c>
      <c r="J207" t="str">
        <f t="shared" si="13"/>
        <v>Q4</v>
      </c>
      <c r="K207" t="str">
        <f t="shared" si="14"/>
        <v>Oct-2019</v>
      </c>
      <c r="L207" t="str">
        <f t="shared" si="15"/>
        <v>Low</v>
      </c>
    </row>
    <row r="208" spans="1:12" x14ac:dyDescent="0.3">
      <c r="A208">
        <v>2019</v>
      </c>
      <c r="B208" s="2" t="s">
        <v>26</v>
      </c>
      <c r="C208" t="s">
        <v>17</v>
      </c>
      <c r="D208" t="s">
        <v>12</v>
      </c>
      <c r="E208">
        <v>6.53</v>
      </c>
      <c r="F208">
        <v>146.19999999999999</v>
      </c>
      <c r="G208">
        <v>2.84</v>
      </c>
      <c r="H208" s="3">
        <f t="shared" si="12"/>
        <v>43739</v>
      </c>
      <c r="I208">
        <f>MONTH(Table1[[#This Row],[Date]])</f>
        <v>10</v>
      </c>
      <c r="J208" t="str">
        <f t="shared" si="13"/>
        <v>Q4</v>
      </c>
      <c r="K208" t="str">
        <f t="shared" si="14"/>
        <v>Oct-2019</v>
      </c>
      <c r="L208" t="str">
        <f t="shared" si="15"/>
        <v>Low</v>
      </c>
    </row>
    <row r="209" spans="1:12" x14ac:dyDescent="0.3">
      <c r="A209">
        <v>2019</v>
      </c>
      <c r="B209" s="2" t="s">
        <v>26</v>
      </c>
      <c r="C209" t="s">
        <v>17</v>
      </c>
      <c r="D209" t="s">
        <v>13</v>
      </c>
      <c r="E209">
        <v>10.07</v>
      </c>
      <c r="F209">
        <v>148.19999999999999</v>
      </c>
      <c r="G209">
        <v>2.92</v>
      </c>
      <c r="H209" s="3">
        <f t="shared" si="12"/>
        <v>43739</v>
      </c>
      <c r="I209">
        <f>MONTH(Table1[[#This Row],[Date]])</f>
        <v>10</v>
      </c>
      <c r="J209" t="str">
        <f t="shared" si="13"/>
        <v>Q4</v>
      </c>
      <c r="K209" t="str">
        <f t="shared" si="14"/>
        <v>Oct-2019</v>
      </c>
      <c r="L209" t="str">
        <f t="shared" si="15"/>
        <v>Low</v>
      </c>
    </row>
    <row r="210" spans="1:12" x14ac:dyDescent="0.3">
      <c r="A210">
        <v>2019</v>
      </c>
      <c r="B210" s="2" t="s">
        <v>26</v>
      </c>
      <c r="C210" t="s">
        <v>17</v>
      </c>
      <c r="D210" t="s">
        <v>14</v>
      </c>
      <c r="E210">
        <v>6.84</v>
      </c>
      <c r="F210">
        <v>150.19999999999999</v>
      </c>
      <c r="G210">
        <v>3</v>
      </c>
      <c r="H210" s="3">
        <f t="shared" si="12"/>
        <v>43739</v>
      </c>
      <c r="I210">
        <f>MONTH(Table1[[#This Row],[Date]])</f>
        <v>10</v>
      </c>
      <c r="J210" t="str">
        <f t="shared" si="13"/>
        <v>Q4</v>
      </c>
      <c r="K210" t="str">
        <f t="shared" si="14"/>
        <v>Oct-2019</v>
      </c>
      <c r="L210" t="str">
        <f t="shared" si="15"/>
        <v>Medium</v>
      </c>
    </row>
    <row r="211" spans="1:12" x14ac:dyDescent="0.3">
      <c r="A211">
        <v>2019</v>
      </c>
      <c r="B211" s="2" t="s">
        <v>26</v>
      </c>
      <c r="C211" t="s">
        <v>17</v>
      </c>
      <c r="D211" t="s">
        <v>15</v>
      </c>
      <c r="E211">
        <v>28.32</v>
      </c>
      <c r="F211">
        <v>152.19999999999999</v>
      </c>
      <c r="G211">
        <v>3.08</v>
      </c>
      <c r="H211" s="3">
        <f t="shared" si="12"/>
        <v>43739</v>
      </c>
      <c r="I211">
        <f>MONTH(Table1[[#This Row],[Date]])</f>
        <v>10</v>
      </c>
      <c r="J211" t="str">
        <f t="shared" si="13"/>
        <v>Q4</v>
      </c>
      <c r="K211" t="str">
        <f t="shared" si="14"/>
        <v>Oct-2019</v>
      </c>
      <c r="L211" t="str">
        <f t="shared" si="15"/>
        <v>Medium</v>
      </c>
    </row>
    <row r="212" spans="1:12" x14ac:dyDescent="0.3">
      <c r="A212">
        <v>2019</v>
      </c>
      <c r="B212" s="2" t="s">
        <v>27</v>
      </c>
      <c r="C212" t="s">
        <v>8</v>
      </c>
      <c r="D212" t="s">
        <v>9</v>
      </c>
      <c r="E212">
        <v>100</v>
      </c>
      <c r="F212">
        <v>139.4</v>
      </c>
      <c r="G212">
        <v>2.75</v>
      </c>
      <c r="H212" s="3">
        <f t="shared" si="12"/>
        <v>43770</v>
      </c>
      <c r="I212">
        <f>MONTH(Table1[[#This Row],[Date]])</f>
        <v>11</v>
      </c>
      <c r="J212" t="str">
        <f t="shared" si="13"/>
        <v>Q4</v>
      </c>
      <c r="K212" t="str">
        <f t="shared" si="14"/>
        <v>Nov-2019</v>
      </c>
      <c r="L212" t="str">
        <f t="shared" si="15"/>
        <v>Low</v>
      </c>
    </row>
    <row r="213" spans="1:12" x14ac:dyDescent="0.3">
      <c r="A213">
        <v>2019</v>
      </c>
      <c r="B213" s="2" t="s">
        <v>27</v>
      </c>
      <c r="C213" t="s">
        <v>8</v>
      </c>
      <c r="D213" t="s">
        <v>10</v>
      </c>
      <c r="E213">
        <v>45.86</v>
      </c>
      <c r="F213">
        <v>141.4</v>
      </c>
      <c r="G213">
        <v>2.83</v>
      </c>
      <c r="H213" s="3">
        <f t="shared" si="12"/>
        <v>43770</v>
      </c>
      <c r="I213">
        <f>MONTH(Table1[[#This Row],[Date]])</f>
        <v>11</v>
      </c>
      <c r="J213" t="str">
        <f t="shared" si="13"/>
        <v>Q4</v>
      </c>
      <c r="K213" t="str">
        <f t="shared" si="14"/>
        <v>Nov-2019</v>
      </c>
      <c r="L213" t="str">
        <f t="shared" si="15"/>
        <v>Low</v>
      </c>
    </row>
    <row r="214" spans="1:12" x14ac:dyDescent="0.3">
      <c r="A214">
        <v>2019</v>
      </c>
      <c r="B214" s="2" t="s">
        <v>27</v>
      </c>
      <c r="C214" t="s">
        <v>8</v>
      </c>
      <c r="D214" t="s">
        <v>11</v>
      </c>
      <c r="E214">
        <v>2.38</v>
      </c>
      <c r="F214">
        <v>143.4</v>
      </c>
      <c r="G214">
        <v>2.91</v>
      </c>
      <c r="H214" s="3">
        <f t="shared" si="12"/>
        <v>43770</v>
      </c>
      <c r="I214">
        <f>MONTH(Table1[[#This Row],[Date]])</f>
        <v>11</v>
      </c>
      <c r="J214" t="str">
        <f t="shared" si="13"/>
        <v>Q4</v>
      </c>
      <c r="K214" t="str">
        <f t="shared" si="14"/>
        <v>Nov-2019</v>
      </c>
      <c r="L214" t="str">
        <f t="shared" si="15"/>
        <v>Low</v>
      </c>
    </row>
    <row r="215" spans="1:12" x14ac:dyDescent="0.3">
      <c r="A215">
        <v>2019</v>
      </c>
      <c r="B215" s="2" t="s">
        <v>27</v>
      </c>
      <c r="C215" t="s">
        <v>8</v>
      </c>
      <c r="D215" t="s">
        <v>12</v>
      </c>
      <c r="E215">
        <v>6.53</v>
      </c>
      <c r="F215">
        <v>145.4</v>
      </c>
      <c r="G215">
        <v>2.99</v>
      </c>
      <c r="H215" s="3">
        <f t="shared" si="12"/>
        <v>43770</v>
      </c>
      <c r="I215">
        <f>MONTH(Table1[[#This Row],[Date]])</f>
        <v>11</v>
      </c>
      <c r="J215" t="str">
        <f t="shared" si="13"/>
        <v>Q4</v>
      </c>
      <c r="K215" t="str">
        <f t="shared" si="14"/>
        <v>Nov-2019</v>
      </c>
      <c r="L215" t="str">
        <f t="shared" si="15"/>
        <v>Low</v>
      </c>
    </row>
    <row r="216" spans="1:12" x14ac:dyDescent="0.3">
      <c r="A216">
        <v>2019</v>
      </c>
      <c r="B216" s="2" t="s">
        <v>27</v>
      </c>
      <c r="C216" t="s">
        <v>8</v>
      </c>
      <c r="D216" t="s">
        <v>13</v>
      </c>
      <c r="E216">
        <v>10.07</v>
      </c>
      <c r="F216">
        <v>147.4</v>
      </c>
      <c r="G216">
        <v>3.07</v>
      </c>
      <c r="H216" s="3">
        <f t="shared" si="12"/>
        <v>43770</v>
      </c>
      <c r="I216">
        <f>MONTH(Table1[[#This Row],[Date]])</f>
        <v>11</v>
      </c>
      <c r="J216" t="str">
        <f t="shared" si="13"/>
        <v>Q4</v>
      </c>
      <c r="K216" t="str">
        <f t="shared" si="14"/>
        <v>Nov-2019</v>
      </c>
      <c r="L216" t="str">
        <f t="shared" si="15"/>
        <v>Medium</v>
      </c>
    </row>
    <row r="217" spans="1:12" x14ac:dyDescent="0.3">
      <c r="A217">
        <v>2019</v>
      </c>
      <c r="B217" s="2" t="s">
        <v>27</v>
      </c>
      <c r="C217" t="s">
        <v>8</v>
      </c>
      <c r="D217" t="s">
        <v>14</v>
      </c>
      <c r="E217">
        <v>6.84</v>
      </c>
      <c r="F217">
        <v>149.4</v>
      </c>
      <c r="G217">
        <v>3.15</v>
      </c>
      <c r="H217" s="3">
        <f t="shared" si="12"/>
        <v>43770</v>
      </c>
      <c r="I217">
        <f>MONTH(Table1[[#This Row],[Date]])</f>
        <v>11</v>
      </c>
      <c r="J217" t="str">
        <f t="shared" si="13"/>
        <v>Q4</v>
      </c>
      <c r="K217" t="str">
        <f t="shared" si="14"/>
        <v>Nov-2019</v>
      </c>
      <c r="L217" t="str">
        <f t="shared" si="15"/>
        <v>Medium</v>
      </c>
    </row>
    <row r="218" spans="1:12" x14ac:dyDescent="0.3">
      <c r="A218">
        <v>2019</v>
      </c>
      <c r="B218" s="2" t="s">
        <v>27</v>
      </c>
      <c r="C218" t="s">
        <v>8</v>
      </c>
      <c r="D218" t="s">
        <v>15</v>
      </c>
      <c r="E218">
        <v>28.32</v>
      </c>
      <c r="F218">
        <v>151.4</v>
      </c>
      <c r="G218">
        <v>3.23</v>
      </c>
      <c r="H218" s="3">
        <f t="shared" si="12"/>
        <v>43770</v>
      </c>
      <c r="I218">
        <f>MONTH(Table1[[#This Row],[Date]])</f>
        <v>11</v>
      </c>
      <c r="J218" t="str">
        <f t="shared" si="13"/>
        <v>Q4</v>
      </c>
      <c r="K218" t="str">
        <f t="shared" si="14"/>
        <v>Nov-2019</v>
      </c>
      <c r="L218" t="str">
        <f t="shared" si="15"/>
        <v>Medium</v>
      </c>
    </row>
    <row r="219" spans="1:12" x14ac:dyDescent="0.3">
      <c r="A219">
        <v>2019</v>
      </c>
      <c r="B219" s="2" t="s">
        <v>27</v>
      </c>
      <c r="C219" t="s">
        <v>16</v>
      </c>
      <c r="D219" t="s">
        <v>9</v>
      </c>
      <c r="E219">
        <v>100</v>
      </c>
      <c r="F219">
        <v>140</v>
      </c>
      <c r="G219">
        <v>2.75</v>
      </c>
      <c r="H219" s="3">
        <f t="shared" si="12"/>
        <v>43770</v>
      </c>
      <c r="I219">
        <f>MONTH(Table1[[#This Row],[Date]])</f>
        <v>11</v>
      </c>
      <c r="J219" t="str">
        <f t="shared" si="13"/>
        <v>Q4</v>
      </c>
      <c r="K219" t="str">
        <f t="shared" si="14"/>
        <v>Nov-2019</v>
      </c>
      <c r="L219" t="str">
        <f t="shared" si="15"/>
        <v>Low</v>
      </c>
    </row>
    <row r="220" spans="1:12" x14ac:dyDescent="0.3">
      <c r="A220">
        <v>2019</v>
      </c>
      <c r="B220" s="2" t="s">
        <v>27</v>
      </c>
      <c r="C220" t="s">
        <v>16</v>
      </c>
      <c r="D220" t="s">
        <v>10</v>
      </c>
      <c r="E220">
        <v>45.86</v>
      </c>
      <c r="F220">
        <v>142</v>
      </c>
      <c r="G220">
        <v>2.83</v>
      </c>
      <c r="H220" s="3">
        <f t="shared" si="12"/>
        <v>43770</v>
      </c>
      <c r="I220">
        <f>MONTH(Table1[[#This Row],[Date]])</f>
        <v>11</v>
      </c>
      <c r="J220" t="str">
        <f t="shared" si="13"/>
        <v>Q4</v>
      </c>
      <c r="K220" t="str">
        <f t="shared" si="14"/>
        <v>Nov-2019</v>
      </c>
      <c r="L220" t="str">
        <f t="shared" si="15"/>
        <v>Low</v>
      </c>
    </row>
    <row r="221" spans="1:12" x14ac:dyDescent="0.3">
      <c r="A221">
        <v>2019</v>
      </c>
      <c r="B221" s="2" t="s">
        <v>27</v>
      </c>
      <c r="C221" t="s">
        <v>16</v>
      </c>
      <c r="D221" t="s">
        <v>11</v>
      </c>
      <c r="E221">
        <v>2.38</v>
      </c>
      <c r="F221">
        <v>144</v>
      </c>
      <c r="G221">
        <v>2.91</v>
      </c>
      <c r="H221" s="3">
        <f t="shared" si="12"/>
        <v>43770</v>
      </c>
      <c r="I221">
        <f>MONTH(Table1[[#This Row],[Date]])</f>
        <v>11</v>
      </c>
      <c r="J221" t="str">
        <f t="shared" si="13"/>
        <v>Q4</v>
      </c>
      <c r="K221" t="str">
        <f t="shared" si="14"/>
        <v>Nov-2019</v>
      </c>
      <c r="L221" t="str">
        <f t="shared" si="15"/>
        <v>Low</v>
      </c>
    </row>
    <row r="222" spans="1:12" x14ac:dyDescent="0.3">
      <c r="A222">
        <v>2019</v>
      </c>
      <c r="B222" s="2" t="s">
        <v>27</v>
      </c>
      <c r="C222" t="s">
        <v>16</v>
      </c>
      <c r="D222" t="s">
        <v>12</v>
      </c>
      <c r="E222">
        <v>6.53</v>
      </c>
      <c r="F222">
        <v>146</v>
      </c>
      <c r="G222">
        <v>2.99</v>
      </c>
      <c r="H222" s="3">
        <f t="shared" si="12"/>
        <v>43770</v>
      </c>
      <c r="I222">
        <f>MONTH(Table1[[#This Row],[Date]])</f>
        <v>11</v>
      </c>
      <c r="J222" t="str">
        <f t="shared" si="13"/>
        <v>Q4</v>
      </c>
      <c r="K222" t="str">
        <f t="shared" si="14"/>
        <v>Nov-2019</v>
      </c>
      <c r="L222" t="str">
        <f t="shared" si="15"/>
        <v>Low</v>
      </c>
    </row>
    <row r="223" spans="1:12" x14ac:dyDescent="0.3">
      <c r="A223">
        <v>2019</v>
      </c>
      <c r="B223" s="2" t="s">
        <v>27</v>
      </c>
      <c r="C223" t="s">
        <v>16</v>
      </c>
      <c r="D223" t="s">
        <v>13</v>
      </c>
      <c r="E223">
        <v>10.07</v>
      </c>
      <c r="F223">
        <v>148</v>
      </c>
      <c r="G223">
        <v>3.07</v>
      </c>
      <c r="H223" s="3">
        <f t="shared" si="12"/>
        <v>43770</v>
      </c>
      <c r="I223">
        <f>MONTH(Table1[[#This Row],[Date]])</f>
        <v>11</v>
      </c>
      <c r="J223" t="str">
        <f t="shared" si="13"/>
        <v>Q4</v>
      </c>
      <c r="K223" t="str">
        <f t="shared" si="14"/>
        <v>Nov-2019</v>
      </c>
      <c r="L223" t="str">
        <f t="shared" si="15"/>
        <v>Medium</v>
      </c>
    </row>
    <row r="224" spans="1:12" x14ac:dyDescent="0.3">
      <c r="A224">
        <v>2019</v>
      </c>
      <c r="B224" s="2" t="s">
        <v>27</v>
      </c>
      <c r="C224" t="s">
        <v>16</v>
      </c>
      <c r="D224" t="s">
        <v>14</v>
      </c>
      <c r="E224">
        <v>6.84</v>
      </c>
      <c r="F224">
        <v>150</v>
      </c>
      <c r="G224">
        <v>3.15</v>
      </c>
      <c r="H224" s="3">
        <f t="shared" si="12"/>
        <v>43770</v>
      </c>
      <c r="I224">
        <f>MONTH(Table1[[#This Row],[Date]])</f>
        <v>11</v>
      </c>
      <c r="J224" t="str">
        <f t="shared" si="13"/>
        <v>Q4</v>
      </c>
      <c r="K224" t="str">
        <f t="shared" si="14"/>
        <v>Nov-2019</v>
      </c>
      <c r="L224" t="str">
        <f t="shared" si="15"/>
        <v>Medium</v>
      </c>
    </row>
    <row r="225" spans="1:12" x14ac:dyDescent="0.3">
      <c r="A225">
        <v>2019</v>
      </c>
      <c r="B225" s="2" t="s">
        <v>27</v>
      </c>
      <c r="C225" t="s">
        <v>16</v>
      </c>
      <c r="D225" t="s">
        <v>15</v>
      </c>
      <c r="E225">
        <v>28.32</v>
      </c>
      <c r="F225">
        <v>152</v>
      </c>
      <c r="G225">
        <v>3.23</v>
      </c>
      <c r="H225" s="3">
        <f t="shared" si="12"/>
        <v>43770</v>
      </c>
      <c r="I225">
        <f>MONTH(Table1[[#This Row],[Date]])</f>
        <v>11</v>
      </c>
      <c r="J225" t="str">
        <f t="shared" si="13"/>
        <v>Q4</v>
      </c>
      <c r="K225" t="str">
        <f t="shared" si="14"/>
        <v>Nov-2019</v>
      </c>
      <c r="L225" t="str">
        <f t="shared" si="15"/>
        <v>Medium</v>
      </c>
    </row>
    <row r="226" spans="1:12" x14ac:dyDescent="0.3">
      <c r="A226">
        <v>2019</v>
      </c>
      <c r="B226" s="2" t="s">
        <v>27</v>
      </c>
      <c r="C226" t="s">
        <v>17</v>
      </c>
      <c r="D226" t="s">
        <v>9</v>
      </c>
      <c r="E226">
        <v>100</v>
      </c>
      <c r="F226">
        <v>140.6</v>
      </c>
      <c r="G226">
        <v>2.75</v>
      </c>
      <c r="H226" s="3">
        <f t="shared" si="12"/>
        <v>43770</v>
      </c>
      <c r="I226">
        <f>MONTH(Table1[[#This Row],[Date]])</f>
        <v>11</v>
      </c>
      <c r="J226" t="str">
        <f t="shared" si="13"/>
        <v>Q4</v>
      </c>
      <c r="K226" t="str">
        <f t="shared" si="14"/>
        <v>Nov-2019</v>
      </c>
      <c r="L226" t="str">
        <f t="shared" si="15"/>
        <v>Low</v>
      </c>
    </row>
    <row r="227" spans="1:12" x14ac:dyDescent="0.3">
      <c r="A227">
        <v>2019</v>
      </c>
      <c r="B227" s="2" t="s">
        <v>27</v>
      </c>
      <c r="C227" t="s">
        <v>17</v>
      </c>
      <c r="D227" t="s">
        <v>10</v>
      </c>
      <c r="E227">
        <v>45.86</v>
      </c>
      <c r="F227">
        <v>142.6</v>
      </c>
      <c r="G227">
        <v>2.83</v>
      </c>
      <c r="H227" s="3">
        <f t="shared" si="12"/>
        <v>43770</v>
      </c>
      <c r="I227">
        <f>MONTH(Table1[[#This Row],[Date]])</f>
        <v>11</v>
      </c>
      <c r="J227" t="str">
        <f t="shared" si="13"/>
        <v>Q4</v>
      </c>
      <c r="K227" t="str">
        <f t="shared" si="14"/>
        <v>Nov-2019</v>
      </c>
      <c r="L227" t="str">
        <f t="shared" si="15"/>
        <v>Low</v>
      </c>
    </row>
    <row r="228" spans="1:12" x14ac:dyDescent="0.3">
      <c r="A228">
        <v>2019</v>
      </c>
      <c r="B228" s="2" t="s">
        <v>27</v>
      </c>
      <c r="C228" t="s">
        <v>17</v>
      </c>
      <c r="D228" t="s">
        <v>11</v>
      </c>
      <c r="E228">
        <v>2.38</v>
      </c>
      <c r="F228">
        <v>144.6</v>
      </c>
      <c r="G228">
        <v>2.91</v>
      </c>
      <c r="H228" s="3">
        <f t="shared" si="12"/>
        <v>43770</v>
      </c>
      <c r="I228">
        <f>MONTH(Table1[[#This Row],[Date]])</f>
        <v>11</v>
      </c>
      <c r="J228" t="str">
        <f t="shared" si="13"/>
        <v>Q4</v>
      </c>
      <c r="K228" t="str">
        <f t="shared" si="14"/>
        <v>Nov-2019</v>
      </c>
      <c r="L228" t="str">
        <f t="shared" si="15"/>
        <v>Low</v>
      </c>
    </row>
    <row r="229" spans="1:12" x14ac:dyDescent="0.3">
      <c r="A229">
        <v>2019</v>
      </c>
      <c r="B229" s="2" t="s">
        <v>27</v>
      </c>
      <c r="C229" t="s">
        <v>17</v>
      </c>
      <c r="D229" t="s">
        <v>12</v>
      </c>
      <c r="E229">
        <v>6.53</v>
      </c>
      <c r="F229">
        <v>146.6</v>
      </c>
      <c r="G229">
        <v>2.99</v>
      </c>
      <c r="H229" s="3">
        <f t="shared" si="12"/>
        <v>43770</v>
      </c>
      <c r="I229">
        <f>MONTH(Table1[[#This Row],[Date]])</f>
        <v>11</v>
      </c>
      <c r="J229" t="str">
        <f t="shared" si="13"/>
        <v>Q4</v>
      </c>
      <c r="K229" t="str">
        <f t="shared" si="14"/>
        <v>Nov-2019</v>
      </c>
      <c r="L229" t="str">
        <f t="shared" si="15"/>
        <v>Low</v>
      </c>
    </row>
    <row r="230" spans="1:12" x14ac:dyDescent="0.3">
      <c r="A230">
        <v>2019</v>
      </c>
      <c r="B230" s="2" t="s">
        <v>27</v>
      </c>
      <c r="C230" t="s">
        <v>17</v>
      </c>
      <c r="D230" t="s">
        <v>13</v>
      </c>
      <c r="E230">
        <v>10.07</v>
      </c>
      <c r="F230">
        <v>148.6</v>
      </c>
      <c r="G230">
        <v>3.07</v>
      </c>
      <c r="H230" s="3">
        <f t="shared" si="12"/>
        <v>43770</v>
      </c>
      <c r="I230">
        <f>MONTH(Table1[[#This Row],[Date]])</f>
        <v>11</v>
      </c>
      <c r="J230" t="str">
        <f t="shared" si="13"/>
        <v>Q4</v>
      </c>
      <c r="K230" t="str">
        <f t="shared" si="14"/>
        <v>Nov-2019</v>
      </c>
      <c r="L230" t="str">
        <f t="shared" si="15"/>
        <v>Medium</v>
      </c>
    </row>
    <row r="231" spans="1:12" x14ac:dyDescent="0.3">
      <c r="A231">
        <v>2019</v>
      </c>
      <c r="B231" s="2" t="s">
        <v>27</v>
      </c>
      <c r="C231" t="s">
        <v>17</v>
      </c>
      <c r="D231" t="s">
        <v>14</v>
      </c>
      <c r="E231">
        <v>6.84</v>
      </c>
      <c r="F231">
        <v>150.6</v>
      </c>
      <c r="G231">
        <v>3.15</v>
      </c>
      <c r="H231" s="3">
        <f t="shared" si="12"/>
        <v>43770</v>
      </c>
      <c r="I231">
        <f>MONTH(Table1[[#This Row],[Date]])</f>
        <v>11</v>
      </c>
      <c r="J231" t="str">
        <f t="shared" si="13"/>
        <v>Q4</v>
      </c>
      <c r="K231" t="str">
        <f t="shared" si="14"/>
        <v>Nov-2019</v>
      </c>
      <c r="L231" t="str">
        <f t="shared" si="15"/>
        <v>Medium</v>
      </c>
    </row>
    <row r="232" spans="1:12" x14ac:dyDescent="0.3">
      <c r="A232">
        <v>2019</v>
      </c>
      <c r="B232" s="2" t="s">
        <v>27</v>
      </c>
      <c r="C232" t="s">
        <v>17</v>
      </c>
      <c r="D232" t="s">
        <v>15</v>
      </c>
      <c r="E232">
        <v>28.32</v>
      </c>
      <c r="F232">
        <v>152.6</v>
      </c>
      <c r="G232">
        <v>3.23</v>
      </c>
      <c r="H232" s="3">
        <f t="shared" si="12"/>
        <v>43770</v>
      </c>
      <c r="I232">
        <f>MONTH(Table1[[#This Row],[Date]])</f>
        <v>11</v>
      </c>
      <c r="J232" t="str">
        <f t="shared" si="13"/>
        <v>Q4</v>
      </c>
      <c r="K232" t="str">
        <f t="shared" si="14"/>
        <v>Nov-2019</v>
      </c>
      <c r="L232" t="str">
        <f t="shared" si="15"/>
        <v>Medium</v>
      </c>
    </row>
    <row r="233" spans="1:12" x14ac:dyDescent="0.3">
      <c r="A233">
        <v>2019</v>
      </c>
      <c r="B233" s="2" t="s">
        <v>28</v>
      </c>
      <c r="C233" t="s">
        <v>8</v>
      </c>
      <c r="D233" t="s">
        <v>9</v>
      </c>
      <c r="E233">
        <v>100</v>
      </c>
      <c r="F233">
        <v>139.80000000000001</v>
      </c>
      <c r="G233">
        <v>2</v>
      </c>
      <c r="H233" s="3">
        <f t="shared" si="12"/>
        <v>43800</v>
      </c>
      <c r="I233">
        <f>MONTH(Table1[[#This Row],[Date]])</f>
        <v>12</v>
      </c>
      <c r="J233" t="str">
        <f t="shared" si="13"/>
        <v>Q4</v>
      </c>
      <c r="K233" t="str">
        <f t="shared" si="14"/>
        <v>Dec-2019</v>
      </c>
      <c r="L233" t="str">
        <f t="shared" si="15"/>
        <v>Low</v>
      </c>
    </row>
    <row r="234" spans="1:12" x14ac:dyDescent="0.3">
      <c r="A234">
        <v>2019</v>
      </c>
      <c r="B234" s="2" t="s">
        <v>28</v>
      </c>
      <c r="C234" t="s">
        <v>8</v>
      </c>
      <c r="D234" t="s">
        <v>10</v>
      </c>
      <c r="E234">
        <v>45.86</v>
      </c>
      <c r="F234">
        <v>141.80000000000001</v>
      </c>
      <c r="G234">
        <v>2.08</v>
      </c>
      <c r="H234" s="3">
        <f t="shared" si="12"/>
        <v>43800</v>
      </c>
      <c r="I234">
        <f>MONTH(Table1[[#This Row],[Date]])</f>
        <v>12</v>
      </c>
      <c r="J234" t="str">
        <f t="shared" si="13"/>
        <v>Q4</v>
      </c>
      <c r="K234" t="str">
        <f t="shared" si="14"/>
        <v>Dec-2019</v>
      </c>
      <c r="L234" t="str">
        <f t="shared" si="15"/>
        <v>Low</v>
      </c>
    </row>
    <row r="235" spans="1:12" x14ac:dyDescent="0.3">
      <c r="A235">
        <v>2019</v>
      </c>
      <c r="B235" s="2" t="s">
        <v>28</v>
      </c>
      <c r="C235" t="s">
        <v>8</v>
      </c>
      <c r="D235" t="s">
        <v>11</v>
      </c>
      <c r="E235">
        <v>2.38</v>
      </c>
      <c r="F235">
        <v>143.80000000000001</v>
      </c>
      <c r="G235">
        <v>2.16</v>
      </c>
      <c r="H235" s="3">
        <f t="shared" si="12"/>
        <v>43800</v>
      </c>
      <c r="I235">
        <f>MONTH(Table1[[#This Row],[Date]])</f>
        <v>12</v>
      </c>
      <c r="J235" t="str">
        <f t="shared" si="13"/>
        <v>Q4</v>
      </c>
      <c r="K235" t="str">
        <f t="shared" si="14"/>
        <v>Dec-2019</v>
      </c>
      <c r="L235" t="str">
        <f t="shared" si="15"/>
        <v>Low</v>
      </c>
    </row>
    <row r="236" spans="1:12" x14ac:dyDescent="0.3">
      <c r="A236">
        <v>2019</v>
      </c>
      <c r="B236" s="2" t="s">
        <v>28</v>
      </c>
      <c r="C236" t="s">
        <v>8</v>
      </c>
      <c r="D236" t="s">
        <v>12</v>
      </c>
      <c r="E236">
        <v>6.53</v>
      </c>
      <c r="F236">
        <v>145.80000000000001</v>
      </c>
      <c r="G236">
        <v>2.2400000000000002</v>
      </c>
      <c r="H236" s="3">
        <f t="shared" si="12"/>
        <v>43800</v>
      </c>
      <c r="I236">
        <f>MONTH(Table1[[#This Row],[Date]])</f>
        <v>12</v>
      </c>
      <c r="J236" t="str">
        <f t="shared" si="13"/>
        <v>Q4</v>
      </c>
      <c r="K236" t="str">
        <f t="shared" si="14"/>
        <v>Dec-2019</v>
      </c>
      <c r="L236" t="str">
        <f t="shared" si="15"/>
        <v>Low</v>
      </c>
    </row>
    <row r="237" spans="1:12" x14ac:dyDescent="0.3">
      <c r="A237">
        <v>2019</v>
      </c>
      <c r="B237" s="2" t="s">
        <v>28</v>
      </c>
      <c r="C237" t="s">
        <v>8</v>
      </c>
      <c r="D237" t="s">
        <v>13</v>
      </c>
      <c r="E237">
        <v>10.07</v>
      </c>
      <c r="F237">
        <v>147.80000000000001</v>
      </c>
      <c r="G237">
        <v>2.3199999999999998</v>
      </c>
      <c r="H237" s="3">
        <f t="shared" si="12"/>
        <v>43800</v>
      </c>
      <c r="I237">
        <f>MONTH(Table1[[#This Row],[Date]])</f>
        <v>12</v>
      </c>
      <c r="J237" t="str">
        <f t="shared" si="13"/>
        <v>Q4</v>
      </c>
      <c r="K237" t="str">
        <f t="shared" si="14"/>
        <v>Dec-2019</v>
      </c>
      <c r="L237" t="str">
        <f t="shared" si="15"/>
        <v>Low</v>
      </c>
    </row>
    <row r="238" spans="1:12" x14ac:dyDescent="0.3">
      <c r="A238">
        <v>2019</v>
      </c>
      <c r="B238" s="2" t="s">
        <v>28</v>
      </c>
      <c r="C238" t="s">
        <v>8</v>
      </c>
      <c r="D238" t="s">
        <v>14</v>
      </c>
      <c r="E238">
        <v>6.84</v>
      </c>
      <c r="F238">
        <v>149.80000000000001</v>
      </c>
      <c r="G238">
        <v>2.4</v>
      </c>
      <c r="H238" s="3">
        <f t="shared" si="12"/>
        <v>43800</v>
      </c>
      <c r="I238">
        <f>MONTH(Table1[[#This Row],[Date]])</f>
        <v>12</v>
      </c>
      <c r="J238" t="str">
        <f t="shared" si="13"/>
        <v>Q4</v>
      </c>
      <c r="K238" t="str">
        <f t="shared" si="14"/>
        <v>Dec-2019</v>
      </c>
      <c r="L238" t="str">
        <f t="shared" si="15"/>
        <v>Low</v>
      </c>
    </row>
    <row r="239" spans="1:12" x14ac:dyDescent="0.3">
      <c r="A239">
        <v>2019</v>
      </c>
      <c r="B239" s="2" t="s">
        <v>28</v>
      </c>
      <c r="C239" t="s">
        <v>8</v>
      </c>
      <c r="D239" t="s">
        <v>15</v>
      </c>
      <c r="E239">
        <v>28.32</v>
      </c>
      <c r="F239">
        <v>151.80000000000001</v>
      </c>
      <c r="G239">
        <v>2.48</v>
      </c>
      <c r="H239" s="3">
        <f t="shared" si="12"/>
        <v>43800</v>
      </c>
      <c r="I239">
        <f>MONTH(Table1[[#This Row],[Date]])</f>
        <v>12</v>
      </c>
      <c r="J239" t="str">
        <f t="shared" si="13"/>
        <v>Q4</v>
      </c>
      <c r="K239" t="str">
        <f t="shared" si="14"/>
        <v>Dec-2019</v>
      </c>
      <c r="L239" t="str">
        <f t="shared" si="15"/>
        <v>Low</v>
      </c>
    </row>
    <row r="240" spans="1:12" x14ac:dyDescent="0.3">
      <c r="A240">
        <v>2019</v>
      </c>
      <c r="B240" s="2" t="s">
        <v>28</v>
      </c>
      <c r="C240" t="s">
        <v>16</v>
      </c>
      <c r="D240" t="s">
        <v>9</v>
      </c>
      <c r="E240">
        <v>100</v>
      </c>
      <c r="F240">
        <v>140.4</v>
      </c>
      <c r="G240">
        <v>2</v>
      </c>
      <c r="H240" s="3">
        <f t="shared" si="12"/>
        <v>43800</v>
      </c>
      <c r="I240">
        <f>MONTH(Table1[[#This Row],[Date]])</f>
        <v>12</v>
      </c>
      <c r="J240" t="str">
        <f t="shared" si="13"/>
        <v>Q4</v>
      </c>
      <c r="K240" t="str">
        <f t="shared" si="14"/>
        <v>Dec-2019</v>
      </c>
      <c r="L240" t="str">
        <f t="shared" si="15"/>
        <v>Low</v>
      </c>
    </row>
    <row r="241" spans="1:12" x14ac:dyDescent="0.3">
      <c r="A241">
        <v>2019</v>
      </c>
      <c r="B241" s="2" t="s">
        <v>28</v>
      </c>
      <c r="C241" t="s">
        <v>16</v>
      </c>
      <c r="D241" t="s">
        <v>10</v>
      </c>
      <c r="E241">
        <v>45.86</v>
      </c>
      <c r="F241">
        <v>142.4</v>
      </c>
      <c r="G241">
        <v>2.08</v>
      </c>
      <c r="H241" s="3">
        <f t="shared" si="12"/>
        <v>43800</v>
      </c>
      <c r="I241">
        <f>MONTH(Table1[[#This Row],[Date]])</f>
        <v>12</v>
      </c>
      <c r="J241" t="str">
        <f t="shared" si="13"/>
        <v>Q4</v>
      </c>
      <c r="K241" t="str">
        <f t="shared" si="14"/>
        <v>Dec-2019</v>
      </c>
      <c r="L241" t="str">
        <f t="shared" si="15"/>
        <v>Low</v>
      </c>
    </row>
    <row r="242" spans="1:12" x14ac:dyDescent="0.3">
      <c r="A242">
        <v>2019</v>
      </c>
      <c r="B242" s="2" t="s">
        <v>28</v>
      </c>
      <c r="C242" t="s">
        <v>16</v>
      </c>
      <c r="D242" t="s">
        <v>11</v>
      </c>
      <c r="E242">
        <v>2.38</v>
      </c>
      <c r="F242">
        <v>144.4</v>
      </c>
      <c r="G242">
        <v>2.16</v>
      </c>
      <c r="H242" s="3">
        <f t="shared" si="12"/>
        <v>43800</v>
      </c>
      <c r="I242">
        <f>MONTH(Table1[[#This Row],[Date]])</f>
        <v>12</v>
      </c>
      <c r="J242" t="str">
        <f t="shared" si="13"/>
        <v>Q4</v>
      </c>
      <c r="K242" t="str">
        <f t="shared" si="14"/>
        <v>Dec-2019</v>
      </c>
      <c r="L242" t="str">
        <f t="shared" si="15"/>
        <v>Low</v>
      </c>
    </row>
    <row r="243" spans="1:12" x14ac:dyDescent="0.3">
      <c r="A243">
        <v>2019</v>
      </c>
      <c r="B243" s="2" t="s">
        <v>28</v>
      </c>
      <c r="C243" t="s">
        <v>16</v>
      </c>
      <c r="D243" t="s">
        <v>12</v>
      </c>
      <c r="E243">
        <v>6.53</v>
      </c>
      <c r="F243">
        <v>146.4</v>
      </c>
      <c r="G243">
        <v>2.2400000000000002</v>
      </c>
      <c r="H243" s="3">
        <f t="shared" si="12"/>
        <v>43800</v>
      </c>
      <c r="I243">
        <f>MONTH(Table1[[#This Row],[Date]])</f>
        <v>12</v>
      </c>
      <c r="J243" t="str">
        <f t="shared" si="13"/>
        <v>Q4</v>
      </c>
      <c r="K243" t="str">
        <f t="shared" si="14"/>
        <v>Dec-2019</v>
      </c>
      <c r="L243" t="str">
        <f t="shared" si="15"/>
        <v>Low</v>
      </c>
    </row>
    <row r="244" spans="1:12" x14ac:dyDescent="0.3">
      <c r="A244">
        <v>2019</v>
      </c>
      <c r="B244" s="2" t="s">
        <v>28</v>
      </c>
      <c r="C244" t="s">
        <v>16</v>
      </c>
      <c r="D244" t="s">
        <v>13</v>
      </c>
      <c r="E244">
        <v>10.07</v>
      </c>
      <c r="F244">
        <v>148.4</v>
      </c>
      <c r="G244">
        <v>2.3199999999999998</v>
      </c>
      <c r="H244" s="3">
        <f t="shared" si="12"/>
        <v>43800</v>
      </c>
      <c r="I244">
        <f>MONTH(Table1[[#This Row],[Date]])</f>
        <v>12</v>
      </c>
      <c r="J244" t="str">
        <f t="shared" si="13"/>
        <v>Q4</v>
      </c>
      <c r="K244" t="str">
        <f t="shared" si="14"/>
        <v>Dec-2019</v>
      </c>
      <c r="L244" t="str">
        <f t="shared" si="15"/>
        <v>Low</v>
      </c>
    </row>
    <row r="245" spans="1:12" x14ac:dyDescent="0.3">
      <c r="A245">
        <v>2019</v>
      </c>
      <c r="B245" s="2" t="s">
        <v>28</v>
      </c>
      <c r="C245" t="s">
        <v>16</v>
      </c>
      <c r="D245" t="s">
        <v>14</v>
      </c>
      <c r="E245">
        <v>6.84</v>
      </c>
      <c r="F245">
        <v>150.4</v>
      </c>
      <c r="G245">
        <v>2.4</v>
      </c>
      <c r="H245" s="3">
        <f t="shared" si="12"/>
        <v>43800</v>
      </c>
      <c r="I245">
        <f>MONTH(Table1[[#This Row],[Date]])</f>
        <v>12</v>
      </c>
      <c r="J245" t="str">
        <f t="shared" si="13"/>
        <v>Q4</v>
      </c>
      <c r="K245" t="str">
        <f t="shared" si="14"/>
        <v>Dec-2019</v>
      </c>
      <c r="L245" t="str">
        <f t="shared" si="15"/>
        <v>Low</v>
      </c>
    </row>
    <row r="246" spans="1:12" x14ac:dyDescent="0.3">
      <c r="A246">
        <v>2019</v>
      </c>
      <c r="B246" s="2" t="s">
        <v>28</v>
      </c>
      <c r="C246" t="s">
        <v>16</v>
      </c>
      <c r="D246" t="s">
        <v>15</v>
      </c>
      <c r="E246">
        <v>28.32</v>
      </c>
      <c r="F246">
        <v>152.4</v>
      </c>
      <c r="G246">
        <v>2.48</v>
      </c>
      <c r="H246" s="3">
        <f t="shared" si="12"/>
        <v>43800</v>
      </c>
      <c r="I246">
        <f>MONTH(Table1[[#This Row],[Date]])</f>
        <v>12</v>
      </c>
      <c r="J246" t="str">
        <f t="shared" si="13"/>
        <v>Q4</v>
      </c>
      <c r="K246" t="str">
        <f t="shared" si="14"/>
        <v>Dec-2019</v>
      </c>
      <c r="L246" t="str">
        <f t="shared" si="15"/>
        <v>Low</v>
      </c>
    </row>
    <row r="247" spans="1:12" x14ac:dyDescent="0.3">
      <c r="A247">
        <v>2019</v>
      </c>
      <c r="B247" s="2" t="s">
        <v>28</v>
      </c>
      <c r="C247" t="s">
        <v>17</v>
      </c>
      <c r="D247" t="s">
        <v>9</v>
      </c>
      <c r="E247">
        <v>100</v>
      </c>
      <c r="F247">
        <v>141</v>
      </c>
      <c r="G247">
        <v>2</v>
      </c>
      <c r="H247" s="3">
        <f t="shared" si="12"/>
        <v>43800</v>
      </c>
      <c r="I247">
        <f>MONTH(Table1[[#This Row],[Date]])</f>
        <v>12</v>
      </c>
      <c r="J247" t="str">
        <f t="shared" si="13"/>
        <v>Q4</v>
      </c>
      <c r="K247" t="str">
        <f t="shared" si="14"/>
        <v>Dec-2019</v>
      </c>
      <c r="L247" t="str">
        <f t="shared" si="15"/>
        <v>Low</v>
      </c>
    </row>
    <row r="248" spans="1:12" x14ac:dyDescent="0.3">
      <c r="A248">
        <v>2019</v>
      </c>
      <c r="B248" s="2" t="s">
        <v>28</v>
      </c>
      <c r="C248" t="s">
        <v>17</v>
      </c>
      <c r="D248" t="s">
        <v>10</v>
      </c>
      <c r="E248">
        <v>45.86</v>
      </c>
      <c r="F248">
        <v>143</v>
      </c>
      <c r="G248">
        <v>2.08</v>
      </c>
      <c r="H248" s="3">
        <f t="shared" si="12"/>
        <v>43800</v>
      </c>
      <c r="I248">
        <f>MONTH(Table1[[#This Row],[Date]])</f>
        <v>12</v>
      </c>
      <c r="J248" t="str">
        <f t="shared" si="13"/>
        <v>Q4</v>
      </c>
      <c r="K248" t="str">
        <f t="shared" si="14"/>
        <v>Dec-2019</v>
      </c>
      <c r="L248" t="str">
        <f t="shared" si="15"/>
        <v>Low</v>
      </c>
    </row>
    <row r="249" spans="1:12" x14ac:dyDescent="0.3">
      <c r="A249">
        <v>2019</v>
      </c>
      <c r="B249" s="2" t="s">
        <v>28</v>
      </c>
      <c r="C249" t="s">
        <v>17</v>
      </c>
      <c r="D249" t="s">
        <v>11</v>
      </c>
      <c r="E249">
        <v>2.38</v>
      </c>
      <c r="F249">
        <v>145</v>
      </c>
      <c r="G249">
        <v>2.16</v>
      </c>
      <c r="H249" s="3">
        <f t="shared" si="12"/>
        <v>43800</v>
      </c>
      <c r="I249">
        <f>MONTH(Table1[[#This Row],[Date]])</f>
        <v>12</v>
      </c>
      <c r="J249" t="str">
        <f t="shared" si="13"/>
        <v>Q4</v>
      </c>
      <c r="K249" t="str">
        <f t="shared" si="14"/>
        <v>Dec-2019</v>
      </c>
      <c r="L249" t="str">
        <f t="shared" si="15"/>
        <v>Low</v>
      </c>
    </row>
    <row r="250" spans="1:12" x14ac:dyDescent="0.3">
      <c r="A250">
        <v>2019</v>
      </c>
      <c r="B250" s="2" t="s">
        <v>28</v>
      </c>
      <c r="C250" t="s">
        <v>17</v>
      </c>
      <c r="D250" t="s">
        <v>12</v>
      </c>
      <c r="E250">
        <v>6.53</v>
      </c>
      <c r="F250">
        <v>147</v>
      </c>
      <c r="G250">
        <v>2.2400000000000002</v>
      </c>
      <c r="H250" s="3">
        <f t="shared" si="12"/>
        <v>43800</v>
      </c>
      <c r="I250">
        <f>MONTH(Table1[[#This Row],[Date]])</f>
        <v>12</v>
      </c>
      <c r="J250" t="str">
        <f t="shared" si="13"/>
        <v>Q4</v>
      </c>
      <c r="K250" t="str">
        <f t="shared" si="14"/>
        <v>Dec-2019</v>
      </c>
      <c r="L250" t="str">
        <f t="shared" si="15"/>
        <v>Low</v>
      </c>
    </row>
    <row r="251" spans="1:12" x14ac:dyDescent="0.3">
      <c r="A251">
        <v>2019</v>
      </c>
      <c r="B251" s="2" t="s">
        <v>28</v>
      </c>
      <c r="C251" t="s">
        <v>17</v>
      </c>
      <c r="D251" t="s">
        <v>13</v>
      </c>
      <c r="E251">
        <v>10.07</v>
      </c>
      <c r="F251">
        <v>149</v>
      </c>
      <c r="G251">
        <v>2.3199999999999998</v>
      </c>
      <c r="H251" s="3">
        <f t="shared" si="12"/>
        <v>43800</v>
      </c>
      <c r="I251">
        <f>MONTH(Table1[[#This Row],[Date]])</f>
        <v>12</v>
      </c>
      <c r="J251" t="str">
        <f t="shared" si="13"/>
        <v>Q4</v>
      </c>
      <c r="K251" t="str">
        <f t="shared" si="14"/>
        <v>Dec-2019</v>
      </c>
      <c r="L251" t="str">
        <f t="shared" si="15"/>
        <v>Low</v>
      </c>
    </row>
    <row r="252" spans="1:12" x14ac:dyDescent="0.3">
      <c r="A252">
        <v>2019</v>
      </c>
      <c r="B252" s="2" t="s">
        <v>28</v>
      </c>
      <c r="C252" t="s">
        <v>17</v>
      </c>
      <c r="D252" t="s">
        <v>14</v>
      </c>
      <c r="E252">
        <v>6.84</v>
      </c>
      <c r="F252">
        <v>151</v>
      </c>
      <c r="G252">
        <v>2.4</v>
      </c>
      <c r="H252" s="3">
        <f t="shared" si="12"/>
        <v>43800</v>
      </c>
      <c r="I252">
        <f>MONTH(Table1[[#This Row],[Date]])</f>
        <v>12</v>
      </c>
      <c r="J252" t="str">
        <f t="shared" si="13"/>
        <v>Q4</v>
      </c>
      <c r="K252" t="str">
        <f t="shared" si="14"/>
        <v>Dec-2019</v>
      </c>
      <c r="L252" t="str">
        <f t="shared" si="15"/>
        <v>Low</v>
      </c>
    </row>
    <row r="253" spans="1:12" x14ac:dyDescent="0.3">
      <c r="A253">
        <v>2019</v>
      </c>
      <c r="B253" s="2" t="s">
        <v>28</v>
      </c>
      <c r="C253" t="s">
        <v>17</v>
      </c>
      <c r="D253" t="s">
        <v>15</v>
      </c>
      <c r="E253">
        <v>28.32</v>
      </c>
      <c r="F253">
        <v>153</v>
      </c>
      <c r="G253">
        <v>2.48</v>
      </c>
      <c r="H253" s="3">
        <f t="shared" si="12"/>
        <v>43800</v>
      </c>
      <c r="I253">
        <f>MONTH(Table1[[#This Row],[Date]])</f>
        <v>12</v>
      </c>
      <c r="J253" t="str">
        <f t="shared" si="13"/>
        <v>Q4</v>
      </c>
      <c r="K253" t="str">
        <f t="shared" si="14"/>
        <v>Dec-2019</v>
      </c>
      <c r="L253" t="str">
        <f t="shared" si="15"/>
        <v>Low</v>
      </c>
    </row>
    <row r="254" spans="1:12" x14ac:dyDescent="0.3">
      <c r="A254">
        <v>2020</v>
      </c>
      <c r="B254" s="2" t="s">
        <v>7</v>
      </c>
      <c r="C254" t="s">
        <v>8</v>
      </c>
      <c r="D254" t="s">
        <v>9</v>
      </c>
      <c r="E254">
        <v>100</v>
      </c>
      <c r="F254">
        <v>140.4</v>
      </c>
      <c r="G254">
        <v>2.5</v>
      </c>
      <c r="H254" s="3">
        <f t="shared" si="12"/>
        <v>43831</v>
      </c>
      <c r="I254">
        <f>MONTH(Table1[[#This Row],[Date]])</f>
        <v>1</v>
      </c>
      <c r="J254" t="str">
        <f t="shared" si="13"/>
        <v>Q1</v>
      </c>
      <c r="K254" t="str">
        <f t="shared" si="14"/>
        <v>Jan-2020</v>
      </c>
      <c r="L254" t="str">
        <f t="shared" si="15"/>
        <v>Low</v>
      </c>
    </row>
    <row r="255" spans="1:12" x14ac:dyDescent="0.3">
      <c r="A255">
        <v>2020</v>
      </c>
      <c r="B255" s="2" t="s">
        <v>7</v>
      </c>
      <c r="C255" t="s">
        <v>8</v>
      </c>
      <c r="D255" t="s">
        <v>10</v>
      </c>
      <c r="E255">
        <v>45.86</v>
      </c>
      <c r="F255">
        <v>142.4</v>
      </c>
      <c r="G255">
        <v>2.58</v>
      </c>
      <c r="H255" s="3">
        <f t="shared" si="12"/>
        <v>43831</v>
      </c>
      <c r="I255">
        <f>MONTH(Table1[[#This Row],[Date]])</f>
        <v>1</v>
      </c>
      <c r="J255" t="str">
        <f t="shared" si="13"/>
        <v>Q1</v>
      </c>
      <c r="K255" t="str">
        <f t="shared" si="14"/>
        <v>Jan-2020</v>
      </c>
      <c r="L255" t="str">
        <f t="shared" si="15"/>
        <v>Low</v>
      </c>
    </row>
    <row r="256" spans="1:12" x14ac:dyDescent="0.3">
      <c r="A256">
        <v>2020</v>
      </c>
      <c r="B256" s="2" t="s">
        <v>7</v>
      </c>
      <c r="C256" t="s">
        <v>8</v>
      </c>
      <c r="D256" t="s">
        <v>11</v>
      </c>
      <c r="E256">
        <v>2.38</v>
      </c>
      <c r="F256">
        <v>144.4</v>
      </c>
      <c r="G256">
        <v>2.66</v>
      </c>
      <c r="H256" s="3">
        <f t="shared" si="12"/>
        <v>43831</v>
      </c>
      <c r="I256">
        <f>MONTH(Table1[[#This Row],[Date]])</f>
        <v>1</v>
      </c>
      <c r="J256" t="str">
        <f t="shared" si="13"/>
        <v>Q1</v>
      </c>
      <c r="K256" t="str">
        <f t="shared" si="14"/>
        <v>Jan-2020</v>
      </c>
      <c r="L256" t="str">
        <f t="shared" si="15"/>
        <v>Low</v>
      </c>
    </row>
    <row r="257" spans="1:12" x14ac:dyDescent="0.3">
      <c r="A257">
        <v>2020</v>
      </c>
      <c r="B257" s="2" t="s">
        <v>7</v>
      </c>
      <c r="C257" t="s">
        <v>8</v>
      </c>
      <c r="D257" t="s">
        <v>12</v>
      </c>
      <c r="E257">
        <v>6.53</v>
      </c>
      <c r="F257">
        <v>146.4</v>
      </c>
      <c r="G257">
        <v>2.74</v>
      </c>
      <c r="H257" s="3">
        <f t="shared" si="12"/>
        <v>43831</v>
      </c>
      <c r="I257">
        <f>MONTH(Table1[[#This Row],[Date]])</f>
        <v>1</v>
      </c>
      <c r="J257" t="str">
        <f t="shared" si="13"/>
        <v>Q1</v>
      </c>
      <c r="K257" t="str">
        <f t="shared" si="14"/>
        <v>Jan-2020</v>
      </c>
      <c r="L257" t="str">
        <f t="shared" si="15"/>
        <v>Low</v>
      </c>
    </row>
    <row r="258" spans="1:12" x14ac:dyDescent="0.3">
      <c r="A258">
        <v>2020</v>
      </c>
      <c r="B258" s="2" t="s">
        <v>7</v>
      </c>
      <c r="C258" t="s">
        <v>8</v>
      </c>
      <c r="D258" t="s">
        <v>13</v>
      </c>
      <c r="E258">
        <v>10.07</v>
      </c>
      <c r="F258">
        <v>148.4</v>
      </c>
      <c r="G258">
        <v>2.82</v>
      </c>
      <c r="H258" s="3">
        <f t="shared" ref="H258:H321" si="16">DATE(A258,MONTH(DATEVALUE(B258&amp;" 1")),1)</f>
        <v>43831</v>
      </c>
      <c r="I258">
        <f>MONTH(Table1[[#This Row],[Date]])</f>
        <v>1</v>
      </c>
      <c r="J258" t="str">
        <f t="shared" ref="J258:J321" si="17">"Q"&amp;ROUNDUP(MONTH(H258)/3,0)</f>
        <v>Q1</v>
      </c>
      <c r="K258" t="str">
        <f t="shared" ref="K258:K321" si="18">TEXT(H258,"mmm-yyyy")</f>
        <v>Jan-2020</v>
      </c>
      <c r="L258" t="str">
        <f t="shared" ref="L258:L321" si="19">IF(G258&lt;3,"Low",IF(G258&lt;4,"Medium","High"))</f>
        <v>Low</v>
      </c>
    </row>
    <row r="259" spans="1:12" x14ac:dyDescent="0.3">
      <c r="A259">
        <v>2020</v>
      </c>
      <c r="B259" s="2" t="s">
        <v>7</v>
      </c>
      <c r="C259" t="s">
        <v>8</v>
      </c>
      <c r="D259" t="s">
        <v>14</v>
      </c>
      <c r="E259">
        <v>6.84</v>
      </c>
      <c r="F259">
        <v>150.4</v>
      </c>
      <c r="G259">
        <v>2.9</v>
      </c>
      <c r="H259" s="3">
        <f t="shared" si="16"/>
        <v>43831</v>
      </c>
      <c r="I259">
        <f>MONTH(Table1[[#This Row],[Date]])</f>
        <v>1</v>
      </c>
      <c r="J259" t="str">
        <f t="shared" si="17"/>
        <v>Q1</v>
      </c>
      <c r="K259" t="str">
        <f t="shared" si="18"/>
        <v>Jan-2020</v>
      </c>
      <c r="L259" t="str">
        <f t="shared" si="19"/>
        <v>Low</v>
      </c>
    </row>
    <row r="260" spans="1:12" x14ac:dyDescent="0.3">
      <c r="A260">
        <v>2020</v>
      </c>
      <c r="B260" s="2" t="s">
        <v>7</v>
      </c>
      <c r="C260" t="s">
        <v>8</v>
      </c>
      <c r="D260" t="s">
        <v>15</v>
      </c>
      <c r="E260">
        <v>28.32</v>
      </c>
      <c r="F260">
        <v>152.4</v>
      </c>
      <c r="G260">
        <v>2.98</v>
      </c>
      <c r="H260" s="3">
        <f t="shared" si="16"/>
        <v>43831</v>
      </c>
      <c r="I260">
        <f>MONTH(Table1[[#This Row],[Date]])</f>
        <v>1</v>
      </c>
      <c r="J260" t="str">
        <f t="shared" si="17"/>
        <v>Q1</v>
      </c>
      <c r="K260" t="str">
        <f t="shared" si="18"/>
        <v>Jan-2020</v>
      </c>
      <c r="L260" t="str">
        <f t="shared" si="19"/>
        <v>Low</v>
      </c>
    </row>
    <row r="261" spans="1:12" x14ac:dyDescent="0.3">
      <c r="A261">
        <v>2020</v>
      </c>
      <c r="B261" s="2" t="s">
        <v>7</v>
      </c>
      <c r="C261" t="s">
        <v>16</v>
      </c>
      <c r="D261" t="s">
        <v>9</v>
      </c>
      <c r="E261">
        <v>100</v>
      </c>
      <c r="F261">
        <v>141</v>
      </c>
      <c r="G261">
        <v>2.5</v>
      </c>
      <c r="H261" s="3">
        <f t="shared" si="16"/>
        <v>43831</v>
      </c>
      <c r="I261">
        <f>MONTH(Table1[[#This Row],[Date]])</f>
        <v>1</v>
      </c>
      <c r="J261" t="str">
        <f t="shared" si="17"/>
        <v>Q1</v>
      </c>
      <c r="K261" t="str">
        <f t="shared" si="18"/>
        <v>Jan-2020</v>
      </c>
      <c r="L261" t="str">
        <f t="shared" si="19"/>
        <v>Low</v>
      </c>
    </row>
    <row r="262" spans="1:12" x14ac:dyDescent="0.3">
      <c r="A262">
        <v>2020</v>
      </c>
      <c r="B262" s="2" t="s">
        <v>7</v>
      </c>
      <c r="C262" t="s">
        <v>16</v>
      </c>
      <c r="D262" t="s">
        <v>10</v>
      </c>
      <c r="E262">
        <v>45.86</v>
      </c>
      <c r="F262">
        <v>143</v>
      </c>
      <c r="G262">
        <v>2.58</v>
      </c>
      <c r="H262" s="3">
        <f t="shared" si="16"/>
        <v>43831</v>
      </c>
      <c r="I262">
        <f>MONTH(Table1[[#This Row],[Date]])</f>
        <v>1</v>
      </c>
      <c r="J262" t="str">
        <f t="shared" si="17"/>
        <v>Q1</v>
      </c>
      <c r="K262" t="str">
        <f t="shared" si="18"/>
        <v>Jan-2020</v>
      </c>
      <c r="L262" t="str">
        <f t="shared" si="19"/>
        <v>Low</v>
      </c>
    </row>
    <row r="263" spans="1:12" x14ac:dyDescent="0.3">
      <c r="A263">
        <v>2020</v>
      </c>
      <c r="B263" s="2" t="s">
        <v>7</v>
      </c>
      <c r="C263" t="s">
        <v>16</v>
      </c>
      <c r="D263" t="s">
        <v>11</v>
      </c>
      <c r="E263">
        <v>2.38</v>
      </c>
      <c r="F263">
        <v>145</v>
      </c>
      <c r="G263">
        <v>2.66</v>
      </c>
      <c r="H263" s="3">
        <f t="shared" si="16"/>
        <v>43831</v>
      </c>
      <c r="I263">
        <f>MONTH(Table1[[#This Row],[Date]])</f>
        <v>1</v>
      </c>
      <c r="J263" t="str">
        <f t="shared" si="17"/>
        <v>Q1</v>
      </c>
      <c r="K263" t="str">
        <f t="shared" si="18"/>
        <v>Jan-2020</v>
      </c>
      <c r="L263" t="str">
        <f t="shared" si="19"/>
        <v>Low</v>
      </c>
    </row>
    <row r="264" spans="1:12" x14ac:dyDescent="0.3">
      <c r="A264">
        <v>2020</v>
      </c>
      <c r="B264" s="2" t="s">
        <v>7</v>
      </c>
      <c r="C264" t="s">
        <v>16</v>
      </c>
      <c r="D264" t="s">
        <v>12</v>
      </c>
      <c r="E264">
        <v>6.53</v>
      </c>
      <c r="F264">
        <v>147</v>
      </c>
      <c r="G264">
        <v>2.74</v>
      </c>
      <c r="H264" s="3">
        <f t="shared" si="16"/>
        <v>43831</v>
      </c>
      <c r="I264">
        <f>MONTH(Table1[[#This Row],[Date]])</f>
        <v>1</v>
      </c>
      <c r="J264" t="str">
        <f t="shared" si="17"/>
        <v>Q1</v>
      </c>
      <c r="K264" t="str">
        <f t="shared" si="18"/>
        <v>Jan-2020</v>
      </c>
      <c r="L264" t="str">
        <f t="shared" si="19"/>
        <v>Low</v>
      </c>
    </row>
    <row r="265" spans="1:12" x14ac:dyDescent="0.3">
      <c r="A265">
        <v>2020</v>
      </c>
      <c r="B265" s="2" t="s">
        <v>7</v>
      </c>
      <c r="C265" t="s">
        <v>16</v>
      </c>
      <c r="D265" t="s">
        <v>13</v>
      </c>
      <c r="E265">
        <v>10.07</v>
      </c>
      <c r="F265">
        <v>149</v>
      </c>
      <c r="G265">
        <v>2.82</v>
      </c>
      <c r="H265" s="3">
        <f t="shared" si="16"/>
        <v>43831</v>
      </c>
      <c r="I265">
        <f>MONTH(Table1[[#This Row],[Date]])</f>
        <v>1</v>
      </c>
      <c r="J265" t="str">
        <f t="shared" si="17"/>
        <v>Q1</v>
      </c>
      <c r="K265" t="str">
        <f t="shared" si="18"/>
        <v>Jan-2020</v>
      </c>
      <c r="L265" t="str">
        <f t="shared" si="19"/>
        <v>Low</v>
      </c>
    </row>
    <row r="266" spans="1:12" x14ac:dyDescent="0.3">
      <c r="A266">
        <v>2020</v>
      </c>
      <c r="B266" s="2" t="s">
        <v>7</v>
      </c>
      <c r="C266" t="s">
        <v>16</v>
      </c>
      <c r="D266" t="s">
        <v>14</v>
      </c>
      <c r="E266">
        <v>6.84</v>
      </c>
      <c r="F266">
        <v>151</v>
      </c>
      <c r="G266">
        <v>2.9</v>
      </c>
      <c r="H266" s="3">
        <f t="shared" si="16"/>
        <v>43831</v>
      </c>
      <c r="I266">
        <f>MONTH(Table1[[#This Row],[Date]])</f>
        <v>1</v>
      </c>
      <c r="J266" t="str">
        <f t="shared" si="17"/>
        <v>Q1</v>
      </c>
      <c r="K266" t="str">
        <f t="shared" si="18"/>
        <v>Jan-2020</v>
      </c>
      <c r="L266" t="str">
        <f t="shared" si="19"/>
        <v>Low</v>
      </c>
    </row>
    <row r="267" spans="1:12" x14ac:dyDescent="0.3">
      <c r="A267">
        <v>2020</v>
      </c>
      <c r="B267" s="2" t="s">
        <v>7</v>
      </c>
      <c r="C267" t="s">
        <v>16</v>
      </c>
      <c r="D267" t="s">
        <v>15</v>
      </c>
      <c r="E267">
        <v>28.32</v>
      </c>
      <c r="F267">
        <v>153</v>
      </c>
      <c r="G267">
        <v>2.98</v>
      </c>
      <c r="H267" s="3">
        <f t="shared" si="16"/>
        <v>43831</v>
      </c>
      <c r="I267">
        <f>MONTH(Table1[[#This Row],[Date]])</f>
        <v>1</v>
      </c>
      <c r="J267" t="str">
        <f t="shared" si="17"/>
        <v>Q1</v>
      </c>
      <c r="K267" t="str">
        <f t="shared" si="18"/>
        <v>Jan-2020</v>
      </c>
      <c r="L267" t="str">
        <f t="shared" si="19"/>
        <v>Low</v>
      </c>
    </row>
    <row r="268" spans="1:12" x14ac:dyDescent="0.3">
      <c r="A268">
        <v>2020</v>
      </c>
      <c r="B268" s="2" t="s">
        <v>7</v>
      </c>
      <c r="C268" t="s">
        <v>17</v>
      </c>
      <c r="D268" t="s">
        <v>9</v>
      </c>
      <c r="E268">
        <v>100</v>
      </c>
      <c r="F268">
        <v>141.6</v>
      </c>
      <c r="G268">
        <v>2.5</v>
      </c>
      <c r="H268" s="3">
        <f t="shared" si="16"/>
        <v>43831</v>
      </c>
      <c r="I268">
        <f>MONTH(Table1[[#This Row],[Date]])</f>
        <v>1</v>
      </c>
      <c r="J268" t="str">
        <f t="shared" si="17"/>
        <v>Q1</v>
      </c>
      <c r="K268" t="str">
        <f t="shared" si="18"/>
        <v>Jan-2020</v>
      </c>
      <c r="L268" t="str">
        <f t="shared" si="19"/>
        <v>Low</v>
      </c>
    </row>
    <row r="269" spans="1:12" x14ac:dyDescent="0.3">
      <c r="A269">
        <v>2020</v>
      </c>
      <c r="B269" s="2" t="s">
        <v>7</v>
      </c>
      <c r="C269" t="s">
        <v>17</v>
      </c>
      <c r="D269" t="s">
        <v>10</v>
      </c>
      <c r="E269">
        <v>45.86</v>
      </c>
      <c r="F269">
        <v>143.6</v>
      </c>
      <c r="G269">
        <v>2.58</v>
      </c>
      <c r="H269" s="3">
        <f t="shared" si="16"/>
        <v>43831</v>
      </c>
      <c r="I269">
        <f>MONTH(Table1[[#This Row],[Date]])</f>
        <v>1</v>
      </c>
      <c r="J269" t="str">
        <f t="shared" si="17"/>
        <v>Q1</v>
      </c>
      <c r="K269" t="str">
        <f t="shared" si="18"/>
        <v>Jan-2020</v>
      </c>
      <c r="L269" t="str">
        <f t="shared" si="19"/>
        <v>Low</v>
      </c>
    </row>
    <row r="270" spans="1:12" x14ac:dyDescent="0.3">
      <c r="A270">
        <v>2020</v>
      </c>
      <c r="B270" s="2" t="s">
        <v>7</v>
      </c>
      <c r="C270" t="s">
        <v>17</v>
      </c>
      <c r="D270" t="s">
        <v>11</v>
      </c>
      <c r="E270">
        <v>2.38</v>
      </c>
      <c r="F270">
        <v>145.6</v>
      </c>
      <c r="G270">
        <v>2.66</v>
      </c>
      <c r="H270" s="3">
        <f t="shared" si="16"/>
        <v>43831</v>
      </c>
      <c r="I270">
        <f>MONTH(Table1[[#This Row],[Date]])</f>
        <v>1</v>
      </c>
      <c r="J270" t="str">
        <f t="shared" si="17"/>
        <v>Q1</v>
      </c>
      <c r="K270" t="str">
        <f t="shared" si="18"/>
        <v>Jan-2020</v>
      </c>
      <c r="L270" t="str">
        <f t="shared" si="19"/>
        <v>Low</v>
      </c>
    </row>
    <row r="271" spans="1:12" x14ac:dyDescent="0.3">
      <c r="A271">
        <v>2020</v>
      </c>
      <c r="B271" s="2" t="s">
        <v>7</v>
      </c>
      <c r="C271" t="s">
        <v>17</v>
      </c>
      <c r="D271" t="s">
        <v>12</v>
      </c>
      <c r="E271">
        <v>6.53</v>
      </c>
      <c r="F271">
        <v>147.6</v>
      </c>
      <c r="G271">
        <v>2.74</v>
      </c>
      <c r="H271" s="3">
        <f t="shared" si="16"/>
        <v>43831</v>
      </c>
      <c r="I271">
        <f>MONTH(Table1[[#This Row],[Date]])</f>
        <v>1</v>
      </c>
      <c r="J271" t="str">
        <f t="shared" si="17"/>
        <v>Q1</v>
      </c>
      <c r="K271" t="str">
        <f t="shared" si="18"/>
        <v>Jan-2020</v>
      </c>
      <c r="L271" t="str">
        <f t="shared" si="19"/>
        <v>Low</v>
      </c>
    </row>
    <row r="272" spans="1:12" x14ac:dyDescent="0.3">
      <c r="A272">
        <v>2020</v>
      </c>
      <c r="B272" s="2" t="s">
        <v>7</v>
      </c>
      <c r="C272" t="s">
        <v>17</v>
      </c>
      <c r="D272" t="s">
        <v>13</v>
      </c>
      <c r="E272">
        <v>10.07</v>
      </c>
      <c r="F272">
        <v>149.6</v>
      </c>
      <c r="G272">
        <v>2.82</v>
      </c>
      <c r="H272" s="3">
        <f t="shared" si="16"/>
        <v>43831</v>
      </c>
      <c r="I272">
        <f>MONTH(Table1[[#This Row],[Date]])</f>
        <v>1</v>
      </c>
      <c r="J272" t="str">
        <f t="shared" si="17"/>
        <v>Q1</v>
      </c>
      <c r="K272" t="str">
        <f t="shared" si="18"/>
        <v>Jan-2020</v>
      </c>
      <c r="L272" t="str">
        <f t="shared" si="19"/>
        <v>Low</v>
      </c>
    </row>
    <row r="273" spans="1:12" x14ac:dyDescent="0.3">
      <c r="A273">
        <v>2020</v>
      </c>
      <c r="B273" s="2" t="s">
        <v>7</v>
      </c>
      <c r="C273" t="s">
        <v>17</v>
      </c>
      <c r="D273" t="s">
        <v>14</v>
      </c>
      <c r="E273">
        <v>6.84</v>
      </c>
      <c r="F273">
        <v>151.6</v>
      </c>
      <c r="G273">
        <v>2.9</v>
      </c>
      <c r="H273" s="3">
        <f t="shared" si="16"/>
        <v>43831</v>
      </c>
      <c r="I273">
        <f>MONTH(Table1[[#This Row],[Date]])</f>
        <v>1</v>
      </c>
      <c r="J273" t="str">
        <f t="shared" si="17"/>
        <v>Q1</v>
      </c>
      <c r="K273" t="str">
        <f t="shared" si="18"/>
        <v>Jan-2020</v>
      </c>
      <c r="L273" t="str">
        <f t="shared" si="19"/>
        <v>Low</v>
      </c>
    </row>
    <row r="274" spans="1:12" x14ac:dyDescent="0.3">
      <c r="A274">
        <v>2020</v>
      </c>
      <c r="B274" s="2" t="s">
        <v>7</v>
      </c>
      <c r="C274" t="s">
        <v>17</v>
      </c>
      <c r="D274" t="s">
        <v>15</v>
      </c>
      <c r="E274">
        <v>28.32</v>
      </c>
      <c r="F274">
        <v>153.6</v>
      </c>
      <c r="G274">
        <v>2.98</v>
      </c>
      <c r="H274" s="3">
        <f t="shared" si="16"/>
        <v>43831</v>
      </c>
      <c r="I274">
        <f>MONTH(Table1[[#This Row],[Date]])</f>
        <v>1</v>
      </c>
      <c r="J274" t="str">
        <f t="shared" si="17"/>
        <v>Q1</v>
      </c>
      <c r="K274" t="str">
        <f t="shared" si="18"/>
        <v>Jan-2020</v>
      </c>
      <c r="L274" t="str">
        <f t="shared" si="19"/>
        <v>Low</v>
      </c>
    </row>
    <row r="275" spans="1:12" x14ac:dyDescent="0.3">
      <c r="A275">
        <v>2020</v>
      </c>
      <c r="B275" s="2" t="s">
        <v>18</v>
      </c>
      <c r="C275" t="s">
        <v>8</v>
      </c>
      <c r="D275" t="s">
        <v>9</v>
      </c>
      <c r="E275">
        <v>100</v>
      </c>
      <c r="F275">
        <v>140.80000000000001</v>
      </c>
      <c r="G275">
        <v>2.65</v>
      </c>
      <c r="H275" s="3">
        <f t="shared" si="16"/>
        <v>43862</v>
      </c>
      <c r="I275">
        <f>MONTH(Table1[[#This Row],[Date]])</f>
        <v>2</v>
      </c>
      <c r="J275" t="str">
        <f t="shared" si="17"/>
        <v>Q1</v>
      </c>
      <c r="K275" t="str">
        <f t="shared" si="18"/>
        <v>Feb-2020</v>
      </c>
      <c r="L275" t="str">
        <f t="shared" si="19"/>
        <v>Low</v>
      </c>
    </row>
    <row r="276" spans="1:12" x14ac:dyDescent="0.3">
      <c r="A276">
        <v>2020</v>
      </c>
      <c r="B276" s="2" t="s">
        <v>18</v>
      </c>
      <c r="C276" t="s">
        <v>8</v>
      </c>
      <c r="D276" t="s">
        <v>10</v>
      </c>
      <c r="E276">
        <v>45.86</v>
      </c>
      <c r="F276">
        <v>142.80000000000001</v>
      </c>
      <c r="G276">
        <v>2.73</v>
      </c>
      <c r="H276" s="3">
        <f t="shared" si="16"/>
        <v>43862</v>
      </c>
      <c r="I276">
        <f>MONTH(Table1[[#This Row],[Date]])</f>
        <v>2</v>
      </c>
      <c r="J276" t="str">
        <f t="shared" si="17"/>
        <v>Q1</v>
      </c>
      <c r="K276" t="str">
        <f t="shared" si="18"/>
        <v>Feb-2020</v>
      </c>
      <c r="L276" t="str">
        <f t="shared" si="19"/>
        <v>Low</v>
      </c>
    </row>
    <row r="277" spans="1:12" x14ac:dyDescent="0.3">
      <c r="A277">
        <v>2020</v>
      </c>
      <c r="B277" s="2" t="s">
        <v>18</v>
      </c>
      <c r="C277" t="s">
        <v>8</v>
      </c>
      <c r="D277" t="s">
        <v>11</v>
      </c>
      <c r="E277">
        <v>2.38</v>
      </c>
      <c r="F277">
        <v>144.80000000000001</v>
      </c>
      <c r="G277">
        <v>2.81</v>
      </c>
      <c r="H277" s="3">
        <f t="shared" si="16"/>
        <v>43862</v>
      </c>
      <c r="I277">
        <f>MONTH(Table1[[#This Row],[Date]])</f>
        <v>2</v>
      </c>
      <c r="J277" t="str">
        <f t="shared" si="17"/>
        <v>Q1</v>
      </c>
      <c r="K277" t="str">
        <f t="shared" si="18"/>
        <v>Feb-2020</v>
      </c>
      <c r="L277" t="str">
        <f t="shared" si="19"/>
        <v>Low</v>
      </c>
    </row>
    <row r="278" spans="1:12" x14ac:dyDescent="0.3">
      <c r="A278">
        <v>2020</v>
      </c>
      <c r="B278" s="2" t="s">
        <v>18</v>
      </c>
      <c r="C278" t="s">
        <v>8</v>
      </c>
      <c r="D278" t="s">
        <v>12</v>
      </c>
      <c r="E278">
        <v>6.53</v>
      </c>
      <c r="F278">
        <v>146.80000000000001</v>
      </c>
      <c r="G278">
        <v>2.89</v>
      </c>
      <c r="H278" s="3">
        <f t="shared" si="16"/>
        <v>43862</v>
      </c>
      <c r="I278">
        <f>MONTH(Table1[[#This Row],[Date]])</f>
        <v>2</v>
      </c>
      <c r="J278" t="str">
        <f t="shared" si="17"/>
        <v>Q1</v>
      </c>
      <c r="K278" t="str">
        <f t="shared" si="18"/>
        <v>Feb-2020</v>
      </c>
      <c r="L278" t="str">
        <f t="shared" si="19"/>
        <v>Low</v>
      </c>
    </row>
    <row r="279" spans="1:12" x14ac:dyDescent="0.3">
      <c r="A279">
        <v>2020</v>
      </c>
      <c r="B279" s="2" t="s">
        <v>18</v>
      </c>
      <c r="C279" t="s">
        <v>8</v>
      </c>
      <c r="D279" t="s">
        <v>13</v>
      </c>
      <c r="E279">
        <v>10.07</v>
      </c>
      <c r="F279">
        <v>148.80000000000001</v>
      </c>
      <c r="G279">
        <v>2.97</v>
      </c>
      <c r="H279" s="3">
        <f t="shared" si="16"/>
        <v>43862</v>
      </c>
      <c r="I279">
        <f>MONTH(Table1[[#This Row],[Date]])</f>
        <v>2</v>
      </c>
      <c r="J279" t="str">
        <f t="shared" si="17"/>
        <v>Q1</v>
      </c>
      <c r="K279" t="str">
        <f t="shared" si="18"/>
        <v>Feb-2020</v>
      </c>
      <c r="L279" t="str">
        <f t="shared" si="19"/>
        <v>Low</v>
      </c>
    </row>
    <row r="280" spans="1:12" x14ac:dyDescent="0.3">
      <c r="A280">
        <v>2020</v>
      </c>
      <c r="B280" s="2" t="s">
        <v>18</v>
      </c>
      <c r="C280" t="s">
        <v>8</v>
      </c>
      <c r="D280" t="s">
        <v>14</v>
      </c>
      <c r="E280">
        <v>6.84</v>
      </c>
      <c r="F280">
        <v>150.80000000000001</v>
      </c>
      <c r="G280">
        <v>3.05</v>
      </c>
      <c r="H280" s="3">
        <f t="shared" si="16"/>
        <v>43862</v>
      </c>
      <c r="I280">
        <f>MONTH(Table1[[#This Row],[Date]])</f>
        <v>2</v>
      </c>
      <c r="J280" t="str">
        <f t="shared" si="17"/>
        <v>Q1</v>
      </c>
      <c r="K280" t="str">
        <f t="shared" si="18"/>
        <v>Feb-2020</v>
      </c>
      <c r="L280" t="str">
        <f t="shared" si="19"/>
        <v>Medium</v>
      </c>
    </row>
    <row r="281" spans="1:12" x14ac:dyDescent="0.3">
      <c r="A281">
        <v>2020</v>
      </c>
      <c r="B281" s="2" t="s">
        <v>18</v>
      </c>
      <c r="C281" t="s">
        <v>8</v>
      </c>
      <c r="D281" t="s">
        <v>15</v>
      </c>
      <c r="E281">
        <v>28.32</v>
      </c>
      <c r="F281">
        <v>152.80000000000001</v>
      </c>
      <c r="G281">
        <v>3.13</v>
      </c>
      <c r="H281" s="3">
        <f t="shared" si="16"/>
        <v>43862</v>
      </c>
      <c r="I281">
        <f>MONTH(Table1[[#This Row],[Date]])</f>
        <v>2</v>
      </c>
      <c r="J281" t="str">
        <f t="shared" si="17"/>
        <v>Q1</v>
      </c>
      <c r="K281" t="str">
        <f t="shared" si="18"/>
        <v>Feb-2020</v>
      </c>
      <c r="L281" t="str">
        <f t="shared" si="19"/>
        <v>Medium</v>
      </c>
    </row>
    <row r="282" spans="1:12" x14ac:dyDescent="0.3">
      <c r="A282">
        <v>2020</v>
      </c>
      <c r="B282" s="2" t="s">
        <v>18</v>
      </c>
      <c r="C282" t="s">
        <v>16</v>
      </c>
      <c r="D282" t="s">
        <v>9</v>
      </c>
      <c r="E282">
        <v>100</v>
      </c>
      <c r="F282">
        <v>141.4</v>
      </c>
      <c r="G282">
        <v>2.65</v>
      </c>
      <c r="H282" s="3">
        <f t="shared" si="16"/>
        <v>43862</v>
      </c>
      <c r="I282">
        <f>MONTH(Table1[[#This Row],[Date]])</f>
        <v>2</v>
      </c>
      <c r="J282" t="str">
        <f t="shared" si="17"/>
        <v>Q1</v>
      </c>
      <c r="K282" t="str">
        <f t="shared" si="18"/>
        <v>Feb-2020</v>
      </c>
      <c r="L282" t="str">
        <f t="shared" si="19"/>
        <v>Low</v>
      </c>
    </row>
    <row r="283" spans="1:12" x14ac:dyDescent="0.3">
      <c r="A283">
        <v>2020</v>
      </c>
      <c r="B283" s="2" t="s">
        <v>18</v>
      </c>
      <c r="C283" t="s">
        <v>16</v>
      </c>
      <c r="D283" t="s">
        <v>10</v>
      </c>
      <c r="E283">
        <v>45.86</v>
      </c>
      <c r="F283">
        <v>143.4</v>
      </c>
      <c r="G283">
        <v>2.73</v>
      </c>
      <c r="H283" s="3">
        <f t="shared" si="16"/>
        <v>43862</v>
      </c>
      <c r="I283">
        <f>MONTH(Table1[[#This Row],[Date]])</f>
        <v>2</v>
      </c>
      <c r="J283" t="str">
        <f t="shared" si="17"/>
        <v>Q1</v>
      </c>
      <c r="K283" t="str">
        <f t="shared" si="18"/>
        <v>Feb-2020</v>
      </c>
      <c r="L283" t="str">
        <f t="shared" si="19"/>
        <v>Low</v>
      </c>
    </row>
    <row r="284" spans="1:12" x14ac:dyDescent="0.3">
      <c r="A284">
        <v>2020</v>
      </c>
      <c r="B284" s="2" t="s">
        <v>18</v>
      </c>
      <c r="C284" t="s">
        <v>16</v>
      </c>
      <c r="D284" t="s">
        <v>11</v>
      </c>
      <c r="E284">
        <v>2.38</v>
      </c>
      <c r="F284">
        <v>145.4</v>
      </c>
      <c r="G284">
        <v>2.81</v>
      </c>
      <c r="H284" s="3">
        <f t="shared" si="16"/>
        <v>43862</v>
      </c>
      <c r="I284">
        <f>MONTH(Table1[[#This Row],[Date]])</f>
        <v>2</v>
      </c>
      <c r="J284" t="str">
        <f t="shared" si="17"/>
        <v>Q1</v>
      </c>
      <c r="K284" t="str">
        <f t="shared" si="18"/>
        <v>Feb-2020</v>
      </c>
      <c r="L284" t="str">
        <f t="shared" si="19"/>
        <v>Low</v>
      </c>
    </row>
    <row r="285" spans="1:12" x14ac:dyDescent="0.3">
      <c r="A285">
        <v>2020</v>
      </c>
      <c r="B285" s="2" t="s">
        <v>18</v>
      </c>
      <c r="C285" t="s">
        <v>16</v>
      </c>
      <c r="D285" t="s">
        <v>12</v>
      </c>
      <c r="E285">
        <v>6.53</v>
      </c>
      <c r="F285">
        <v>147.4</v>
      </c>
      <c r="G285">
        <v>2.89</v>
      </c>
      <c r="H285" s="3">
        <f t="shared" si="16"/>
        <v>43862</v>
      </c>
      <c r="I285">
        <f>MONTH(Table1[[#This Row],[Date]])</f>
        <v>2</v>
      </c>
      <c r="J285" t="str">
        <f t="shared" si="17"/>
        <v>Q1</v>
      </c>
      <c r="K285" t="str">
        <f t="shared" si="18"/>
        <v>Feb-2020</v>
      </c>
      <c r="L285" t="str">
        <f t="shared" si="19"/>
        <v>Low</v>
      </c>
    </row>
    <row r="286" spans="1:12" x14ac:dyDescent="0.3">
      <c r="A286">
        <v>2020</v>
      </c>
      <c r="B286" s="2" t="s">
        <v>18</v>
      </c>
      <c r="C286" t="s">
        <v>16</v>
      </c>
      <c r="D286" t="s">
        <v>13</v>
      </c>
      <c r="E286">
        <v>10.07</v>
      </c>
      <c r="F286">
        <v>149.4</v>
      </c>
      <c r="G286">
        <v>2.97</v>
      </c>
      <c r="H286" s="3">
        <f t="shared" si="16"/>
        <v>43862</v>
      </c>
      <c r="I286">
        <f>MONTH(Table1[[#This Row],[Date]])</f>
        <v>2</v>
      </c>
      <c r="J286" t="str">
        <f t="shared" si="17"/>
        <v>Q1</v>
      </c>
      <c r="K286" t="str">
        <f t="shared" si="18"/>
        <v>Feb-2020</v>
      </c>
      <c r="L286" t="str">
        <f t="shared" si="19"/>
        <v>Low</v>
      </c>
    </row>
    <row r="287" spans="1:12" x14ac:dyDescent="0.3">
      <c r="A287">
        <v>2020</v>
      </c>
      <c r="B287" s="2" t="s">
        <v>18</v>
      </c>
      <c r="C287" t="s">
        <v>16</v>
      </c>
      <c r="D287" t="s">
        <v>14</v>
      </c>
      <c r="E287">
        <v>6.84</v>
      </c>
      <c r="F287">
        <v>151.4</v>
      </c>
      <c r="G287">
        <v>3.05</v>
      </c>
      <c r="H287" s="3">
        <f t="shared" si="16"/>
        <v>43862</v>
      </c>
      <c r="I287">
        <f>MONTH(Table1[[#This Row],[Date]])</f>
        <v>2</v>
      </c>
      <c r="J287" t="str">
        <f t="shared" si="17"/>
        <v>Q1</v>
      </c>
      <c r="K287" t="str">
        <f t="shared" si="18"/>
        <v>Feb-2020</v>
      </c>
      <c r="L287" t="str">
        <f t="shared" si="19"/>
        <v>Medium</v>
      </c>
    </row>
    <row r="288" spans="1:12" x14ac:dyDescent="0.3">
      <c r="A288">
        <v>2020</v>
      </c>
      <c r="B288" s="2" t="s">
        <v>18</v>
      </c>
      <c r="C288" t="s">
        <v>16</v>
      </c>
      <c r="D288" t="s">
        <v>15</v>
      </c>
      <c r="E288">
        <v>28.32</v>
      </c>
      <c r="F288">
        <v>153.4</v>
      </c>
      <c r="G288">
        <v>3.13</v>
      </c>
      <c r="H288" s="3">
        <f t="shared" si="16"/>
        <v>43862</v>
      </c>
      <c r="I288">
        <f>MONTH(Table1[[#This Row],[Date]])</f>
        <v>2</v>
      </c>
      <c r="J288" t="str">
        <f t="shared" si="17"/>
        <v>Q1</v>
      </c>
      <c r="K288" t="str">
        <f t="shared" si="18"/>
        <v>Feb-2020</v>
      </c>
      <c r="L288" t="str">
        <f t="shared" si="19"/>
        <v>Medium</v>
      </c>
    </row>
    <row r="289" spans="1:12" x14ac:dyDescent="0.3">
      <c r="A289">
        <v>2020</v>
      </c>
      <c r="B289" s="2" t="s">
        <v>18</v>
      </c>
      <c r="C289" t="s">
        <v>17</v>
      </c>
      <c r="D289" t="s">
        <v>9</v>
      </c>
      <c r="E289">
        <v>100</v>
      </c>
      <c r="F289">
        <v>142</v>
      </c>
      <c r="G289">
        <v>2.65</v>
      </c>
      <c r="H289" s="3">
        <f t="shared" si="16"/>
        <v>43862</v>
      </c>
      <c r="I289">
        <f>MONTH(Table1[[#This Row],[Date]])</f>
        <v>2</v>
      </c>
      <c r="J289" t="str">
        <f t="shared" si="17"/>
        <v>Q1</v>
      </c>
      <c r="K289" t="str">
        <f t="shared" si="18"/>
        <v>Feb-2020</v>
      </c>
      <c r="L289" t="str">
        <f t="shared" si="19"/>
        <v>Low</v>
      </c>
    </row>
    <row r="290" spans="1:12" x14ac:dyDescent="0.3">
      <c r="A290">
        <v>2020</v>
      </c>
      <c r="B290" s="2" t="s">
        <v>18</v>
      </c>
      <c r="C290" t="s">
        <v>17</v>
      </c>
      <c r="D290" t="s">
        <v>10</v>
      </c>
      <c r="E290">
        <v>45.86</v>
      </c>
      <c r="F290">
        <v>144</v>
      </c>
      <c r="G290">
        <v>2.73</v>
      </c>
      <c r="H290" s="3">
        <f t="shared" si="16"/>
        <v>43862</v>
      </c>
      <c r="I290">
        <f>MONTH(Table1[[#This Row],[Date]])</f>
        <v>2</v>
      </c>
      <c r="J290" t="str">
        <f t="shared" si="17"/>
        <v>Q1</v>
      </c>
      <c r="K290" t="str">
        <f t="shared" si="18"/>
        <v>Feb-2020</v>
      </c>
      <c r="L290" t="str">
        <f t="shared" si="19"/>
        <v>Low</v>
      </c>
    </row>
    <row r="291" spans="1:12" x14ac:dyDescent="0.3">
      <c r="A291">
        <v>2020</v>
      </c>
      <c r="B291" s="2" t="s">
        <v>18</v>
      </c>
      <c r="C291" t="s">
        <v>17</v>
      </c>
      <c r="D291" t="s">
        <v>11</v>
      </c>
      <c r="E291">
        <v>2.38</v>
      </c>
      <c r="F291">
        <v>146</v>
      </c>
      <c r="G291">
        <v>2.81</v>
      </c>
      <c r="H291" s="3">
        <f t="shared" si="16"/>
        <v>43862</v>
      </c>
      <c r="I291">
        <f>MONTH(Table1[[#This Row],[Date]])</f>
        <v>2</v>
      </c>
      <c r="J291" t="str">
        <f t="shared" si="17"/>
        <v>Q1</v>
      </c>
      <c r="K291" t="str">
        <f t="shared" si="18"/>
        <v>Feb-2020</v>
      </c>
      <c r="L291" t="str">
        <f t="shared" si="19"/>
        <v>Low</v>
      </c>
    </row>
    <row r="292" spans="1:12" x14ac:dyDescent="0.3">
      <c r="A292">
        <v>2020</v>
      </c>
      <c r="B292" s="2" t="s">
        <v>18</v>
      </c>
      <c r="C292" t="s">
        <v>17</v>
      </c>
      <c r="D292" t="s">
        <v>12</v>
      </c>
      <c r="E292">
        <v>6.53</v>
      </c>
      <c r="F292">
        <v>148</v>
      </c>
      <c r="G292">
        <v>2.89</v>
      </c>
      <c r="H292" s="3">
        <f t="shared" si="16"/>
        <v>43862</v>
      </c>
      <c r="I292">
        <f>MONTH(Table1[[#This Row],[Date]])</f>
        <v>2</v>
      </c>
      <c r="J292" t="str">
        <f t="shared" si="17"/>
        <v>Q1</v>
      </c>
      <c r="K292" t="str">
        <f t="shared" si="18"/>
        <v>Feb-2020</v>
      </c>
      <c r="L292" t="str">
        <f t="shared" si="19"/>
        <v>Low</v>
      </c>
    </row>
    <row r="293" spans="1:12" x14ac:dyDescent="0.3">
      <c r="A293">
        <v>2020</v>
      </c>
      <c r="B293" s="2" t="s">
        <v>18</v>
      </c>
      <c r="C293" t="s">
        <v>17</v>
      </c>
      <c r="D293" t="s">
        <v>13</v>
      </c>
      <c r="E293">
        <v>10.07</v>
      </c>
      <c r="F293">
        <v>150</v>
      </c>
      <c r="G293">
        <v>2.97</v>
      </c>
      <c r="H293" s="3">
        <f t="shared" si="16"/>
        <v>43862</v>
      </c>
      <c r="I293">
        <f>MONTH(Table1[[#This Row],[Date]])</f>
        <v>2</v>
      </c>
      <c r="J293" t="str">
        <f t="shared" si="17"/>
        <v>Q1</v>
      </c>
      <c r="K293" t="str">
        <f t="shared" si="18"/>
        <v>Feb-2020</v>
      </c>
      <c r="L293" t="str">
        <f t="shared" si="19"/>
        <v>Low</v>
      </c>
    </row>
    <row r="294" spans="1:12" x14ac:dyDescent="0.3">
      <c r="A294">
        <v>2020</v>
      </c>
      <c r="B294" s="2" t="s">
        <v>18</v>
      </c>
      <c r="C294" t="s">
        <v>17</v>
      </c>
      <c r="D294" t="s">
        <v>14</v>
      </c>
      <c r="E294">
        <v>6.84</v>
      </c>
      <c r="F294">
        <v>152</v>
      </c>
      <c r="G294">
        <v>3.05</v>
      </c>
      <c r="H294" s="3">
        <f t="shared" si="16"/>
        <v>43862</v>
      </c>
      <c r="I294">
        <f>MONTH(Table1[[#This Row],[Date]])</f>
        <v>2</v>
      </c>
      <c r="J294" t="str">
        <f t="shared" si="17"/>
        <v>Q1</v>
      </c>
      <c r="K294" t="str">
        <f t="shared" si="18"/>
        <v>Feb-2020</v>
      </c>
      <c r="L294" t="str">
        <f t="shared" si="19"/>
        <v>Medium</v>
      </c>
    </row>
    <row r="295" spans="1:12" x14ac:dyDescent="0.3">
      <c r="A295">
        <v>2020</v>
      </c>
      <c r="B295" s="2" t="s">
        <v>18</v>
      </c>
      <c r="C295" t="s">
        <v>17</v>
      </c>
      <c r="D295" t="s">
        <v>15</v>
      </c>
      <c r="E295">
        <v>28.32</v>
      </c>
      <c r="F295">
        <v>154</v>
      </c>
      <c r="G295">
        <v>3.13</v>
      </c>
      <c r="H295" s="3">
        <f t="shared" si="16"/>
        <v>43862</v>
      </c>
      <c r="I295">
        <f>MONTH(Table1[[#This Row],[Date]])</f>
        <v>2</v>
      </c>
      <c r="J295" t="str">
        <f t="shared" si="17"/>
        <v>Q1</v>
      </c>
      <c r="K295" t="str">
        <f t="shared" si="18"/>
        <v>Feb-2020</v>
      </c>
      <c r="L295" t="str">
        <f t="shared" si="19"/>
        <v>Medium</v>
      </c>
    </row>
    <row r="296" spans="1:12" x14ac:dyDescent="0.3">
      <c r="A296">
        <v>2020</v>
      </c>
      <c r="B296" s="2" t="s">
        <v>19</v>
      </c>
      <c r="C296" t="s">
        <v>8</v>
      </c>
      <c r="D296" t="s">
        <v>9</v>
      </c>
      <c r="E296">
        <v>100</v>
      </c>
      <c r="F296">
        <v>141.19999999999999</v>
      </c>
      <c r="G296">
        <v>2.8</v>
      </c>
      <c r="H296" s="3">
        <f t="shared" si="16"/>
        <v>43891</v>
      </c>
      <c r="I296">
        <f>MONTH(Table1[[#This Row],[Date]])</f>
        <v>3</v>
      </c>
      <c r="J296" t="str">
        <f t="shared" si="17"/>
        <v>Q1</v>
      </c>
      <c r="K296" t="str">
        <f t="shared" si="18"/>
        <v>Mar-2020</v>
      </c>
      <c r="L296" t="str">
        <f t="shared" si="19"/>
        <v>Low</v>
      </c>
    </row>
    <row r="297" spans="1:12" x14ac:dyDescent="0.3">
      <c r="A297">
        <v>2020</v>
      </c>
      <c r="B297" s="2" t="s">
        <v>19</v>
      </c>
      <c r="C297" t="s">
        <v>8</v>
      </c>
      <c r="D297" t="s">
        <v>10</v>
      </c>
      <c r="E297">
        <v>45.86</v>
      </c>
      <c r="F297">
        <v>143.19999999999999</v>
      </c>
      <c r="G297">
        <v>2.88</v>
      </c>
      <c r="H297" s="3">
        <f t="shared" si="16"/>
        <v>43891</v>
      </c>
      <c r="I297">
        <f>MONTH(Table1[[#This Row],[Date]])</f>
        <v>3</v>
      </c>
      <c r="J297" t="str">
        <f t="shared" si="17"/>
        <v>Q1</v>
      </c>
      <c r="K297" t="str">
        <f t="shared" si="18"/>
        <v>Mar-2020</v>
      </c>
      <c r="L297" t="str">
        <f t="shared" si="19"/>
        <v>Low</v>
      </c>
    </row>
    <row r="298" spans="1:12" x14ac:dyDescent="0.3">
      <c r="A298">
        <v>2020</v>
      </c>
      <c r="B298" s="2" t="s">
        <v>19</v>
      </c>
      <c r="C298" t="s">
        <v>8</v>
      </c>
      <c r="D298" t="s">
        <v>11</v>
      </c>
      <c r="E298">
        <v>2.38</v>
      </c>
      <c r="F298">
        <v>145.19999999999999</v>
      </c>
      <c r="G298">
        <v>2.96</v>
      </c>
      <c r="H298" s="3">
        <f t="shared" si="16"/>
        <v>43891</v>
      </c>
      <c r="I298">
        <f>MONTH(Table1[[#This Row],[Date]])</f>
        <v>3</v>
      </c>
      <c r="J298" t="str">
        <f t="shared" si="17"/>
        <v>Q1</v>
      </c>
      <c r="K298" t="str">
        <f t="shared" si="18"/>
        <v>Mar-2020</v>
      </c>
      <c r="L298" t="str">
        <f t="shared" si="19"/>
        <v>Low</v>
      </c>
    </row>
    <row r="299" spans="1:12" x14ac:dyDescent="0.3">
      <c r="A299">
        <v>2020</v>
      </c>
      <c r="B299" s="2" t="s">
        <v>19</v>
      </c>
      <c r="C299" t="s">
        <v>8</v>
      </c>
      <c r="D299" t="s">
        <v>12</v>
      </c>
      <c r="E299">
        <v>6.53</v>
      </c>
      <c r="F299">
        <v>147.19999999999999</v>
      </c>
      <c r="G299">
        <v>3.04</v>
      </c>
      <c r="H299" s="3">
        <f t="shared" si="16"/>
        <v>43891</v>
      </c>
      <c r="I299">
        <f>MONTH(Table1[[#This Row],[Date]])</f>
        <v>3</v>
      </c>
      <c r="J299" t="str">
        <f t="shared" si="17"/>
        <v>Q1</v>
      </c>
      <c r="K299" t="str">
        <f t="shared" si="18"/>
        <v>Mar-2020</v>
      </c>
      <c r="L299" t="str">
        <f t="shared" si="19"/>
        <v>Medium</v>
      </c>
    </row>
    <row r="300" spans="1:12" x14ac:dyDescent="0.3">
      <c r="A300">
        <v>2020</v>
      </c>
      <c r="B300" s="2" t="s">
        <v>19</v>
      </c>
      <c r="C300" t="s">
        <v>8</v>
      </c>
      <c r="D300" t="s">
        <v>13</v>
      </c>
      <c r="E300">
        <v>10.07</v>
      </c>
      <c r="F300">
        <v>149.19999999999999</v>
      </c>
      <c r="G300">
        <v>3.12</v>
      </c>
      <c r="H300" s="3">
        <f t="shared" si="16"/>
        <v>43891</v>
      </c>
      <c r="I300">
        <f>MONTH(Table1[[#This Row],[Date]])</f>
        <v>3</v>
      </c>
      <c r="J300" t="str">
        <f t="shared" si="17"/>
        <v>Q1</v>
      </c>
      <c r="K300" t="str">
        <f t="shared" si="18"/>
        <v>Mar-2020</v>
      </c>
      <c r="L300" t="str">
        <f t="shared" si="19"/>
        <v>Medium</v>
      </c>
    </row>
    <row r="301" spans="1:12" x14ac:dyDescent="0.3">
      <c r="A301">
        <v>2020</v>
      </c>
      <c r="B301" s="2" t="s">
        <v>19</v>
      </c>
      <c r="C301" t="s">
        <v>8</v>
      </c>
      <c r="D301" t="s">
        <v>14</v>
      </c>
      <c r="E301">
        <v>6.84</v>
      </c>
      <c r="F301">
        <v>151.19999999999999</v>
      </c>
      <c r="G301">
        <v>3.2</v>
      </c>
      <c r="H301" s="3">
        <f t="shared" si="16"/>
        <v>43891</v>
      </c>
      <c r="I301">
        <f>MONTH(Table1[[#This Row],[Date]])</f>
        <v>3</v>
      </c>
      <c r="J301" t="str">
        <f t="shared" si="17"/>
        <v>Q1</v>
      </c>
      <c r="K301" t="str">
        <f t="shared" si="18"/>
        <v>Mar-2020</v>
      </c>
      <c r="L301" t="str">
        <f t="shared" si="19"/>
        <v>Medium</v>
      </c>
    </row>
    <row r="302" spans="1:12" x14ac:dyDescent="0.3">
      <c r="A302">
        <v>2020</v>
      </c>
      <c r="B302" s="2" t="s">
        <v>19</v>
      </c>
      <c r="C302" t="s">
        <v>8</v>
      </c>
      <c r="D302" t="s">
        <v>15</v>
      </c>
      <c r="E302">
        <v>28.32</v>
      </c>
      <c r="F302">
        <v>153.19999999999999</v>
      </c>
      <c r="G302">
        <v>3.28</v>
      </c>
      <c r="H302" s="3">
        <f t="shared" si="16"/>
        <v>43891</v>
      </c>
      <c r="I302">
        <f>MONTH(Table1[[#This Row],[Date]])</f>
        <v>3</v>
      </c>
      <c r="J302" t="str">
        <f t="shared" si="17"/>
        <v>Q1</v>
      </c>
      <c r="K302" t="str">
        <f t="shared" si="18"/>
        <v>Mar-2020</v>
      </c>
      <c r="L302" t="str">
        <f t="shared" si="19"/>
        <v>Medium</v>
      </c>
    </row>
    <row r="303" spans="1:12" x14ac:dyDescent="0.3">
      <c r="A303">
        <v>2020</v>
      </c>
      <c r="B303" s="2" t="s">
        <v>19</v>
      </c>
      <c r="C303" t="s">
        <v>16</v>
      </c>
      <c r="D303" t="s">
        <v>9</v>
      </c>
      <c r="E303">
        <v>100</v>
      </c>
      <c r="F303">
        <v>141.80000000000001</v>
      </c>
      <c r="G303">
        <v>2.8</v>
      </c>
      <c r="H303" s="3">
        <f t="shared" si="16"/>
        <v>43891</v>
      </c>
      <c r="I303">
        <f>MONTH(Table1[[#This Row],[Date]])</f>
        <v>3</v>
      </c>
      <c r="J303" t="str">
        <f t="shared" si="17"/>
        <v>Q1</v>
      </c>
      <c r="K303" t="str">
        <f t="shared" si="18"/>
        <v>Mar-2020</v>
      </c>
      <c r="L303" t="str">
        <f t="shared" si="19"/>
        <v>Low</v>
      </c>
    </row>
    <row r="304" spans="1:12" x14ac:dyDescent="0.3">
      <c r="A304">
        <v>2020</v>
      </c>
      <c r="B304" s="2" t="s">
        <v>19</v>
      </c>
      <c r="C304" t="s">
        <v>16</v>
      </c>
      <c r="D304" t="s">
        <v>10</v>
      </c>
      <c r="E304">
        <v>45.86</v>
      </c>
      <c r="F304">
        <v>143.80000000000001</v>
      </c>
      <c r="G304">
        <v>2.88</v>
      </c>
      <c r="H304" s="3">
        <f t="shared" si="16"/>
        <v>43891</v>
      </c>
      <c r="I304">
        <f>MONTH(Table1[[#This Row],[Date]])</f>
        <v>3</v>
      </c>
      <c r="J304" t="str">
        <f t="shared" si="17"/>
        <v>Q1</v>
      </c>
      <c r="K304" t="str">
        <f t="shared" si="18"/>
        <v>Mar-2020</v>
      </c>
      <c r="L304" t="str">
        <f t="shared" si="19"/>
        <v>Low</v>
      </c>
    </row>
    <row r="305" spans="1:12" x14ac:dyDescent="0.3">
      <c r="A305">
        <v>2020</v>
      </c>
      <c r="B305" s="2" t="s">
        <v>19</v>
      </c>
      <c r="C305" t="s">
        <v>16</v>
      </c>
      <c r="D305" t="s">
        <v>11</v>
      </c>
      <c r="E305">
        <v>2.38</v>
      </c>
      <c r="F305">
        <v>145.80000000000001</v>
      </c>
      <c r="G305">
        <v>2.96</v>
      </c>
      <c r="H305" s="3">
        <f t="shared" si="16"/>
        <v>43891</v>
      </c>
      <c r="I305">
        <f>MONTH(Table1[[#This Row],[Date]])</f>
        <v>3</v>
      </c>
      <c r="J305" t="str">
        <f t="shared" si="17"/>
        <v>Q1</v>
      </c>
      <c r="K305" t="str">
        <f t="shared" si="18"/>
        <v>Mar-2020</v>
      </c>
      <c r="L305" t="str">
        <f t="shared" si="19"/>
        <v>Low</v>
      </c>
    </row>
    <row r="306" spans="1:12" x14ac:dyDescent="0.3">
      <c r="A306">
        <v>2020</v>
      </c>
      <c r="B306" s="2" t="s">
        <v>19</v>
      </c>
      <c r="C306" t="s">
        <v>16</v>
      </c>
      <c r="D306" t="s">
        <v>12</v>
      </c>
      <c r="E306">
        <v>6.53</v>
      </c>
      <c r="F306">
        <v>147.80000000000001</v>
      </c>
      <c r="G306">
        <v>3.04</v>
      </c>
      <c r="H306" s="3">
        <f t="shared" si="16"/>
        <v>43891</v>
      </c>
      <c r="I306">
        <f>MONTH(Table1[[#This Row],[Date]])</f>
        <v>3</v>
      </c>
      <c r="J306" t="str">
        <f t="shared" si="17"/>
        <v>Q1</v>
      </c>
      <c r="K306" t="str">
        <f t="shared" si="18"/>
        <v>Mar-2020</v>
      </c>
      <c r="L306" t="str">
        <f t="shared" si="19"/>
        <v>Medium</v>
      </c>
    </row>
    <row r="307" spans="1:12" x14ac:dyDescent="0.3">
      <c r="A307">
        <v>2020</v>
      </c>
      <c r="B307" s="2" t="s">
        <v>19</v>
      </c>
      <c r="C307" t="s">
        <v>16</v>
      </c>
      <c r="D307" t="s">
        <v>13</v>
      </c>
      <c r="E307">
        <v>10.07</v>
      </c>
      <c r="F307">
        <v>149.80000000000001</v>
      </c>
      <c r="G307">
        <v>3.12</v>
      </c>
      <c r="H307" s="3">
        <f t="shared" si="16"/>
        <v>43891</v>
      </c>
      <c r="I307">
        <f>MONTH(Table1[[#This Row],[Date]])</f>
        <v>3</v>
      </c>
      <c r="J307" t="str">
        <f t="shared" si="17"/>
        <v>Q1</v>
      </c>
      <c r="K307" t="str">
        <f t="shared" si="18"/>
        <v>Mar-2020</v>
      </c>
      <c r="L307" t="str">
        <f t="shared" si="19"/>
        <v>Medium</v>
      </c>
    </row>
    <row r="308" spans="1:12" x14ac:dyDescent="0.3">
      <c r="A308">
        <v>2020</v>
      </c>
      <c r="B308" s="2" t="s">
        <v>19</v>
      </c>
      <c r="C308" t="s">
        <v>16</v>
      </c>
      <c r="D308" t="s">
        <v>14</v>
      </c>
      <c r="E308">
        <v>6.84</v>
      </c>
      <c r="F308">
        <v>151.80000000000001</v>
      </c>
      <c r="G308">
        <v>3.2</v>
      </c>
      <c r="H308" s="3">
        <f t="shared" si="16"/>
        <v>43891</v>
      </c>
      <c r="I308">
        <f>MONTH(Table1[[#This Row],[Date]])</f>
        <v>3</v>
      </c>
      <c r="J308" t="str">
        <f t="shared" si="17"/>
        <v>Q1</v>
      </c>
      <c r="K308" t="str">
        <f t="shared" si="18"/>
        <v>Mar-2020</v>
      </c>
      <c r="L308" t="str">
        <f t="shared" si="19"/>
        <v>Medium</v>
      </c>
    </row>
    <row r="309" spans="1:12" x14ac:dyDescent="0.3">
      <c r="A309">
        <v>2020</v>
      </c>
      <c r="B309" s="2" t="s">
        <v>19</v>
      </c>
      <c r="C309" t="s">
        <v>16</v>
      </c>
      <c r="D309" t="s">
        <v>15</v>
      </c>
      <c r="E309">
        <v>28.32</v>
      </c>
      <c r="F309">
        <v>153.80000000000001</v>
      </c>
      <c r="G309">
        <v>3.28</v>
      </c>
      <c r="H309" s="3">
        <f t="shared" si="16"/>
        <v>43891</v>
      </c>
      <c r="I309">
        <f>MONTH(Table1[[#This Row],[Date]])</f>
        <v>3</v>
      </c>
      <c r="J309" t="str">
        <f t="shared" si="17"/>
        <v>Q1</v>
      </c>
      <c r="K309" t="str">
        <f t="shared" si="18"/>
        <v>Mar-2020</v>
      </c>
      <c r="L309" t="str">
        <f t="shared" si="19"/>
        <v>Medium</v>
      </c>
    </row>
    <row r="310" spans="1:12" x14ac:dyDescent="0.3">
      <c r="A310">
        <v>2020</v>
      </c>
      <c r="B310" s="2" t="s">
        <v>19</v>
      </c>
      <c r="C310" t="s">
        <v>17</v>
      </c>
      <c r="D310" t="s">
        <v>9</v>
      </c>
      <c r="E310">
        <v>100</v>
      </c>
      <c r="F310">
        <v>142.4</v>
      </c>
      <c r="G310">
        <v>2.8</v>
      </c>
      <c r="H310" s="3">
        <f t="shared" si="16"/>
        <v>43891</v>
      </c>
      <c r="I310">
        <f>MONTH(Table1[[#This Row],[Date]])</f>
        <v>3</v>
      </c>
      <c r="J310" t="str">
        <f t="shared" si="17"/>
        <v>Q1</v>
      </c>
      <c r="K310" t="str">
        <f t="shared" si="18"/>
        <v>Mar-2020</v>
      </c>
      <c r="L310" t="str">
        <f t="shared" si="19"/>
        <v>Low</v>
      </c>
    </row>
    <row r="311" spans="1:12" x14ac:dyDescent="0.3">
      <c r="A311">
        <v>2020</v>
      </c>
      <c r="B311" s="2" t="s">
        <v>19</v>
      </c>
      <c r="C311" t="s">
        <v>17</v>
      </c>
      <c r="D311" t="s">
        <v>10</v>
      </c>
      <c r="E311">
        <v>45.86</v>
      </c>
      <c r="F311">
        <v>144.4</v>
      </c>
      <c r="G311">
        <v>2.88</v>
      </c>
      <c r="H311" s="3">
        <f t="shared" si="16"/>
        <v>43891</v>
      </c>
      <c r="I311">
        <f>MONTH(Table1[[#This Row],[Date]])</f>
        <v>3</v>
      </c>
      <c r="J311" t="str">
        <f t="shared" si="17"/>
        <v>Q1</v>
      </c>
      <c r="K311" t="str">
        <f t="shared" si="18"/>
        <v>Mar-2020</v>
      </c>
      <c r="L311" t="str">
        <f t="shared" si="19"/>
        <v>Low</v>
      </c>
    </row>
    <row r="312" spans="1:12" x14ac:dyDescent="0.3">
      <c r="A312">
        <v>2020</v>
      </c>
      <c r="B312" s="2" t="s">
        <v>19</v>
      </c>
      <c r="C312" t="s">
        <v>17</v>
      </c>
      <c r="D312" t="s">
        <v>11</v>
      </c>
      <c r="E312">
        <v>2.38</v>
      </c>
      <c r="F312">
        <v>146.4</v>
      </c>
      <c r="G312">
        <v>2.96</v>
      </c>
      <c r="H312" s="3">
        <f t="shared" si="16"/>
        <v>43891</v>
      </c>
      <c r="I312">
        <f>MONTH(Table1[[#This Row],[Date]])</f>
        <v>3</v>
      </c>
      <c r="J312" t="str">
        <f t="shared" si="17"/>
        <v>Q1</v>
      </c>
      <c r="K312" t="str">
        <f t="shared" si="18"/>
        <v>Mar-2020</v>
      </c>
      <c r="L312" t="str">
        <f t="shared" si="19"/>
        <v>Low</v>
      </c>
    </row>
    <row r="313" spans="1:12" x14ac:dyDescent="0.3">
      <c r="A313">
        <v>2020</v>
      </c>
      <c r="B313" s="2" t="s">
        <v>19</v>
      </c>
      <c r="C313" t="s">
        <v>17</v>
      </c>
      <c r="D313" t="s">
        <v>12</v>
      </c>
      <c r="E313">
        <v>6.53</v>
      </c>
      <c r="F313">
        <v>148.4</v>
      </c>
      <c r="G313">
        <v>3.04</v>
      </c>
      <c r="H313" s="3">
        <f t="shared" si="16"/>
        <v>43891</v>
      </c>
      <c r="I313">
        <f>MONTH(Table1[[#This Row],[Date]])</f>
        <v>3</v>
      </c>
      <c r="J313" t="str">
        <f t="shared" si="17"/>
        <v>Q1</v>
      </c>
      <c r="K313" t="str">
        <f t="shared" si="18"/>
        <v>Mar-2020</v>
      </c>
      <c r="L313" t="str">
        <f t="shared" si="19"/>
        <v>Medium</v>
      </c>
    </row>
    <row r="314" spans="1:12" x14ac:dyDescent="0.3">
      <c r="A314">
        <v>2020</v>
      </c>
      <c r="B314" s="2" t="s">
        <v>19</v>
      </c>
      <c r="C314" t="s">
        <v>17</v>
      </c>
      <c r="D314" t="s">
        <v>13</v>
      </c>
      <c r="E314">
        <v>10.07</v>
      </c>
      <c r="F314">
        <v>150.4</v>
      </c>
      <c r="G314">
        <v>3.12</v>
      </c>
      <c r="H314" s="3">
        <f t="shared" si="16"/>
        <v>43891</v>
      </c>
      <c r="I314">
        <f>MONTH(Table1[[#This Row],[Date]])</f>
        <v>3</v>
      </c>
      <c r="J314" t="str">
        <f t="shared" si="17"/>
        <v>Q1</v>
      </c>
      <c r="K314" t="str">
        <f t="shared" si="18"/>
        <v>Mar-2020</v>
      </c>
      <c r="L314" t="str">
        <f t="shared" si="19"/>
        <v>Medium</v>
      </c>
    </row>
    <row r="315" spans="1:12" x14ac:dyDescent="0.3">
      <c r="A315">
        <v>2020</v>
      </c>
      <c r="B315" s="2" t="s">
        <v>19</v>
      </c>
      <c r="C315" t="s">
        <v>17</v>
      </c>
      <c r="D315" t="s">
        <v>14</v>
      </c>
      <c r="E315">
        <v>6.84</v>
      </c>
      <c r="F315">
        <v>152.4</v>
      </c>
      <c r="G315">
        <v>3.2</v>
      </c>
      <c r="H315" s="3">
        <f t="shared" si="16"/>
        <v>43891</v>
      </c>
      <c r="I315">
        <f>MONTH(Table1[[#This Row],[Date]])</f>
        <v>3</v>
      </c>
      <c r="J315" t="str">
        <f t="shared" si="17"/>
        <v>Q1</v>
      </c>
      <c r="K315" t="str">
        <f t="shared" si="18"/>
        <v>Mar-2020</v>
      </c>
      <c r="L315" t="str">
        <f t="shared" si="19"/>
        <v>Medium</v>
      </c>
    </row>
    <row r="316" spans="1:12" x14ac:dyDescent="0.3">
      <c r="A316">
        <v>2020</v>
      </c>
      <c r="B316" s="2" t="s">
        <v>19</v>
      </c>
      <c r="C316" t="s">
        <v>17</v>
      </c>
      <c r="D316" t="s">
        <v>15</v>
      </c>
      <c r="E316">
        <v>28.32</v>
      </c>
      <c r="F316">
        <v>154.4</v>
      </c>
      <c r="G316">
        <v>3.28</v>
      </c>
      <c r="H316" s="3">
        <f t="shared" si="16"/>
        <v>43891</v>
      </c>
      <c r="I316">
        <f>MONTH(Table1[[#This Row],[Date]])</f>
        <v>3</v>
      </c>
      <c r="J316" t="str">
        <f t="shared" si="17"/>
        <v>Q1</v>
      </c>
      <c r="K316" t="str">
        <f t="shared" si="18"/>
        <v>Mar-2020</v>
      </c>
      <c r="L316" t="str">
        <f t="shared" si="19"/>
        <v>Medium</v>
      </c>
    </row>
    <row r="317" spans="1:12" x14ac:dyDescent="0.3">
      <c r="A317">
        <v>2020</v>
      </c>
      <c r="B317" s="2" t="s">
        <v>20</v>
      </c>
      <c r="C317" t="s">
        <v>8</v>
      </c>
      <c r="D317" t="s">
        <v>9</v>
      </c>
      <c r="E317">
        <v>100</v>
      </c>
      <c r="F317">
        <v>141.6</v>
      </c>
      <c r="G317">
        <v>2.95</v>
      </c>
      <c r="H317" s="3">
        <f t="shared" si="16"/>
        <v>43922</v>
      </c>
      <c r="I317">
        <f>MONTH(Table1[[#This Row],[Date]])</f>
        <v>4</v>
      </c>
      <c r="J317" t="str">
        <f t="shared" si="17"/>
        <v>Q2</v>
      </c>
      <c r="K317" t="str">
        <f t="shared" si="18"/>
        <v>Apr-2020</v>
      </c>
      <c r="L317" t="str">
        <f t="shared" si="19"/>
        <v>Low</v>
      </c>
    </row>
    <row r="318" spans="1:12" x14ac:dyDescent="0.3">
      <c r="A318">
        <v>2020</v>
      </c>
      <c r="B318" s="2" t="s">
        <v>20</v>
      </c>
      <c r="C318" t="s">
        <v>8</v>
      </c>
      <c r="D318" t="s">
        <v>10</v>
      </c>
      <c r="E318">
        <v>45.86</v>
      </c>
      <c r="F318">
        <v>143.6</v>
      </c>
      <c r="G318">
        <v>3.03</v>
      </c>
      <c r="H318" s="3">
        <f t="shared" si="16"/>
        <v>43922</v>
      </c>
      <c r="I318">
        <f>MONTH(Table1[[#This Row],[Date]])</f>
        <v>4</v>
      </c>
      <c r="J318" t="str">
        <f t="shared" si="17"/>
        <v>Q2</v>
      </c>
      <c r="K318" t="str">
        <f t="shared" si="18"/>
        <v>Apr-2020</v>
      </c>
      <c r="L318" t="str">
        <f t="shared" si="19"/>
        <v>Medium</v>
      </c>
    </row>
    <row r="319" spans="1:12" x14ac:dyDescent="0.3">
      <c r="A319">
        <v>2020</v>
      </c>
      <c r="B319" s="2" t="s">
        <v>20</v>
      </c>
      <c r="C319" t="s">
        <v>8</v>
      </c>
      <c r="D319" t="s">
        <v>11</v>
      </c>
      <c r="E319">
        <v>2.38</v>
      </c>
      <c r="F319">
        <v>145.6</v>
      </c>
      <c r="G319">
        <v>3.11</v>
      </c>
      <c r="H319" s="3">
        <f t="shared" si="16"/>
        <v>43922</v>
      </c>
      <c r="I319">
        <f>MONTH(Table1[[#This Row],[Date]])</f>
        <v>4</v>
      </c>
      <c r="J319" t="str">
        <f t="shared" si="17"/>
        <v>Q2</v>
      </c>
      <c r="K319" t="str">
        <f t="shared" si="18"/>
        <v>Apr-2020</v>
      </c>
      <c r="L319" t="str">
        <f t="shared" si="19"/>
        <v>Medium</v>
      </c>
    </row>
    <row r="320" spans="1:12" x14ac:dyDescent="0.3">
      <c r="A320">
        <v>2020</v>
      </c>
      <c r="B320" s="2" t="s">
        <v>20</v>
      </c>
      <c r="C320" t="s">
        <v>8</v>
      </c>
      <c r="D320" t="s">
        <v>12</v>
      </c>
      <c r="E320">
        <v>6.53</v>
      </c>
      <c r="F320">
        <v>147.6</v>
      </c>
      <c r="G320">
        <v>3.19</v>
      </c>
      <c r="H320" s="3">
        <f t="shared" si="16"/>
        <v>43922</v>
      </c>
      <c r="I320">
        <f>MONTH(Table1[[#This Row],[Date]])</f>
        <v>4</v>
      </c>
      <c r="J320" t="str">
        <f t="shared" si="17"/>
        <v>Q2</v>
      </c>
      <c r="K320" t="str">
        <f t="shared" si="18"/>
        <v>Apr-2020</v>
      </c>
      <c r="L320" t="str">
        <f t="shared" si="19"/>
        <v>Medium</v>
      </c>
    </row>
    <row r="321" spans="1:12" x14ac:dyDescent="0.3">
      <c r="A321">
        <v>2020</v>
      </c>
      <c r="B321" s="2" t="s">
        <v>20</v>
      </c>
      <c r="C321" t="s">
        <v>8</v>
      </c>
      <c r="D321" t="s">
        <v>13</v>
      </c>
      <c r="E321">
        <v>10.07</v>
      </c>
      <c r="F321">
        <v>149.6</v>
      </c>
      <c r="G321">
        <v>3.27</v>
      </c>
      <c r="H321" s="3">
        <f t="shared" si="16"/>
        <v>43922</v>
      </c>
      <c r="I321">
        <f>MONTH(Table1[[#This Row],[Date]])</f>
        <v>4</v>
      </c>
      <c r="J321" t="str">
        <f t="shared" si="17"/>
        <v>Q2</v>
      </c>
      <c r="K321" t="str">
        <f t="shared" si="18"/>
        <v>Apr-2020</v>
      </c>
      <c r="L321" t="str">
        <f t="shared" si="19"/>
        <v>Medium</v>
      </c>
    </row>
    <row r="322" spans="1:12" x14ac:dyDescent="0.3">
      <c r="A322">
        <v>2020</v>
      </c>
      <c r="B322" s="2" t="s">
        <v>20</v>
      </c>
      <c r="C322" t="s">
        <v>8</v>
      </c>
      <c r="D322" t="s">
        <v>14</v>
      </c>
      <c r="E322">
        <v>6.84</v>
      </c>
      <c r="F322">
        <v>151.6</v>
      </c>
      <c r="G322">
        <v>3.35</v>
      </c>
      <c r="H322" s="3">
        <f t="shared" ref="H322:H385" si="20">DATE(A322,MONTH(DATEVALUE(B322&amp;" 1")),1)</f>
        <v>43922</v>
      </c>
      <c r="I322">
        <f>MONTH(Table1[[#This Row],[Date]])</f>
        <v>4</v>
      </c>
      <c r="J322" t="str">
        <f t="shared" ref="J322:J385" si="21">"Q"&amp;ROUNDUP(MONTH(H322)/3,0)</f>
        <v>Q2</v>
      </c>
      <c r="K322" t="str">
        <f t="shared" ref="K322:K385" si="22">TEXT(H322,"mmm-yyyy")</f>
        <v>Apr-2020</v>
      </c>
      <c r="L322" t="str">
        <f t="shared" ref="L322:L385" si="23">IF(G322&lt;3,"Low",IF(G322&lt;4,"Medium","High"))</f>
        <v>Medium</v>
      </c>
    </row>
    <row r="323" spans="1:12" x14ac:dyDescent="0.3">
      <c r="A323">
        <v>2020</v>
      </c>
      <c r="B323" s="2" t="s">
        <v>20</v>
      </c>
      <c r="C323" t="s">
        <v>8</v>
      </c>
      <c r="D323" t="s">
        <v>15</v>
      </c>
      <c r="E323">
        <v>28.32</v>
      </c>
      <c r="F323">
        <v>153.6</v>
      </c>
      <c r="G323">
        <v>3.43</v>
      </c>
      <c r="H323" s="3">
        <f t="shared" si="20"/>
        <v>43922</v>
      </c>
      <c r="I323">
        <f>MONTH(Table1[[#This Row],[Date]])</f>
        <v>4</v>
      </c>
      <c r="J323" t="str">
        <f t="shared" si="21"/>
        <v>Q2</v>
      </c>
      <c r="K323" t="str">
        <f t="shared" si="22"/>
        <v>Apr-2020</v>
      </c>
      <c r="L323" t="str">
        <f t="shared" si="23"/>
        <v>Medium</v>
      </c>
    </row>
    <row r="324" spans="1:12" x14ac:dyDescent="0.3">
      <c r="A324">
        <v>2020</v>
      </c>
      <c r="B324" s="2" t="s">
        <v>20</v>
      </c>
      <c r="C324" t="s">
        <v>16</v>
      </c>
      <c r="D324" t="s">
        <v>9</v>
      </c>
      <c r="E324">
        <v>100</v>
      </c>
      <c r="F324">
        <v>142.19999999999999</v>
      </c>
      <c r="G324">
        <v>2.95</v>
      </c>
      <c r="H324" s="3">
        <f t="shared" si="20"/>
        <v>43922</v>
      </c>
      <c r="I324">
        <f>MONTH(Table1[[#This Row],[Date]])</f>
        <v>4</v>
      </c>
      <c r="J324" t="str">
        <f t="shared" si="21"/>
        <v>Q2</v>
      </c>
      <c r="K324" t="str">
        <f t="shared" si="22"/>
        <v>Apr-2020</v>
      </c>
      <c r="L324" t="str">
        <f t="shared" si="23"/>
        <v>Low</v>
      </c>
    </row>
    <row r="325" spans="1:12" x14ac:dyDescent="0.3">
      <c r="A325">
        <v>2020</v>
      </c>
      <c r="B325" s="2" t="s">
        <v>20</v>
      </c>
      <c r="C325" t="s">
        <v>16</v>
      </c>
      <c r="D325" t="s">
        <v>10</v>
      </c>
      <c r="E325">
        <v>45.86</v>
      </c>
      <c r="F325">
        <v>144.19999999999999</v>
      </c>
      <c r="G325">
        <v>3.03</v>
      </c>
      <c r="H325" s="3">
        <f t="shared" si="20"/>
        <v>43922</v>
      </c>
      <c r="I325">
        <f>MONTH(Table1[[#This Row],[Date]])</f>
        <v>4</v>
      </c>
      <c r="J325" t="str">
        <f t="shared" si="21"/>
        <v>Q2</v>
      </c>
      <c r="K325" t="str">
        <f t="shared" si="22"/>
        <v>Apr-2020</v>
      </c>
      <c r="L325" t="str">
        <f t="shared" si="23"/>
        <v>Medium</v>
      </c>
    </row>
    <row r="326" spans="1:12" x14ac:dyDescent="0.3">
      <c r="A326">
        <v>2020</v>
      </c>
      <c r="B326" s="2" t="s">
        <v>20</v>
      </c>
      <c r="C326" t="s">
        <v>16</v>
      </c>
      <c r="D326" t="s">
        <v>11</v>
      </c>
      <c r="E326">
        <v>2.38</v>
      </c>
      <c r="F326">
        <v>146.19999999999999</v>
      </c>
      <c r="G326">
        <v>3.11</v>
      </c>
      <c r="H326" s="3">
        <f t="shared" si="20"/>
        <v>43922</v>
      </c>
      <c r="I326">
        <f>MONTH(Table1[[#This Row],[Date]])</f>
        <v>4</v>
      </c>
      <c r="J326" t="str">
        <f t="shared" si="21"/>
        <v>Q2</v>
      </c>
      <c r="K326" t="str">
        <f t="shared" si="22"/>
        <v>Apr-2020</v>
      </c>
      <c r="L326" t="str">
        <f t="shared" si="23"/>
        <v>Medium</v>
      </c>
    </row>
    <row r="327" spans="1:12" x14ac:dyDescent="0.3">
      <c r="A327">
        <v>2020</v>
      </c>
      <c r="B327" s="2" t="s">
        <v>20</v>
      </c>
      <c r="C327" t="s">
        <v>16</v>
      </c>
      <c r="D327" t="s">
        <v>12</v>
      </c>
      <c r="E327">
        <v>6.53</v>
      </c>
      <c r="F327">
        <v>148.19999999999999</v>
      </c>
      <c r="G327">
        <v>3.19</v>
      </c>
      <c r="H327" s="3">
        <f t="shared" si="20"/>
        <v>43922</v>
      </c>
      <c r="I327">
        <f>MONTH(Table1[[#This Row],[Date]])</f>
        <v>4</v>
      </c>
      <c r="J327" t="str">
        <f t="shared" si="21"/>
        <v>Q2</v>
      </c>
      <c r="K327" t="str">
        <f t="shared" si="22"/>
        <v>Apr-2020</v>
      </c>
      <c r="L327" t="str">
        <f t="shared" si="23"/>
        <v>Medium</v>
      </c>
    </row>
    <row r="328" spans="1:12" x14ac:dyDescent="0.3">
      <c r="A328">
        <v>2020</v>
      </c>
      <c r="B328" s="2" t="s">
        <v>20</v>
      </c>
      <c r="C328" t="s">
        <v>16</v>
      </c>
      <c r="D328" t="s">
        <v>13</v>
      </c>
      <c r="E328">
        <v>10.07</v>
      </c>
      <c r="F328">
        <v>150.19999999999999</v>
      </c>
      <c r="G328">
        <v>3.27</v>
      </c>
      <c r="H328" s="3">
        <f t="shared" si="20"/>
        <v>43922</v>
      </c>
      <c r="I328">
        <f>MONTH(Table1[[#This Row],[Date]])</f>
        <v>4</v>
      </c>
      <c r="J328" t="str">
        <f t="shared" si="21"/>
        <v>Q2</v>
      </c>
      <c r="K328" t="str">
        <f t="shared" si="22"/>
        <v>Apr-2020</v>
      </c>
      <c r="L328" t="str">
        <f t="shared" si="23"/>
        <v>Medium</v>
      </c>
    </row>
    <row r="329" spans="1:12" x14ac:dyDescent="0.3">
      <c r="A329">
        <v>2020</v>
      </c>
      <c r="B329" s="2" t="s">
        <v>20</v>
      </c>
      <c r="C329" t="s">
        <v>16</v>
      </c>
      <c r="D329" t="s">
        <v>14</v>
      </c>
      <c r="E329">
        <v>6.84</v>
      </c>
      <c r="F329">
        <v>152.19999999999999</v>
      </c>
      <c r="G329">
        <v>3.35</v>
      </c>
      <c r="H329" s="3">
        <f t="shared" si="20"/>
        <v>43922</v>
      </c>
      <c r="I329">
        <f>MONTH(Table1[[#This Row],[Date]])</f>
        <v>4</v>
      </c>
      <c r="J329" t="str">
        <f t="shared" si="21"/>
        <v>Q2</v>
      </c>
      <c r="K329" t="str">
        <f t="shared" si="22"/>
        <v>Apr-2020</v>
      </c>
      <c r="L329" t="str">
        <f t="shared" si="23"/>
        <v>Medium</v>
      </c>
    </row>
    <row r="330" spans="1:12" x14ac:dyDescent="0.3">
      <c r="A330">
        <v>2020</v>
      </c>
      <c r="B330" s="2" t="s">
        <v>20</v>
      </c>
      <c r="C330" t="s">
        <v>16</v>
      </c>
      <c r="D330" t="s">
        <v>15</v>
      </c>
      <c r="E330">
        <v>28.32</v>
      </c>
      <c r="F330">
        <v>154.19999999999999</v>
      </c>
      <c r="G330">
        <v>3.43</v>
      </c>
      <c r="H330" s="3">
        <f t="shared" si="20"/>
        <v>43922</v>
      </c>
      <c r="I330">
        <f>MONTH(Table1[[#This Row],[Date]])</f>
        <v>4</v>
      </c>
      <c r="J330" t="str">
        <f t="shared" si="21"/>
        <v>Q2</v>
      </c>
      <c r="K330" t="str">
        <f t="shared" si="22"/>
        <v>Apr-2020</v>
      </c>
      <c r="L330" t="str">
        <f t="shared" si="23"/>
        <v>Medium</v>
      </c>
    </row>
    <row r="331" spans="1:12" x14ac:dyDescent="0.3">
      <c r="A331">
        <v>2020</v>
      </c>
      <c r="B331" s="2" t="s">
        <v>20</v>
      </c>
      <c r="C331" t="s">
        <v>17</v>
      </c>
      <c r="D331" t="s">
        <v>9</v>
      </c>
      <c r="E331">
        <v>100</v>
      </c>
      <c r="F331">
        <v>142.80000000000001</v>
      </c>
      <c r="G331">
        <v>2.95</v>
      </c>
      <c r="H331" s="3">
        <f t="shared" si="20"/>
        <v>43922</v>
      </c>
      <c r="I331">
        <f>MONTH(Table1[[#This Row],[Date]])</f>
        <v>4</v>
      </c>
      <c r="J331" t="str">
        <f t="shared" si="21"/>
        <v>Q2</v>
      </c>
      <c r="K331" t="str">
        <f t="shared" si="22"/>
        <v>Apr-2020</v>
      </c>
      <c r="L331" t="str">
        <f t="shared" si="23"/>
        <v>Low</v>
      </c>
    </row>
    <row r="332" spans="1:12" x14ac:dyDescent="0.3">
      <c r="A332">
        <v>2020</v>
      </c>
      <c r="B332" s="2" t="s">
        <v>20</v>
      </c>
      <c r="C332" t="s">
        <v>17</v>
      </c>
      <c r="D332" t="s">
        <v>10</v>
      </c>
      <c r="E332">
        <v>45.86</v>
      </c>
      <c r="F332">
        <v>144.80000000000001</v>
      </c>
      <c r="G332">
        <v>3.03</v>
      </c>
      <c r="H332" s="3">
        <f t="shared" si="20"/>
        <v>43922</v>
      </c>
      <c r="I332">
        <f>MONTH(Table1[[#This Row],[Date]])</f>
        <v>4</v>
      </c>
      <c r="J332" t="str">
        <f t="shared" si="21"/>
        <v>Q2</v>
      </c>
      <c r="K332" t="str">
        <f t="shared" si="22"/>
        <v>Apr-2020</v>
      </c>
      <c r="L332" t="str">
        <f t="shared" si="23"/>
        <v>Medium</v>
      </c>
    </row>
    <row r="333" spans="1:12" x14ac:dyDescent="0.3">
      <c r="A333">
        <v>2020</v>
      </c>
      <c r="B333" s="2" t="s">
        <v>20</v>
      </c>
      <c r="C333" t="s">
        <v>17</v>
      </c>
      <c r="D333" t="s">
        <v>11</v>
      </c>
      <c r="E333">
        <v>2.38</v>
      </c>
      <c r="F333">
        <v>146.80000000000001</v>
      </c>
      <c r="G333">
        <v>3.11</v>
      </c>
      <c r="H333" s="3">
        <f t="shared" si="20"/>
        <v>43922</v>
      </c>
      <c r="I333">
        <f>MONTH(Table1[[#This Row],[Date]])</f>
        <v>4</v>
      </c>
      <c r="J333" t="str">
        <f t="shared" si="21"/>
        <v>Q2</v>
      </c>
      <c r="K333" t="str">
        <f t="shared" si="22"/>
        <v>Apr-2020</v>
      </c>
      <c r="L333" t="str">
        <f t="shared" si="23"/>
        <v>Medium</v>
      </c>
    </row>
    <row r="334" spans="1:12" x14ac:dyDescent="0.3">
      <c r="A334">
        <v>2020</v>
      </c>
      <c r="B334" s="2" t="s">
        <v>20</v>
      </c>
      <c r="C334" t="s">
        <v>17</v>
      </c>
      <c r="D334" t="s">
        <v>12</v>
      </c>
      <c r="E334">
        <v>6.53</v>
      </c>
      <c r="F334">
        <v>148.80000000000001</v>
      </c>
      <c r="G334">
        <v>3.19</v>
      </c>
      <c r="H334" s="3">
        <f t="shared" si="20"/>
        <v>43922</v>
      </c>
      <c r="I334">
        <f>MONTH(Table1[[#This Row],[Date]])</f>
        <v>4</v>
      </c>
      <c r="J334" t="str">
        <f t="shared" si="21"/>
        <v>Q2</v>
      </c>
      <c r="K334" t="str">
        <f t="shared" si="22"/>
        <v>Apr-2020</v>
      </c>
      <c r="L334" t="str">
        <f t="shared" si="23"/>
        <v>Medium</v>
      </c>
    </row>
    <row r="335" spans="1:12" x14ac:dyDescent="0.3">
      <c r="A335">
        <v>2020</v>
      </c>
      <c r="B335" s="2" t="s">
        <v>20</v>
      </c>
      <c r="C335" t="s">
        <v>17</v>
      </c>
      <c r="D335" t="s">
        <v>13</v>
      </c>
      <c r="E335">
        <v>10.07</v>
      </c>
      <c r="F335">
        <v>150.80000000000001</v>
      </c>
      <c r="G335">
        <v>3.27</v>
      </c>
      <c r="H335" s="3">
        <f t="shared" si="20"/>
        <v>43922</v>
      </c>
      <c r="I335">
        <f>MONTH(Table1[[#This Row],[Date]])</f>
        <v>4</v>
      </c>
      <c r="J335" t="str">
        <f t="shared" si="21"/>
        <v>Q2</v>
      </c>
      <c r="K335" t="str">
        <f t="shared" si="22"/>
        <v>Apr-2020</v>
      </c>
      <c r="L335" t="str">
        <f t="shared" si="23"/>
        <v>Medium</v>
      </c>
    </row>
    <row r="336" spans="1:12" x14ac:dyDescent="0.3">
      <c r="A336">
        <v>2020</v>
      </c>
      <c r="B336" s="2" t="s">
        <v>20</v>
      </c>
      <c r="C336" t="s">
        <v>17</v>
      </c>
      <c r="D336" t="s">
        <v>14</v>
      </c>
      <c r="E336">
        <v>6.84</v>
      </c>
      <c r="F336">
        <v>152.80000000000001</v>
      </c>
      <c r="G336">
        <v>3.35</v>
      </c>
      <c r="H336" s="3">
        <f t="shared" si="20"/>
        <v>43922</v>
      </c>
      <c r="I336">
        <f>MONTH(Table1[[#This Row],[Date]])</f>
        <v>4</v>
      </c>
      <c r="J336" t="str">
        <f t="shared" si="21"/>
        <v>Q2</v>
      </c>
      <c r="K336" t="str">
        <f t="shared" si="22"/>
        <v>Apr-2020</v>
      </c>
      <c r="L336" t="str">
        <f t="shared" si="23"/>
        <v>Medium</v>
      </c>
    </row>
    <row r="337" spans="1:12" x14ac:dyDescent="0.3">
      <c r="A337">
        <v>2020</v>
      </c>
      <c r="B337" s="2" t="s">
        <v>20</v>
      </c>
      <c r="C337" t="s">
        <v>17</v>
      </c>
      <c r="D337" t="s">
        <v>15</v>
      </c>
      <c r="E337">
        <v>28.32</v>
      </c>
      <c r="F337">
        <v>154.80000000000001</v>
      </c>
      <c r="G337">
        <v>3.43</v>
      </c>
      <c r="H337" s="3">
        <f t="shared" si="20"/>
        <v>43922</v>
      </c>
      <c r="I337">
        <f>MONTH(Table1[[#This Row],[Date]])</f>
        <v>4</v>
      </c>
      <c r="J337" t="str">
        <f t="shared" si="21"/>
        <v>Q2</v>
      </c>
      <c r="K337" t="str">
        <f t="shared" si="22"/>
        <v>Apr-2020</v>
      </c>
      <c r="L337" t="str">
        <f t="shared" si="23"/>
        <v>Medium</v>
      </c>
    </row>
    <row r="338" spans="1:12" x14ac:dyDescent="0.3">
      <c r="A338">
        <v>2020</v>
      </c>
      <c r="B338" s="2" t="s">
        <v>21</v>
      </c>
      <c r="C338" t="s">
        <v>8</v>
      </c>
      <c r="D338" t="s">
        <v>9</v>
      </c>
      <c r="E338">
        <v>100</v>
      </c>
      <c r="F338">
        <v>142</v>
      </c>
      <c r="G338">
        <v>3.1</v>
      </c>
      <c r="H338" s="3">
        <f t="shared" si="20"/>
        <v>43952</v>
      </c>
      <c r="I338">
        <f>MONTH(Table1[[#This Row],[Date]])</f>
        <v>5</v>
      </c>
      <c r="J338" t="str">
        <f t="shared" si="21"/>
        <v>Q2</v>
      </c>
      <c r="K338" t="str">
        <f t="shared" si="22"/>
        <v>May-2020</v>
      </c>
      <c r="L338" t="str">
        <f t="shared" si="23"/>
        <v>Medium</v>
      </c>
    </row>
    <row r="339" spans="1:12" x14ac:dyDescent="0.3">
      <c r="A339">
        <v>2020</v>
      </c>
      <c r="B339" s="2" t="s">
        <v>21</v>
      </c>
      <c r="C339" t="s">
        <v>8</v>
      </c>
      <c r="D339" t="s">
        <v>10</v>
      </c>
      <c r="E339">
        <v>45.86</v>
      </c>
      <c r="F339">
        <v>144</v>
      </c>
      <c r="G339">
        <v>3.18</v>
      </c>
      <c r="H339" s="3">
        <f t="shared" si="20"/>
        <v>43952</v>
      </c>
      <c r="I339">
        <f>MONTH(Table1[[#This Row],[Date]])</f>
        <v>5</v>
      </c>
      <c r="J339" t="str">
        <f t="shared" si="21"/>
        <v>Q2</v>
      </c>
      <c r="K339" t="str">
        <f t="shared" si="22"/>
        <v>May-2020</v>
      </c>
      <c r="L339" t="str">
        <f t="shared" si="23"/>
        <v>Medium</v>
      </c>
    </row>
    <row r="340" spans="1:12" x14ac:dyDescent="0.3">
      <c r="A340">
        <v>2020</v>
      </c>
      <c r="B340" s="2" t="s">
        <v>21</v>
      </c>
      <c r="C340" t="s">
        <v>8</v>
      </c>
      <c r="D340" t="s">
        <v>11</v>
      </c>
      <c r="E340">
        <v>2.38</v>
      </c>
      <c r="F340">
        <v>146</v>
      </c>
      <c r="G340">
        <v>3.26</v>
      </c>
      <c r="H340" s="3">
        <f t="shared" si="20"/>
        <v>43952</v>
      </c>
      <c r="I340">
        <f>MONTH(Table1[[#This Row],[Date]])</f>
        <v>5</v>
      </c>
      <c r="J340" t="str">
        <f t="shared" si="21"/>
        <v>Q2</v>
      </c>
      <c r="K340" t="str">
        <f t="shared" si="22"/>
        <v>May-2020</v>
      </c>
      <c r="L340" t="str">
        <f t="shared" si="23"/>
        <v>Medium</v>
      </c>
    </row>
    <row r="341" spans="1:12" x14ac:dyDescent="0.3">
      <c r="A341">
        <v>2020</v>
      </c>
      <c r="B341" s="2" t="s">
        <v>21</v>
      </c>
      <c r="C341" t="s">
        <v>8</v>
      </c>
      <c r="D341" t="s">
        <v>12</v>
      </c>
      <c r="E341">
        <v>6.53</v>
      </c>
      <c r="F341">
        <v>148</v>
      </c>
      <c r="G341">
        <v>3.34</v>
      </c>
      <c r="H341" s="3">
        <f t="shared" si="20"/>
        <v>43952</v>
      </c>
      <c r="I341">
        <f>MONTH(Table1[[#This Row],[Date]])</f>
        <v>5</v>
      </c>
      <c r="J341" t="str">
        <f t="shared" si="21"/>
        <v>Q2</v>
      </c>
      <c r="K341" t="str">
        <f t="shared" si="22"/>
        <v>May-2020</v>
      </c>
      <c r="L341" t="str">
        <f t="shared" si="23"/>
        <v>Medium</v>
      </c>
    </row>
    <row r="342" spans="1:12" x14ac:dyDescent="0.3">
      <c r="A342">
        <v>2020</v>
      </c>
      <c r="B342" s="2" t="s">
        <v>21</v>
      </c>
      <c r="C342" t="s">
        <v>8</v>
      </c>
      <c r="D342" t="s">
        <v>13</v>
      </c>
      <c r="E342">
        <v>10.07</v>
      </c>
      <c r="F342">
        <v>150</v>
      </c>
      <c r="G342">
        <v>3.42</v>
      </c>
      <c r="H342" s="3">
        <f t="shared" si="20"/>
        <v>43952</v>
      </c>
      <c r="I342">
        <f>MONTH(Table1[[#This Row],[Date]])</f>
        <v>5</v>
      </c>
      <c r="J342" t="str">
        <f t="shared" si="21"/>
        <v>Q2</v>
      </c>
      <c r="K342" t="str">
        <f t="shared" si="22"/>
        <v>May-2020</v>
      </c>
      <c r="L342" t="str">
        <f t="shared" si="23"/>
        <v>Medium</v>
      </c>
    </row>
    <row r="343" spans="1:12" x14ac:dyDescent="0.3">
      <c r="A343">
        <v>2020</v>
      </c>
      <c r="B343" s="2" t="s">
        <v>21</v>
      </c>
      <c r="C343" t="s">
        <v>8</v>
      </c>
      <c r="D343" t="s">
        <v>14</v>
      </c>
      <c r="E343">
        <v>6.84</v>
      </c>
      <c r="F343">
        <v>152</v>
      </c>
      <c r="G343">
        <v>3.5</v>
      </c>
      <c r="H343" s="3">
        <f t="shared" si="20"/>
        <v>43952</v>
      </c>
      <c r="I343">
        <f>MONTH(Table1[[#This Row],[Date]])</f>
        <v>5</v>
      </c>
      <c r="J343" t="str">
        <f t="shared" si="21"/>
        <v>Q2</v>
      </c>
      <c r="K343" t="str">
        <f t="shared" si="22"/>
        <v>May-2020</v>
      </c>
      <c r="L343" t="str">
        <f t="shared" si="23"/>
        <v>Medium</v>
      </c>
    </row>
    <row r="344" spans="1:12" x14ac:dyDescent="0.3">
      <c r="A344">
        <v>2020</v>
      </c>
      <c r="B344" s="2" t="s">
        <v>21</v>
      </c>
      <c r="C344" t="s">
        <v>8</v>
      </c>
      <c r="D344" t="s">
        <v>15</v>
      </c>
      <c r="E344">
        <v>28.32</v>
      </c>
      <c r="F344">
        <v>154</v>
      </c>
      <c r="G344">
        <v>3.58</v>
      </c>
      <c r="H344" s="3">
        <f t="shared" si="20"/>
        <v>43952</v>
      </c>
      <c r="I344">
        <f>MONTH(Table1[[#This Row],[Date]])</f>
        <v>5</v>
      </c>
      <c r="J344" t="str">
        <f t="shared" si="21"/>
        <v>Q2</v>
      </c>
      <c r="K344" t="str">
        <f t="shared" si="22"/>
        <v>May-2020</v>
      </c>
      <c r="L344" t="str">
        <f t="shared" si="23"/>
        <v>Medium</v>
      </c>
    </row>
    <row r="345" spans="1:12" x14ac:dyDescent="0.3">
      <c r="A345">
        <v>2020</v>
      </c>
      <c r="B345" s="2" t="s">
        <v>21</v>
      </c>
      <c r="C345" t="s">
        <v>16</v>
      </c>
      <c r="D345" t="s">
        <v>9</v>
      </c>
      <c r="E345">
        <v>100</v>
      </c>
      <c r="F345">
        <v>142.6</v>
      </c>
      <c r="G345">
        <v>3.1</v>
      </c>
      <c r="H345" s="3">
        <f t="shared" si="20"/>
        <v>43952</v>
      </c>
      <c r="I345">
        <f>MONTH(Table1[[#This Row],[Date]])</f>
        <v>5</v>
      </c>
      <c r="J345" t="str">
        <f t="shared" si="21"/>
        <v>Q2</v>
      </c>
      <c r="K345" t="str">
        <f t="shared" si="22"/>
        <v>May-2020</v>
      </c>
      <c r="L345" t="str">
        <f t="shared" si="23"/>
        <v>Medium</v>
      </c>
    </row>
    <row r="346" spans="1:12" x14ac:dyDescent="0.3">
      <c r="A346">
        <v>2020</v>
      </c>
      <c r="B346" s="2" t="s">
        <v>21</v>
      </c>
      <c r="C346" t="s">
        <v>16</v>
      </c>
      <c r="D346" t="s">
        <v>10</v>
      </c>
      <c r="E346">
        <v>45.86</v>
      </c>
      <c r="F346">
        <v>144.6</v>
      </c>
      <c r="G346">
        <v>3.18</v>
      </c>
      <c r="H346" s="3">
        <f t="shared" si="20"/>
        <v>43952</v>
      </c>
      <c r="I346">
        <f>MONTH(Table1[[#This Row],[Date]])</f>
        <v>5</v>
      </c>
      <c r="J346" t="str">
        <f t="shared" si="21"/>
        <v>Q2</v>
      </c>
      <c r="K346" t="str">
        <f t="shared" si="22"/>
        <v>May-2020</v>
      </c>
      <c r="L346" t="str">
        <f t="shared" si="23"/>
        <v>Medium</v>
      </c>
    </row>
    <row r="347" spans="1:12" x14ac:dyDescent="0.3">
      <c r="A347">
        <v>2020</v>
      </c>
      <c r="B347" s="2" t="s">
        <v>21</v>
      </c>
      <c r="C347" t="s">
        <v>16</v>
      </c>
      <c r="D347" t="s">
        <v>11</v>
      </c>
      <c r="E347">
        <v>2.38</v>
      </c>
      <c r="F347">
        <v>146.6</v>
      </c>
      <c r="G347">
        <v>3.26</v>
      </c>
      <c r="H347" s="3">
        <f t="shared" si="20"/>
        <v>43952</v>
      </c>
      <c r="I347">
        <f>MONTH(Table1[[#This Row],[Date]])</f>
        <v>5</v>
      </c>
      <c r="J347" t="str">
        <f t="shared" si="21"/>
        <v>Q2</v>
      </c>
      <c r="K347" t="str">
        <f t="shared" si="22"/>
        <v>May-2020</v>
      </c>
      <c r="L347" t="str">
        <f t="shared" si="23"/>
        <v>Medium</v>
      </c>
    </row>
    <row r="348" spans="1:12" x14ac:dyDescent="0.3">
      <c r="A348">
        <v>2020</v>
      </c>
      <c r="B348" s="2" t="s">
        <v>21</v>
      </c>
      <c r="C348" t="s">
        <v>16</v>
      </c>
      <c r="D348" t="s">
        <v>12</v>
      </c>
      <c r="E348">
        <v>6.53</v>
      </c>
      <c r="F348">
        <v>148.6</v>
      </c>
      <c r="G348">
        <v>3.34</v>
      </c>
      <c r="H348" s="3">
        <f t="shared" si="20"/>
        <v>43952</v>
      </c>
      <c r="I348">
        <f>MONTH(Table1[[#This Row],[Date]])</f>
        <v>5</v>
      </c>
      <c r="J348" t="str">
        <f t="shared" si="21"/>
        <v>Q2</v>
      </c>
      <c r="K348" t="str">
        <f t="shared" si="22"/>
        <v>May-2020</v>
      </c>
      <c r="L348" t="str">
        <f t="shared" si="23"/>
        <v>Medium</v>
      </c>
    </row>
    <row r="349" spans="1:12" x14ac:dyDescent="0.3">
      <c r="A349">
        <v>2020</v>
      </c>
      <c r="B349" s="2" t="s">
        <v>21</v>
      </c>
      <c r="C349" t="s">
        <v>16</v>
      </c>
      <c r="D349" t="s">
        <v>13</v>
      </c>
      <c r="E349">
        <v>10.07</v>
      </c>
      <c r="F349">
        <v>150.6</v>
      </c>
      <c r="G349">
        <v>3.42</v>
      </c>
      <c r="H349" s="3">
        <f t="shared" si="20"/>
        <v>43952</v>
      </c>
      <c r="I349">
        <f>MONTH(Table1[[#This Row],[Date]])</f>
        <v>5</v>
      </c>
      <c r="J349" t="str">
        <f t="shared" si="21"/>
        <v>Q2</v>
      </c>
      <c r="K349" t="str">
        <f t="shared" si="22"/>
        <v>May-2020</v>
      </c>
      <c r="L349" t="str">
        <f t="shared" si="23"/>
        <v>Medium</v>
      </c>
    </row>
    <row r="350" spans="1:12" x14ac:dyDescent="0.3">
      <c r="A350">
        <v>2020</v>
      </c>
      <c r="B350" s="2" t="s">
        <v>21</v>
      </c>
      <c r="C350" t="s">
        <v>16</v>
      </c>
      <c r="D350" t="s">
        <v>14</v>
      </c>
      <c r="E350">
        <v>6.84</v>
      </c>
      <c r="F350">
        <v>152.6</v>
      </c>
      <c r="G350">
        <v>3.5</v>
      </c>
      <c r="H350" s="3">
        <f t="shared" si="20"/>
        <v>43952</v>
      </c>
      <c r="I350">
        <f>MONTH(Table1[[#This Row],[Date]])</f>
        <v>5</v>
      </c>
      <c r="J350" t="str">
        <f t="shared" si="21"/>
        <v>Q2</v>
      </c>
      <c r="K350" t="str">
        <f t="shared" si="22"/>
        <v>May-2020</v>
      </c>
      <c r="L350" t="str">
        <f t="shared" si="23"/>
        <v>Medium</v>
      </c>
    </row>
    <row r="351" spans="1:12" x14ac:dyDescent="0.3">
      <c r="A351">
        <v>2020</v>
      </c>
      <c r="B351" s="2" t="s">
        <v>21</v>
      </c>
      <c r="C351" t="s">
        <v>16</v>
      </c>
      <c r="D351" t="s">
        <v>15</v>
      </c>
      <c r="E351">
        <v>28.32</v>
      </c>
      <c r="F351">
        <v>154.6</v>
      </c>
      <c r="G351">
        <v>3.58</v>
      </c>
      <c r="H351" s="3">
        <f t="shared" si="20"/>
        <v>43952</v>
      </c>
      <c r="I351">
        <f>MONTH(Table1[[#This Row],[Date]])</f>
        <v>5</v>
      </c>
      <c r="J351" t="str">
        <f t="shared" si="21"/>
        <v>Q2</v>
      </c>
      <c r="K351" t="str">
        <f t="shared" si="22"/>
        <v>May-2020</v>
      </c>
      <c r="L351" t="str">
        <f t="shared" si="23"/>
        <v>Medium</v>
      </c>
    </row>
    <row r="352" spans="1:12" x14ac:dyDescent="0.3">
      <c r="A352">
        <v>2020</v>
      </c>
      <c r="B352" s="2" t="s">
        <v>21</v>
      </c>
      <c r="C352" t="s">
        <v>17</v>
      </c>
      <c r="D352" t="s">
        <v>9</v>
      </c>
      <c r="E352">
        <v>100</v>
      </c>
      <c r="F352">
        <v>143.19999999999999</v>
      </c>
      <c r="G352">
        <v>3.1</v>
      </c>
      <c r="H352" s="3">
        <f t="shared" si="20"/>
        <v>43952</v>
      </c>
      <c r="I352">
        <f>MONTH(Table1[[#This Row],[Date]])</f>
        <v>5</v>
      </c>
      <c r="J352" t="str">
        <f t="shared" si="21"/>
        <v>Q2</v>
      </c>
      <c r="K352" t="str">
        <f t="shared" si="22"/>
        <v>May-2020</v>
      </c>
      <c r="L352" t="str">
        <f t="shared" si="23"/>
        <v>Medium</v>
      </c>
    </row>
    <row r="353" spans="1:12" x14ac:dyDescent="0.3">
      <c r="A353">
        <v>2020</v>
      </c>
      <c r="B353" s="2" t="s">
        <v>21</v>
      </c>
      <c r="C353" t="s">
        <v>17</v>
      </c>
      <c r="D353" t="s">
        <v>10</v>
      </c>
      <c r="E353">
        <v>45.86</v>
      </c>
      <c r="F353">
        <v>145.19999999999999</v>
      </c>
      <c r="G353">
        <v>3.18</v>
      </c>
      <c r="H353" s="3">
        <f t="shared" si="20"/>
        <v>43952</v>
      </c>
      <c r="I353">
        <f>MONTH(Table1[[#This Row],[Date]])</f>
        <v>5</v>
      </c>
      <c r="J353" t="str">
        <f t="shared" si="21"/>
        <v>Q2</v>
      </c>
      <c r="K353" t="str">
        <f t="shared" si="22"/>
        <v>May-2020</v>
      </c>
      <c r="L353" t="str">
        <f t="shared" si="23"/>
        <v>Medium</v>
      </c>
    </row>
    <row r="354" spans="1:12" x14ac:dyDescent="0.3">
      <c r="A354">
        <v>2020</v>
      </c>
      <c r="B354" s="2" t="s">
        <v>21</v>
      </c>
      <c r="C354" t="s">
        <v>17</v>
      </c>
      <c r="D354" t="s">
        <v>11</v>
      </c>
      <c r="E354">
        <v>2.38</v>
      </c>
      <c r="F354">
        <v>147.19999999999999</v>
      </c>
      <c r="G354">
        <v>3.26</v>
      </c>
      <c r="H354" s="3">
        <f t="shared" si="20"/>
        <v>43952</v>
      </c>
      <c r="I354">
        <f>MONTH(Table1[[#This Row],[Date]])</f>
        <v>5</v>
      </c>
      <c r="J354" t="str">
        <f t="shared" si="21"/>
        <v>Q2</v>
      </c>
      <c r="K354" t="str">
        <f t="shared" si="22"/>
        <v>May-2020</v>
      </c>
      <c r="L354" t="str">
        <f t="shared" si="23"/>
        <v>Medium</v>
      </c>
    </row>
    <row r="355" spans="1:12" x14ac:dyDescent="0.3">
      <c r="A355">
        <v>2020</v>
      </c>
      <c r="B355" s="2" t="s">
        <v>21</v>
      </c>
      <c r="C355" t="s">
        <v>17</v>
      </c>
      <c r="D355" t="s">
        <v>12</v>
      </c>
      <c r="E355">
        <v>6.53</v>
      </c>
      <c r="F355">
        <v>149.19999999999999</v>
      </c>
      <c r="G355">
        <v>3.34</v>
      </c>
      <c r="H355" s="3">
        <f t="shared" si="20"/>
        <v>43952</v>
      </c>
      <c r="I355">
        <f>MONTH(Table1[[#This Row],[Date]])</f>
        <v>5</v>
      </c>
      <c r="J355" t="str">
        <f t="shared" si="21"/>
        <v>Q2</v>
      </c>
      <c r="K355" t="str">
        <f t="shared" si="22"/>
        <v>May-2020</v>
      </c>
      <c r="L355" t="str">
        <f t="shared" si="23"/>
        <v>Medium</v>
      </c>
    </row>
    <row r="356" spans="1:12" x14ac:dyDescent="0.3">
      <c r="A356">
        <v>2020</v>
      </c>
      <c r="B356" s="2" t="s">
        <v>21</v>
      </c>
      <c r="C356" t="s">
        <v>17</v>
      </c>
      <c r="D356" t="s">
        <v>13</v>
      </c>
      <c r="E356">
        <v>10.07</v>
      </c>
      <c r="F356">
        <v>151.19999999999999</v>
      </c>
      <c r="G356">
        <v>3.42</v>
      </c>
      <c r="H356" s="3">
        <f t="shared" si="20"/>
        <v>43952</v>
      </c>
      <c r="I356">
        <f>MONTH(Table1[[#This Row],[Date]])</f>
        <v>5</v>
      </c>
      <c r="J356" t="str">
        <f t="shared" si="21"/>
        <v>Q2</v>
      </c>
      <c r="K356" t="str">
        <f t="shared" si="22"/>
        <v>May-2020</v>
      </c>
      <c r="L356" t="str">
        <f t="shared" si="23"/>
        <v>Medium</v>
      </c>
    </row>
    <row r="357" spans="1:12" x14ac:dyDescent="0.3">
      <c r="A357">
        <v>2020</v>
      </c>
      <c r="B357" s="2" t="s">
        <v>21</v>
      </c>
      <c r="C357" t="s">
        <v>17</v>
      </c>
      <c r="D357" t="s">
        <v>14</v>
      </c>
      <c r="E357">
        <v>6.84</v>
      </c>
      <c r="F357">
        <v>153.19999999999999</v>
      </c>
      <c r="G357">
        <v>3.5</v>
      </c>
      <c r="H357" s="3">
        <f t="shared" si="20"/>
        <v>43952</v>
      </c>
      <c r="I357">
        <f>MONTH(Table1[[#This Row],[Date]])</f>
        <v>5</v>
      </c>
      <c r="J357" t="str">
        <f t="shared" si="21"/>
        <v>Q2</v>
      </c>
      <c r="K357" t="str">
        <f t="shared" si="22"/>
        <v>May-2020</v>
      </c>
      <c r="L357" t="str">
        <f t="shared" si="23"/>
        <v>Medium</v>
      </c>
    </row>
    <row r="358" spans="1:12" x14ac:dyDescent="0.3">
      <c r="A358">
        <v>2020</v>
      </c>
      <c r="B358" s="2" t="s">
        <v>21</v>
      </c>
      <c r="C358" t="s">
        <v>17</v>
      </c>
      <c r="D358" t="s">
        <v>15</v>
      </c>
      <c r="E358">
        <v>28.32</v>
      </c>
      <c r="F358">
        <v>155.19999999999999</v>
      </c>
      <c r="G358">
        <v>3.58</v>
      </c>
      <c r="H358" s="3">
        <f t="shared" si="20"/>
        <v>43952</v>
      </c>
      <c r="I358">
        <f>MONTH(Table1[[#This Row],[Date]])</f>
        <v>5</v>
      </c>
      <c r="J358" t="str">
        <f t="shared" si="21"/>
        <v>Q2</v>
      </c>
      <c r="K358" t="str">
        <f t="shared" si="22"/>
        <v>May-2020</v>
      </c>
      <c r="L358" t="str">
        <f t="shared" si="23"/>
        <v>Medium</v>
      </c>
    </row>
    <row r="359" spans="1:12" x14ac:dyDescent="0.3">
      <c r="A359">
        <v>2020</v>
      </c>
      <c r="B359" s="2" t="s">
        <v>22</v>
      </c>
      <c r="C359" t="s">
        <v>8</v>
      </c>
      <c r="D359" t="s">
        <v>9</v>
      </c>
      <c r="E359">
        <v>100</v>
      </c>
      <c r="F359">
        <v>142.4</v>
      </c>
      <c r="G359">
        <v>2.35</v>
      </c>
      <c r="H359" s="3">
        <f t="shared" si="20"/>
        <v>43983</v>
      </c>
      <c r="I359">
        <f>MONTH(Table1[[#This Row],[Date]])</f>
        <v>6</v>
      </c>
      <c r="J359" t="str">
        <f t="shared" si="21"/>
        <v>Q2</v>
      </c>
      <c r="K359" t="str">
        <f t="shared" si="22"/>
        <v>Jun-2020</v>
      </c>
      <c r="L359" t="str">
        <f t="shared" si="23"/>
        <v>Low</v>
      </c>
    </row>
    <row r="360" spans="1:12" x14ac:dyDescent="0.3">
      <c r="A360">
        <v>2020</v>
      </c>
      <c r="B360" s="2" t="s">
        <v>22</v>
      </c>
      <c r="C360" t="s">
        <v>8</v>
      </c>
      <c r="D360" t="s">
        <v>10</v>
      </c>
      <c r="E360">
        <v>45.86</v>
      </c>
      <c r="F360">
        <v>144.4</v>
      </c>
      <c r="G360">
        <v>2.4300000000000002</v>
      </c>
      <c r="H360" s="3">
        <f t="shared" si="20"/>
        <v>43983</v>
      </c>
      <c r="I360">
        <f>MONTH(Table1[[#This Row],[Date]])</f>
        <v>6</v>
      </c>
      <c r="J360" t="str">
        <f t="shared" si="21"/>
        <v>Q2</v>
      </c>
      <c r="K360" t="str">
        <f t="shared" si="22"/>
        <v>Jun-2020</v>
      </c>
      <c r="L360" t="str">
        <f t="shared" si="23"/>
        <v>Low</v>
      </c>
    </row>
    <row r="361" spans="1:12" x14ac:dyDescent="0.3">
      <c r="A361">
        <v>2020</v>
      </c>
      <c r="B361" s="2" t="s">
        <v>22</v>
      </c>
      <c r="C361" t="s">
        <v>8</v>
      </c>
      <c r="D361" t="s">
        <v>11</v>
      </c>
      <c r="E361">
        <v>2.38</v>
      </c>
      <c r="F361">
        <v>146.4</v>
      </c>
      <c r="G361">
        <v>2.5099999999999998</v>
      </c>
      <c r="H361" s="3">
        <f t="shared" si="20"/>
        <v>43983</v>
      </c>
      <c r="I361">
        <f>MONTH(Table1[[#This Row],[Date]])</f>
        <v>6</v>
      </c>
      <c r="J361" t="str">
        <f t="shared" si="21"/>
        <v>Q2</v>
      </c>
      <c r="K361" t="str">
        <f t="shared" si="22"/>
        <v>Jun-2020</v>
      </c>
      <c r="L361" t="str">
        <f t="shared" si="23"/>
        <v>Low</v>
      </c>
    </row>
    <row r="362" spans="1:12" x14ac:dyDescent="0.3">
      <c r="A362">
        <v>2020</v>
      </c>
      <c r="B362" s="2" t="s">
        <v>22</v>
      </c>
      <c r="C362" t="s">
        <v>8</v>
      </c>
      <c r="D362" t="s">
        <v>12</v>
      </c>
      <c r="E362">
        <v>6.53</v>
      </c>
      <c r="F362">
        <v>148.4</v>
      </c>
      <c r="G362">
        <v>2.59</v>
      </c>
      <c r="H362" s="3">
        <f t="shared" si="20"/>
        <v>43983</v>
      </c>
      <c r="I362">
        <f>MONTH(Table1[[#This Row],[Date]])</f>
        <v>6</v>
      </c>
      <c r="J362" t="str">
        <f t="shared" si="21"/>
        <v>Q2</v>
      </c>
      <c r="K362" t="str">
        <f t="shared" si="22"/>
        <v>Jun-2020</v>
      </c>
      <c r="L362" t="str">
        <f t="shared" si="23"/>
        <v>Low</v>
      </c>
    </row>
    <row r="363" spans="1:12" x14ac:dyDescent="0.3">
      <c r="A363">
        <v>2020</v>
      </c>
      <c r="B363" s="2" t="s">
        <v>22</v>
      </c>
      <c r="C363" t="s">
        <v>8</v>
      </c>
      <c r="D363" t="s">
        <v>13</v>
      </c>
      <c r="E363">
        <v>10.07</v>
      </c>
      <c r="F363">
        <v>150.4</v>
      </c>
      <c r="G363">
        <v>2.67</v>
      </c>
      <c r="H363" s="3">
        <f t="shared" si="20"/>
        <v>43983</v>
      </c>
      <c r="I363">
        <f>MONTH(Table1[[#This Row],[Date]])</f>
        <v>6</v>
      </c>
      <c r="J363" t="str">
        <f t="shared" si="21"/>
        <v>Q2</v>
      </c>
      <c r="K363" t="str">
        <f t="shared" si="22"/>
        <v>Jun-2020</v>
      </c>
      <c r="L363" t="str">
        <f t="shared" si="23"/>
        <v>Low</v>
      </c>
    </row>
    <row r="364" spans="1:12" x14ac:dyDescent="0.3">
      <c r="A364">
        <v>2020</v>
      </c>
      <c r="B364" s="2" t="s">
        <v>22</v>
      </c>
      <c r="C364" t="s">
        <v>8</v>
      </c>
      <c r="D364" t="s">
        <v>14</v>
      </c>
      <c r="E364">
        <v>6.84</v>
      </c>
      <c r="F364">
        <v>152.4</v>
      </c>
      <c r="G364">
        <v>2.75</v>
      </c>
      <c r="H364" s="3">
        <f t="shared" si="20"/>
        <v>43983</v>
      </c>
      <c r="I364">
        <f>MONTH(Table1[[#This Row],[Date]])</f>
        <v>6</v>
      </c>
      <c r="J364" t="str">
        <f t="shared" si="21"/>
        <v>Q2</v>
      </c>
      <c r="K364" t="str">
        <f t="shared" si="22"/>
        <v>Jun-2020</v>
      </c>
      <c r="L364" t="str">
        <f t="shared" si="23"/>
        <v>Low</v>
      </c>
    </row>
    <row r="365" spans="1:12" x14ac:dyDescent="0.3">
      <c r="A365">
        <v>2020</v>
      </c>
      <c r="B365" s="2" t="s">
        <v>22</v>
      </c>
      <c r="C365" t="s">
        <v>8</v>
      </c>
      <c r="D365" t="s">
        <v>15</v>
      </c>
      <c r="E365">
        <v>28.32</v>
      </c>
      <c r="F365">
        <v>154.4</v>
      </c>
      <c r="G365">
        <v>2.83</v>
      </c>
      <c r="H365" s="3">
        <f t="shared" si="20"/>
        <v>43983</v>
      </c>
      <c r="I365">
        <f>MONTH(Table1[[#This Row],[Date]])</f>
        <v>6</v>
      </c>
      <c r="J365" t="str">
        <f t="shared" si="21"/>
        <v>Q2</v>
      </c>
      <c r="K365" t="str">
        <f t="shared" si="22"/>
        <v>Jun-2020</v>
      </c>
      <c r="L365" t="str">
        <f t="shared" si="23"/>
        <v>Low</v>
      </c>
    </row>
    <row r="366" spans="1:12" x14ac:dyDescent="0.3">
      <c r="A366">
        <v>2020</v>
      </c>
      <c r="B366" s="2" t="s">
        <v>22</v>
      </c>
      <c r="C366" t="s">
        <v>16</v>
      </c>
      <c r="D366" t="s">
        <v>9</v>
      </c>
      <c r="E366">
        <v>100</v>
      </c>
      <c r="F366">
        <v>143</v>
      </c>
      <c r="G366">
        <v>2.35</v>
      </c>
      <c r="H366" s="3">
        <f t="shared" si="20"/>
        <v>43983</v>
      </c>
      <c r="I366">
        <f>MONTH(Table1[[#This Row],[Date]])</f>
        <v>6</v>
      </c>
      <c r="J366" t="str">
        <f t="shared" si="21"/>
        <v>Q2</v>
      </c>
      <c r="K366" t="str">
        <f t="shared" si="22"/>
        <v>Jun-2020</v>
      </c>
      <c r="L366" t="str">
        <f t="shared" si="23"/>
        <v>Low</v>
      </c>
    </row>
    <row r="367" spans="1:12" x14ac:dyDescent="0.3">
      <c r="A367">
        <v>2020</v>
      </c>
      <c r="B367" s="2" t="s">
        <v>22</v>
      </c>
      <c r="C367" t="s">
        <v>16</v>
      </c>
      <c r="D367" t="s">
        <v>10</v>
      </c>
      <c r="E367">
        <v>45.86</v>
      </c>
      <c r="F367">
        <v>145</v>
      </c>
      <c r="G367">
        <v>2.4300000000000002</v>
      </c>
      <c r="H367" s="3">
        <f t="shared" si="20"/>
        <v>43983</v>
      </c>
      <c r="I367">
        <f>MONTH(Table1[[#This Row],[Date]])</f>
        <v>6</v>
      </c>
      <c r="J367" t="str">
        <f t="shared" si="21"/>
        <v>Q2</v>
      </c>
      <c r="K367" t="str">
        <f t="shared" si="22"/>
        <v>Jun-2020</v>
      </c>
      <c r="L367" t="str">
        <f t="shared" si="23"/>
        <v>Low</v>
      </c>
    </row>
    <row r="368" spans="1:12" x14ac:dyDescent="0.3">
      <c r="A368">
        <v>2020</v>
      </c>
      <c r="B368" s="2" t="s">
        <v>22</v>
      </c>
      <c r="C368" t="s">
        <v>16</v>
      </c>
      <c r="D368" t="s">
        <v>11</v>
      </c>
      <c r="E368">
        <v>2.38</v>
      </c>
      <c r="F368">
        <v>147</v>
      </c>
      <c r="G368">
        <v>2.5099999999999998</v>
      </c>
      <c r="H368" s="3">
        <f t="shared" si="20"/>
        <v>43983</v>
      </c>
      <c r="I368">
        <f>MONTH(Table1[[#This Row],[Date]])</f>
        <v>6</v>
      </c>
      <c r="J368" t="str">
        <f t="shared" si="21"/>
        <v>Q2</v>
      </c>
      <c r="K368" t="str">
        <f t="shared" si="22"/>
        <v>Jun-2020</v>
      </c>
      <c r="L368" t="str">
        <f t="shared" si="23"/>
        <v>Low</v>
      </c>
    </row>
    <row r="369" spans="1:12" x14ac:dyDescent="0.3">
      <c r="A369">
        <v>2020</v>
      </c>
      <c r="B369" s="2" t="s">
        <v>22</v>
      </c>
      <c r="C369" t="s">
        <v>16</v>
      </c>
      <c r="D369" t="s">
        <v>12</v>
      </c>
      <c r="E369">
        <v>6.53</v>
      </c>
      <c r="F369">
        <v>149</v>
      </c>
      <c r="G369">
        <v>2.59</v>
      </c>
      <c r="H369" s="3">
        <f t="shared" si="20"/>
        <v>43983</v>
      </c>
      <c r="I369">
        <f>MONTH(Table1[[#This Row],[Date]])</f>
        <v>6</v>
      </c>
      <c r="J369" t="str">
        <f t="shared" si="21"/>
        <v>Q2</v>
      </c>
      <c r="K369" t="str">
        <f t="shared" si="22"/>
        <v>Jun-2020</v>
      </c>
      <c r="L369" t="str">
        <f t="shared" si="23"/>
        <v>Low</v>
      </c>
    </row>
    <row r="370" spans="1:12" x14ac:dyDescent="0.3">
      <c r="A370">
        <v>2020</v>
      </c>
      <c r="B370" s="2" t="s">
        <v>22</v>
      </c>
      <c r="C370" t="s">
        <v>16</v>
      </c>
      <c r="D370" t="s">
        <v>13</v>
      </c>
      <c r="E370">
        <v>10.07</v>
      </c>
      <c r="F370">
        <v>151</v>
      </c>
      <c r="G370">
        <v>2.67</v>
      </c>
      <c r="H370" s="3">
        <f t="shared" si="20"/>
        <v>43983</v>
      </c>
      <c r="I370">
        <f>MONTH(Table1[[#This Row],[Date]])</f>
        <v>6</v>
      </c>
      <c r="J370" t="str">
        <f t="shared" si="21"/>
        <v>Q2</v>
      </c>
      <c r="K370" t="str">
        <f t="shared" si="22"/>
        <v>Jun-2020</v>
      </c>
      <c r="L370" t="str">
        <f t="shared" si="23"/>
        <v>Low</v>
      </c>
    </row>
    <row r="371" spans="1:12" x14ac:dyDescent="0.3">
      <c r="A371">
        <v>2020</v>
      </c>
      <c r="B371" s="2" t="s">
        <v>22</v>
      </c>
      <c r="C371" t="s">
        <v>16</v>
      </c>
      <c r="D371" t="s">
        <v>14</v>
      </c>
      <c r="E371">
        <v>6.84</v>
      </c>
      <c r="F371">
        <v>153</v>
      </c>
      <c r="G371">
        <v>2.75</v>
      </c>
      <c r="H371" s="3">
        <f t="shared" si="20"/>
        <v>43983</v>
      </c>
      <c r="I371">
        <f>MONTH(Table1[[#This Row],[Date]])</f>
        <v>6</v>
      </c>
      <c r="J371" t="str">
        <f t="shared" si="21"/>
        <v>Q2</v>
      </c>
      <c r="K371" t="str">
        <f t="shared" si="22"/>
        <v>Jun-2020</v>
      </c>
      <c r="L371" t="str">
        <f t="shared" si="23"/>
        <v>Low</v>
      </c>
    </row>
    <row r="372" spans="1:12" x14ac:dyDescent="0.3">
      <c r="A372">
        <v>2020</v>
      </c>
      <c r="B372" s="2" t="s">
        <v>22</v>
      </c>
      <c r="C372" t="s">
        <v>16</v>
      </c>
      <c r="D372" t="s">
        <v>15</v>
      </c>
      <c r="E372">
        <v>28.32</v>
      </c>
      <c r="F372">
        <v>155</v>
      </c>
      <c r="G372">
        <v>2.83</v>
      </c>
      <c r="H372" s="3">
        <f t="shared" si="20"/>
        <v>43983</v>
      </c>
      <c r="I372">
        <f>MONTH(Table1[[#This Row],[Date]])</f>
        <v>6</v>
      </c>
      <c r="J372" t="str">
        <f t="shared" si="21"/>
        <v>Q2</v>
      </c>
      <c r="K372" t="str">
        <f t="shared" si="22"/>
        <v>Jun-2020</v>
      </c>
      <c r="L372" t="str">
        <f t="shared" si="23"/>
        <v>Low</v>
      </c>
    </row>
    <row r="373" spans="1:12" x14ac:dyDescent="0.3">
      <c r="A373">
        <v>2020</v>
      </c>
      <c r="B373" s="2" t="s">
        <v>22</v>
      </c>
      <c r="C373" t="s">
        <v>17</v>
      </c>
      <c r="D373" t="s">
        <v>9</v>
      </c>
      <c r="E373">
        <v>100</v>
      </c>
      <c r="F373">
        <v>143.6</v>
      </c>
      <c r="G373">
        <v>2.35</v>
      </c>
      <c r="H373" s="3">
        <f t="shared" si="20"/>
        <v>43983</v>
      </c>
      <c r="I373">
        <f>MONTH(Table1[[#This Row],[Date]])</f>
        <v>6</v>
      </c>
      <c r="J373" t="str">
        <f t="shared" si="21"/>
        <v>Q2</v>
      </c>
      <c r="K373" t="str">
        <f t="shared" si="22"/>
        <v>Jun-2020</v>
      </c>
      <c r="L373" t="str">
        <f t="shared" si="23"/>
        <v>Low</v>
      </c>
    </row>
    <row r="374" spans="1:12" x14ac:dyDescent="0.3">
      <c r="A374">
        <v>2020</v>
      </c>
      <c r="B374" s="2" t="s">
        <v>22</v>
      </c>
      <c r="C374" t="s">
        <v>17</v>
      </c>
      <c r="D374" t="s">
        <v>10</v>
      </c>
      <c r="E374">
        <v>45.86</v>
      </c>
      <c r="F374">
        <v>145.6</v>
      </c>
      <c r="G374">
        <v>2.4300000000000002</v>
      </c>
      <c r="H374" s="3">
        <f t="shared" si="20"/>
        <v>43983</v>
      </c>
      <c r="I374">
        <f>MONTH(Table1[[#This Row],[Date]])</f>
        <v>6</v>
      </c>
      <c r="J374" t="str">
        <f t="shared" si="21"/>
        <v>Q2</v>
      </c>
      <c r="K374" t="str">
        <f t="shared" si="22"/>
        <v>Jun-2020</v>
      </c>
      <c r="L374" t="str">
        <f t="shared" si="23"/>
        <v>Low</v>
      </c>
    </row>
    <row r="375" spans="1:12" x14ac:dyDescent="0.3">
      <c r="A375">
        <v>2020</v>
      </c>
      <c r="B375" s="2" t="s">
        <v>22</v>
      </c>
      <c r="C375" t="s">
        <v>17</v>
      </c>
      <c r="D375" t="s">
        <v>11</v>
      </c>
      <c r="E375">
        <v>2.38</v>
      </c>
      <c r="F375">
        <v>147.6</v>
      </c>
      <c r="G375">
        <v>2.5099999999999998</v>
      </c>
      <c r="H375" s="3">
        <f t="shared" si="20"/>
        <v>43983</v>
      </c>
      <c r="I375">
        <f>MONTH(Table1[[#This Row],[Date]])</f>
        <v>6</v>
      </c>
      <c r="J375" t="str">
        <f t="shared" si="21"/>
        <v>Q2</v>
      </c>
      <c r="K375" t="str">
        <f t="shared" si="22"/>
        <v>Jun-2020</v>
      </c>
      <c r="L375" t="str">
        <f t="shared" si="23"/>
        <v>Low</v>
      </c>
    </row>
    <row r="376" spans="1:12" x14ac:dyDescent="0.3">
      <c r="A376">
        <v>2020</v>
      </c>
      <c r="B376" s="2" t="s">
        <v>22</v>
      </c>
      <c r="C376" t="s">
        <v>17</v>
      </c>
      <c r="D376" t="s">
        <v>12</v>
      </c>
      <c r="E376">
        <v>6.53</v>
      </c>
      <c r="F376">
        <v>149.6</v>
      </c>
      <c r="G376">
        <v>2.59</v>
      </c>
      <c r="H376" s="3">
        <f t="shared" si="20"/>
        <v>43983</v>
      </c>
      <c r="I376">
        <f>MONTH(Table1[[#This Row],[Date]])</f>
        <v>6</v>
      </c>
      <c r="J376" t="str">
        <f t="shared" si="21"/>
        <v>Q2</v>
      </c>
      <c r="K376" t="str">
        <f t="shared" si="22"/>
        <v>Jun-2020</v>
      </c>
      <c r="L376" t="str">
        <f t="shared" si="23"/>
        <v>Low</v>
      </c>
    </row>
    <row r="377" spans="1:12" x14ac:dyDescent="0.3">
      <c r="A377">
        <v>2020</v>
      </c>
      <c r="B377" s="2" t="s">
        <v>22</v>
      </c>
      <c r="C377" t="s">
        <v>17</v>
      </c>
      <c r="D377" t="s">
        <v>13</v>
      </c>
      <c r="E377">
        <v>10.07</v>
      </c>
      <c r="F377">
        <v>151.6</v>
      </c>
      <c r="G377">
        <v>2.67</v>
      </c>
      <c r="H377" s="3">
        <f t="shared" si="20"/>
        <v>43983</v>
      </c>
      <c r="I377">
        <f>MONTH(Table1[[#This Row],[Date]])</f>
        <v>6</v>
      </c>
      <c r="J377" t="str">
        <f t="shared" si="21"/>
        <v>Q2</v>
      </c>
      <c r="K377" t="str">
        <f t="shared" si="22"/>
        <v>Jun-2020</v>
      </c>
      <c r="L377" t="str">
        <f t="shared" si="23"/>
        <v>Low</v>
      </c>
    </row>
    <row r="378" spans="1:12" x14ac:dyDescent="0.3">
      <c r="A378">
        <v>2020</v>
      </c>
      <c r="B378" s="2" t="s">
        <v>22</v>
      </c>
      <c r="C378" t="s">
        <v>17</v>
      </c>
      <c r="D378" t="s">
        <v>14</v>
      </c>
      <c r="E378">
        <v>6.84</v>
      </c>
      <c r="F378">
        <v>153.6</v>
      </c>
      <c r="G378">
        <v>2.75</v>
      </c>
      <c r="H378" s="3">
        <f t="shared" si="20"/>
        <v>43983</v>
      </c>
      <c r="I378">
        <f>MONTH(Table1[[#This Row],[Date]])</f>
        <v>6</v>
      </c>
      <c r="J378" t="str">
        <f t="shared" si="21"/>
        <v>Q2</v>
      </c>
      <c r="K378" t="str">
        <f t="shared" si="22"/>
        <v>Jun-2020</v>
      </c>
      <c r="L378" t="str">
        <f t="shared" si="23"/>
        <v>Low</v>
      </c>
    </row>
    <row r="379" spans="1:12" x14ac:dyDescent="0.3">
      <c r="A379">
        <v>2020</v>
      </c>
      <c r="B379" s="2" t="s">
        <v>22</v>
      </c>
      <c r="C379" t="s">
        <v>17</v>
      </c>
      <c r="D379" t="s">
        <v>15</v>
      </c>
      <c r="E379">
        <v>28.32</v>
      </c>
      <c r="F379">
        <v>155.6</v>
      </c>
      <c r="G379">
        <v>2.83</v>
      </c>
      <c r="H379" s="3">
        <f t="shared" si="20"/>
        <v>43983</v>
      </c>
      <c r="I379">
        <f>MONTH(Table1[[#This Row],[Date]])</f>
        <v>6</v>
      </c>
      <c r="J379" t="str">
        <f t="shared" si="21"/>
        <v>Q2</v>
      </c>
      <c r="K379" t="str">
        <f t="shared" si="22"/>
        <v>Jun-2020</v>
      </c>
      <c r="L379" t="str">
        <f t="shared" si="23"/>
        <v>Low</v>
      </c>
    </row>
    <row r="380" spans="1:12" x14ac:dyDescent="0.3">
      <c r="A380">
        <v>2020</v>
      </c>
      <c r="B380" s="2" t="s">
        <v>23</v>
      </c>
      <c r="C380" t="s">
        <v>8</v>
      </c>
      <c r="D380" t="s">
        <v>9</v>
      </c>
      <c r="E380">
        <v>100</v>
      </c>
      <c r="F380">
        <v>142.80000000000001</v>
      </c>
      <c r="G380">
        <v>2.5</v>
      </c>
      <c r="H380" s="3">
        <f t="shared" si="20"/>
        <v>44013</v>
      </c>
      <c r="I380">
        <f>MONTH(Table1[[#This Row],[Date]])</f>
        <v>7</v>
      </c>
      <c r="J380" t="str">
        <f t="shared" si="21"/>
        <v>Q3</v>
      </c>
      <c r="K380" t="str">
        <f t="shared" si="22"/>
        <v>Jul-2020</v>
      </c>
      <c r="L380" t="str">
        <f t="shared" si="23"/>
        <v>Low</v>
      </c>
    </row>
    <row r="381" spans="1:12" x14ac:dyDescent="0.3">
      <c r="A381">
        <v>2020</v>
      </c>
      <c r="B381" s="2" t="s">
        <v>23</v>
      </c>
      <c r="C381" t="s">
        <v>8</v>
      </c>
      <c r="D381" t="s">
        <v>10</v>
      </c>
      <c r="E381">
        <v>45.86</v>
      </c>
      <c r="F381">
        <v>144.80000000000001</v>
      </c>
      <c r="G381">
        <v>2.58</v>
      </c>
      <c r="H381" s="3">
        <f t="shared" si="20"/>
        <v>44013</v>
      </c>
      <c r="I381">
        <f>MONTH(Table1[[#This Row],[Date]])</f>
        <v>7</v>
      </c>
      <c r="J381" t="str">
        <f t="shared" si="21"/>
        <v>Q3</v>
      </c>
      <c r="K381" t="str">
        <f t="shared" si="22"/>
        <v>Jul-2020</v>
      </c>
      <c r="L381" t="str">
        <f t="shared" si="23"/>
        <v>Low</v>
      </c>
    </row>
    <row r="382" spans="1:12" x14ac:dyDescent="0.3">
      <c r="A382">
        <v>2020</v>
      </c>
      <c r="B382" s="2" t="s">
        <v>23</v>
      </c>
      <c r="C382" t="s">
        <v>8</v>
      </c>
      <c r="D382" t="s">
        <v>11</v>
      </c>
      <c r="E382">
        <v>2.38</v>
      </c>
      <c r="F382">
        <v>146.80000000000001</v>
      </c>
      <c r="G382">
        <v>2.66</v>
      </c>
      <c r="H382" s="3">
        <f t="shared" si="20"/>
        <v>44013</v>
      </c>
      <c r="I382">
        <f>MONTH(Table1[[#This Row],[Date]])</f>
        <v>7</v>
      </c>
      <c r="J382" t="str">
        <f t="shared" si="21"/>
        <v>Q3</v>
      </c>
      <c r="K382" t="str">
        <f t="shared" si="22"/>
        <v>Jul-2020</v>
      </c>
      <c r="L382" t="str">
        <f t="shared" si="23"/>
        <v>Low</v>
      </c>
    </row>
    <row r="383" spans="1:12" x14ac:dyDescent="0.3">
      <c r="A383">
        <v>2020</v>
      </c>
      <c r="B383" s="2" t="s">
        <v>23</v>
      </c>
      <c r="C383" t="s">
        <v>8</v>
      </c>
      <c r="D383" t="s">
        <v>12</v>
      </c>
      <c r="E383">
        <v>6.53</v>
      </c>
      <c r="F383">
        <v>148.80000000000001</v>
      </c>
      <c r="G383">
        <v>2.74</v>
      </c>
      <c r="H383" s="3">
        <f t="shared" si="20"/>
        <v>44013</v>
      </c>
      <c r="I383">
        <f>MONTH(Table1[[#This Row],[Date]])</f>
        <v>7</v>
      </c>
      <c r="J383" t="str">
        <f t="shared" si="21"/>
        <v>Q3</v>
      </c>
      <c r="K383" t="str">
        <f t="shared" si="22"/>
        <v>Jul-2020</v>
      </c>
      <c r="L383" t="str">
        <f t="shared" si="23"/>
        <v>Low</v>
      </c>
    </row>
    <row r="384" spans="1:12" x14ac:dyDescent="0.3">
      <c r="A384">
        <v>2020</v>
      </c>
      <c r="B384" s="2" t="s">
        <v>23</v>
      </c>
      <c r="C384" t="s">
        <v>8</v>
      </c>
      <c r="D384" t="s">
        <v>13</v>
      </c>
      <c r="E384">
        <v>10.07</v>
      </c>
      <c r="F384">
        <v>150.80000000000001</v>
      </c>
      <c r="G384">
        <v>2.82</v>
      </c>
      <c r="H384" s="3">
        <f t="shared" si="20"/>
        <v>44013</v>
      </c>
      <c r="I384">
        <f>MONTH(Table1[[#This Row],[Date]])</f>
        <v>7</v>
      </c>
      <c r="J384" t="str">
        <f t="shared" si="21"/>
        <v>Q3</v>
      </c>
      <c r="K384" t="str">
        <f t="shared" si="22"/>
        <v>Jul-2020</v>
      </c>
      <c r="L384" t="str">
        <f t="shared" si="23"/>
        <v>Low</v>
      </c>
    </row>
    <row r="385" spans="1:12" x14ac:dyDescent="0.3">
      <c r="A385">
        <v>2020</v>
      </c>
      <c r="B385" s="2" t="s">
        <v>23</v>
      </c>
      <c r="C385" t="s">
        <v>8</v>
      </c>
      <c r="D385" t="s">
        <v>14</v>
      </c>
      <c r="E385">
        <v>6.84</v>
      </c>
      <c r="F385">
        <v>152.80000000000001</v>
      </c>
      <c r="G385">
        <v>2.9</v>
      </c>
      <c r="H385" s="3">
        <f t="shared" si="20"/>
        <v>44013</v>
      </c>
      <c r="I385">
        <f>MONTH(Table1[[#This Row],[Date]])</f>
        <v>7</v>
      </c>
      <c r="J385" t="str">
        <f t="shared" si="21"/>
        <v>Q3</v>
      </c>
      <c r="K385" t="str">
        <f t="shared" si="22"/>
        <v>Jul-2020</v>
      </c>
      <c r="L385" t="str">
        <f t="shared" si="23"/>
        <v>Low</v>
      </c>
    </row>
    <row r="386" spans="1:12" x14ac:dyDescent="0.3">
      <c r="A386">
        <v>2020</v>
      </c>
      <c r="B386" s="2" t="s">
        <v>23</v>
      </c>
      <c r="C386" t="s">
        <v>8</v>
      </c>
      <c r="D386" t="s">
        <v>15</v>
      </c>
      <c r="E386">
        <v>28.32</v>
      </c>
      <c r="F386">
        <v>154.80000000000001</v>
      </c>
      <c r="G386">
        <v>2.98</v>
      </c>
      <c r="H386" s="3">
        <f t="shared" ref="H386:H449" si="24">DATE(A386,MONTH(DATEVALUE(B386&amp;" 1")),1)</f>
        <v>44013</v>
      </c>
      <c r="I386">
        <f>MONTH(Table1[[#This Row],[Date]])</f>
        <v>7</v>
      </c>
      <c r="J386" t="str">
        <f t="shared" ref="J386:J449" si="25">"Q"&amp;ROUNDUP(MONTH(H386)/3,0)</f>
        <v>Q3</v>
      </c>
      <c r="K386" t="str">
        <f t="shared" ref="K386:K449" si="26">TEXT(H386,"mmm-yyyy")</f>
        <v>Jul-2020</v>
      </c>
      <c r="L386" t="str">
        <f t="shared" ref="L386:L449" si="27">IF(G386&lt;3,"Low",IF(G386&lt;4,"Medium","High"))</f>
        <v>Low</v>
      </c>
    </row>
    <row r="387" spans="1:12" x14ac:dyDescent="0.3">
      <c r="A387">
        <v>2020</v>
      </c>
      <c r="B387" s="2" t="s">
        <v>23</v>
      </c>
      <c r="C387" t="s">
        <v>16</v>
      </c>
      <c r="D387" t="s">
        <v>9</v>
      </c>
      <c r="E387">
        <v>100</v>
      </c>
      <c r="F387">
        <v>143.4</v>
      </c>
      <c r="G387">
        <v>2.5</v>
      </c>
      <c r="H387" s="3">
        <f t="shared" si="24"/>
        <v>44013</v>
      </c>
      <c r="I387">
        <f>MONTH(Table1[[#This Row],[Date]])</f>
        <v>7</v>
      </c>
      <c r="J387" t="str">
        <f t="shared" si="25"/>
        <v>Q3</v>
      </c>
      <c r="K387" t="str">
        <f t="shared" si="26"/>
        <v>Jul-2020</v>
      </c>
      <c r="L387" t="str">
        <f t="shared" si="27"/>
        <v>Low</v>
      </c>
    </row>
    <row r="388" spans="1:12" x14ac:dyDescent="0.3">
      <c r="A388">
        <v>2020</v>
      </c>
      <c r="B388" s="2" t="s">
        <v>23</v>
      </c>
      <c r="C388" t="s">
        <v>16</v>
      </c>
      <c r="D388" t="s">
        <v>10</v>
      </c>
      <c r="E388">
        <v>45.86</v>
      </c>
      <c r="F388">
        <v>145.4</v>
      </c>
      <c r="G388">
        <v>2.58</v>
      </c>
      <c r="H388" s="3">
        <f t="shared" si="24"/>
        <v>44013</v>
      </c>
      <c r="I388">
        <f>MONTH(Table1[[#This Row],[Date]])</f>
        <v>7</v>
      </c>
      <c r="J388" t="str">
        <f t="shared" si="25"/>
        <v>Q3</v>
      </c>
      <c r="K388" t="str">
        <f t="shared" si="26"/>
        <v>Jul-2020</v>
      </c>
      <c r="L388" t="str">
        <f t="shared" si="27"/>
        <v>Low</v>
      </c>
    </row>
    <row r="389" spans="1:12" x14ac:dyDescent="0.3">
      <c r="A389">
        <v>2020</v>
      </c>
      <c r="B389" s="2" t="s">
        <v>23</v>
      </c>
      <c r="C389" t="s">
        <v>16</v>
      </c>
      <c r="D389" t="s">
        <v>11</v>
      </c>
      <c r="E389">
        <v>2.38</v>
      </c>
      <c r="F389">
        <v>147.4</v>
      </c>
      <c r="G389">
        <v>2.66</v>
      </c>
      <c r="H389" s="3">
        <f t="shared" si="24"/>
        <v>44013</v>
      </c>
      <c r="I389">
        <f>MONTH(Table1[[#This Row],[Date]])</f>
        <v>7</v>
      </c>
      <c r="J389" t="str">
        <f t="shared" si="25"/>
        <v>Q3</v>
      </c>
      <c r="K389" t="str">
        <f t="shared" si="26"/>
        <v>Jul-2020</v>
      </c>
      <c r="L389" t="str">
        <f t="shared" si="27"/>
        <v>Low</v>
      </c>
    </row>
    <row r="390" spans="1:12" x14ac:dyDescent="0.3">
      <c r="A390">
        <v>2020</v>
      </c>
      <c r="B390" s="2" t="s">
        <v>23</v>
      </c>
      <c r="C390" t="s">
        <v>16</v>
      </c>
      <c r="D390" t="s">
        <v>12</v>
      </c>
      <c r="E390">
        <v>6.53</v>
      </c>
      <c r="F390">
        <v>149.4</v>
      </c>
      <c r="G390">
        <v>2.74</v>
      </c>
      <c r="H390" s="3">
        <f t="shared" si="24"/>
        <v>44013</v>
      </c>
      <c r="I390">
        <f>MONTH(Table1[[#This Row],[Date]])</f>
        <v>7</v>
      </c>
      <c r="J390" t="str">
        <f t="shared" si="25"/>
        <v>Q3</v>
      </c>
      <c r="K390" t="str">
        <f t="shared" si="26"/>
        <v>Jul-2020</v>
      </c>
      <c r="L390" t="str">
        <f t="shared" si="27"/>
        <v>Low</v>
      </c>
    </row>
    <row r="391" spans="1:12" x14ac:dyDescent="0.3">
      <c r="A391">
        <v>2020</v>
      </c>
      <c r="B391" s="2" t="s">
        <v>23</v>
      </c>
      <c r="C391" t="s">
        <v>16</v>
      </c>
      <c r="D391" t="s">
        <v>13</v>
      </c>
      <c r="E391">
        <v>10.07</v>
      </c>
      <c r="F391">
        <v>151.4</v>
      </c>
      <c r="G391">
        <v>2.82</v>
      </c>
      <c r="H391" s="3">
        <f t="shared" si="24"/>
        <v>44013</v>
      </c>
      <c r="I391">
        <f>MONTH(Table1[[#This Row],[Date]])</f>
        <v>7</v>
      </c>
      <c r="J391" t="str">
        <f t="shared" si="25"/>
        <v>Q3</v>
      </c>
      <c r="K391" t="str">
        <f t="shared" si="26"/>
        <v>Jul-2020</v>
      </c>
      <c r="L391" t="str">
        <f t="shared" si="27"/>
        <v>Low</v>
      </c>
    </row>
    <row r="392" spans="1:12" x14ac:dyDescent="0.3">
      <c r="A392">
        <v>2020</v>
      </c>
      <c r="B392" s="2" t="s">
        <v>23</v>
      </c>
      <c r="C392" t="s">
        <v>16</v>
      </c>
      <c r="D392" t="s">
        <v>14</v>
      </c>
      <c r="E392">
        <v>6.84</v>
      </c>
      <c r="F392">
        <v>153.4</v>
      </c>
      <c r="G392">
        <v>2.9</v>
      </c>
      <c r="H392" s="3">
        <f t="shared" si="24"/>
        <v>44013</v>
      </c>
      <c r="I392">
        <f>MONTH(Table1[[#This Row],[Date]])</f>
        <v>7</v>
      </c>
      <c r="J392" t="str">
        <f t="shared" si="25"/>
        <v>Q3</v>
      </c>
      <c r="K392" t="str">
        <f t="shared" si="26"/>
        <v>Jul-2020</v>
      </c>
      <c r="L392" t="str">
        <f t="shared" si="27"/>
        <v>Low</v>
      </c>
    </row>
    <row r="393" spans="1:12" x14ac:dyDescent="0.3">
      <c r="A393">
        <v>2020</v>
      </c>
      <c r="B393" s="2" t="s">
        <v>23</v>
      </c>
      <c r="C393" t="s">
        <v>16</v>
      </c>
      <c r="D393" t="s">
        <v>15</v>
      </c>
      <c r="E393">
        <v>28.32</v>
      </c>
      <c r="F393">
        <v>155.4</v>
      </c>
      <c r="G393">
        <v>2.98</v>
      </c>
      <c r="H393" s="3">
        <f t="shared" si="24"/>
        <v>44013</v>
      </c>
      <c r="I393">
        <f>MONTH(Table1[[#This Row],[Date]])</f>
        <v>7</v>
      </c>
      <c r="J393" t="str">
        <f t="shared" si="25"/>
        <v>Q3</v>
      </c>
      <c r="K393" t="str">
        <f t="shared" si="26"/>
        <v>Jul-2020</v>
      </c>
      <c r="L393" t="str">
        <f t="shared" si="27"/>
        <v>Low</v>
      </c>
    </row>
    <row r="394" spans="1:12" x14ac:dyDescent="0.3">
      <c r="A394">
        <v>2020</v>
      </c>
      <c r="B394" s="2" t="s">
        <v>23</v>
      </c>
      <c r="C394" t="s">
        <v>17</v>
      </c>
      <c r="D394" t="s">
        <v>9</v>
      </c>
      <c r="E394">
        <v>100</v>
      </c>
      <c r="F394">
        <v>144</v>
      </c>
      <c r="G394">
        <v>2.5</v>
      </c>
      <c r="H394" s="3">
        <f t="shared" si="24"/>
        <v>44013</v>
      </c>
      <c r="I394">
        <f>MONTH(Table1[[#This Row],[Date]])</f>
        <v>7</v>
      </c>
      <c r="J394" t="str">
        <f t="shared" si="25"/>
        <v>Q3</v>
      </c>
      <c r="K394" t="str">
        <f t="shared" si="26"/>
        <v>Jul-2020</v>
      </c>
      <c r="L394" t="str">
        <f t="shared" si="27"/>
        <v>Low</v>
      </c>
    </row>
    <row r="395" spans="1:12" x14ac:dyDescent="0.3">
      <c r="A395">
        <v>2020</v>
      </c>
      <c r="B395" s="2" t="s">
        <v>23</v>
      </c>
      <c r="C395" t="s">
        <v>17</v>
      </c>
      <c r="D395" t="s">
        <v>10</v>
      </c>
      <c r="E395">
        <v>45.86</v>
      </c>
      <c r="F395">
        <v>146</v>
      </c>
      <c r="G395">
        <v>2.58</v>
      </c>
      <c r="H395" s="3">
        <f t="shared" si="24"/>
        <v>44013</v>
      </c>
      <c r="I395">
        <f>MONTH(Table1[[#This Row],[Date]])</f>
        <v>7</v>
      </c>
      <c r="J395" t="str">
        <f t="shared" si="25"/>
        <v>Q3</v>
      </c>
      <c r="K395" t="str">
        <f t="shared" si="26"/>
        <v>Jul-2020</v>
      </c>
      <c r="L395" t="str">
        <f t="shared" si="27"/>
        <v>Low</v>
      </c>
    </row>
    <row r="396" spans="1:12" x14ac:dyDescent="0.3">
      <c r="A396">
        <v>2020</v>
      </c>
      <c r="B396" s="2" t="s">
        <v>23</v>
      </c>
      <c r="C396" t="s">
        <v>17</v>
      </c>
      <c r="D396" t="s">
        <v>11</v>
      </c>
      <c r="E396">
        <v>2.38</v>
      </c>
      <c r="F396">
        <v>148</v>
      </c>
      <c r="G396">
        <v>2.66</v>
      </c>
      <c r="H396" s="3">
        <f t="shared" si="24"/>
        <v>44013</v>
      </c>
      <c r="I396">
        <f>MONTH(Table1[[#This Row],[Date]])</f>
        <v>7</v>
      </c>
      <c r="J396" t="str">
        <f t="shared" si="25"/>
        <v>Q3</v>
      </c>
      <c r="K396" t="str">
        <f t="shared" si="26"/>
        <v>Jul-2020</v>
      </c>
      <c r="L396" t="str">
        <f t="shared" si="27"/>
        <v>Low</v>
      </c>
    </row>
    <row r="397" spans="1:12" x14ac:dyDescent="0.3">
      <c r="A397">
        <v>2020</v>
      </c>
      <c r="B397" s="2" t="s">
        <v>23</v>
      </c>
      <c r="C397" t="s">
        <v>17</v>
      </c>
      <c r="D397" t="s">
        <v>12</v>
      </c>
      <c r="E397">
        <v>6.53</v>
      </c>
      <c r="F397">
        <v>150</v>
      </c>
      <c r="G397">
        <v>2.74</v>
      </c>
      <c r="H397" s="3">
        <f t="shared" si="24"/>
        <v>44013</v>
      </c>
      <c r="I397">
        <f>MONTH(Table1[[#This Row],[Date]])</f>
        <v>7</v>
      </c>
      <c r="J397" t="str">
        <f t="shared" si="25"/>
        <v>Q3</v>
      </c>
      <c r="K397" t="str">
        <f t="shared" si="26"/>
        <v>Jul-2020</v>
      </c>
      <c r="L397" t="str">
        <f t="shared" si="27"/>
        <v>Low</v>
      </c>
    </row>
    <row r="398" spans="1:12" x14ac:dyDescent="0.3">
      <c r="A398">
        <v>2020</v>
      </c>
      <c r="B398" s="2" t="s">
        <v>23</v>
      </c>
      <c r="C398" t="s">
        <v>17</v>
      </c>
      <c r="D398" t="s">
        <v>13</v>
      </c>
      <c r="E398">
        <v>10.07</v>
      </c>
      <c r="F398">
        <v>152</v>
      </c>
      <c r="G398">
        <v>2.82</v>
      </c>
      <c r="H398" s="3">
        <f t="shared" si="24"/>
        <v>44013</v>
      </c>
      <c r="I398">
        <f>MONTH(Table1[[#This Row],[Date]])</f>
        <v>7</v>
      </c>
      <c r="J398" t="str">
        <f t="shared" si="25"/>
        <v>Q3</v>
      </c>
      <c r="K398" t="str">
        <f t="shared" si="26"/>
        <v>Jul-2020</v>
      </c>
      <c r="L398" t="str">
        <f t="shared" si="27"/>
        <v>Low</v>
      </c>
    </row>
    <row r="399" spans="1:12" x14ac:dyDescent="0.3">
      <c r="A399">
        <v>2020</v>
      </c>
      <c r="B399" s="2" t="s">
        <v>23</v>
      </c>
      <c r="C399" t="s">
        <v>17</v>
      </c>
      <c r="D399" t="s">
        <v>14</v>
      </c>
      <c r="E399">
        <v>6.84</v>
      </c>
      <c r="F399">
        <v>154</v>
      </c>
      <c r="G399">
        <v>2.9</v>
      </c>
      <c r="H399" s="3">
        <f t="shared" si="24"/>
        <v>44013</v>
      </c>
      <c r="I399">
        <f>MONTH(Table1[[#This Row],[Date]])</f>
        <v>7</v>
      </c>
      <c r="J399" t="str">
        <f t="shared" si="25"/>
        <v>Q3</v>
      </c>
      <c r="K399" t="str">
        <f t="shared" si="26"/>
        <v>Jul-2020</v>
      </c>
      <c r="L399" t="str">
        <f t="shared" si="27"/>
        <v>Low</v>
      </c>
    </row>
    <row r="400" spans="1:12" x14ac:dyDescent="0.3">
      <c r="A400">
        <v>2020</v>
      </c>
      <c r="B400" s="2" t="s">
        <v>23</v>
      </c>
      <c r="C400" t="s">
        <v>17</v>
      </c>
      <c r="D400" t="s">
        <v>15</v>
      </c>
      <c r="E400">
        <v>28.32</v>
      </c>
      <c r="F400">
        <v>156</v>
      </c>
      <c r="G400">
        <v>2.98</v>
      </c>
      <c r="H400" s="3">
        <f t="shared" si="24"/>
        <v>44013</v>
      </c>
      <c r="I400">
        <f>MONTH(Table1[[#This Row],[Date]])</f>
        <v>7</v>
      </c>
      <c r="J400" t="str">
        <f t="shared" si="25"/>
        <v>Q3</v>
      </c>
      <c r="K400" t="str">
        <f t="shared" si="26"/>
        <v>Jul-2020</v>
      </c>
      <c r="L400" t="str">
        <f t="shared" si="27"/>
        <v>Low</v>
      </c>
    </row>
    <row r="401" spans="1:12" x14ac:dyDescent="0.3">
      <c r="A401">
        <v>2020</v>
      </c>
      <c r="B401" s="2" t="s">
        <v>24</v>
      </c>
      <c r="C401" t="s">
        <v>8</v>
      </c>
      <c r="D401" t="s">
        <v>9</v>
      </c>
      <c r="E401">
        <v>100</v>
      </c>
      <c r="F401">
        <v>143.19999999999999</v>
      </c>
      <c r="G401">
        <v>2.65</v>
      </c>
      <c r="H401" s="3">
        <f t="shared" si="24"/>
        <v>44044</v>
      </c>
      <c r="I401">
        <f>MONTH(Table1[[#This Row],[Date]])</f>
        <v>8</v>
      </c>
      <c r="J401" t="str">
        <f t="shared" si="25"/>
        <v>Q3</v>
      </c>
      <c r="K401" t="str">
        <f t="shared" si="26"/>
        <v>Aug-2020</v>
      </c>
      <c r="L401" t="str">
        <f t="shared" si="27"/>
        <v>Low</v>
      </c>
    </row>
    <row r="402" spans="1:12" x14ac:dyDescent="0.3">
      <c r="A402">
        <v>2020</v>
      </c>
      <c r="B402" s="2" t="s">
        <v>24</v>
      </c>
      <c r="C402" t="s">
        <v>8</v>
      </c>
      <c r="D402" t="s">
        <v>10</v>
      </c>
      <c r="E402">
        <v>45.86</v>
      </c>
      <c r="F402">
        <v>145.19999999999999</v>
      </c>
      <c r="G402">
        <v>2.73</v>
      </c>
      <c r="H402" s="3">
        <f t="shared" si="24"/>
        <v>44044</v>
      </c>
      <c r="I402">
        <f>MONTH(Table1[[#This Row],[Date]])</f>
        <v>8</v>
      </c>
      <c r="J402" t="str">
        <f t="shared" si="25"/>
        <v>Q3</v>
      </c>
      <c r="K402" t="str">
        <f t="shared" si="26"/>
        <v>Aug-2020</v>
      </c>
      <c r="L402" t="str">
        <f t="shared" si="27"/>
        <v>Low</v>
      </c>
    </row>
    <row r="403" spans="1:12" x14ac:dyDescent="0.3">
      <c r="A403">
        <v>2020</v>
      </c>
      <c r="B403" s="2" t="s">
        <v>24</v>
      </c>
      <c r="C403" t="s">
        <v>8</v>
      </c>
      <c r="D403" t="s">
        <v>11</v>
      </c>
      <c r="E403">
        <v>2.38</v>
      </c>
      <c r="F403">
        <v>147.19999999999999</v>
      </c>
      <c r="G403">
        <v>2.81</v>
      </c>
      <c r="H403" s="3">
        <f t="shared" si="24"/>
        <v>44044</v>
      </c>
      <c r="I403">
        <f>MONTH(Table1[[#This Row],[Date]])</f>
        <v>8</v>
      </c>
      <c r="J403" t="str">
        <f t="shared" si="25"/>
        <v>Q3</v>
      </c>
      <c r="K403" t="str">
        <f t="shared" si="26"/>
        <v>Aug-2020</v>
      </c>
      <c r="L403" t="str">
        <f t="shared" si="27"/>
        <v>Low</v>
      </c>
    </row>
    <row r="404" spans="1:12" x14ac:dyDescent="0.3">
      <c r="A404">
        <v>2020</v>
      </c>
      <c r="B404" s="2" t="s">
        <v>24</v>
      </c>
      <c r="C404" t="s">
        <v>8</v>
      </c>
      <c r="D404" t="s">
        <v>12</v>
      </c>
      <c r="E404">
        <v>6.53</v>
      </c>
      <c r="F404">
        <v>149.19999999999999</v>
      </c>
      <c r="G404">
        <v>2.89</v>
      </c>
      <c r="H404" s="3">
        <f t="shared" si="24"/>
        <v>44044</v>
      </c>
      <c r="I404">
        <f>MONTH(Table1[[#This Row],[Date]])</f>
        <v>8</v>
      </c>
      <c r="J404" t="str">
        <f t="shared" si="25"/>
        <v>Q3</v>
      </c>
      <c r="K404" t="str">
        <f t="shared" si="26"/>
        <v>Aug-2020</v>
      </c>
      <c r="L404" t="str">
        <f t="shared" si="27"/>
        <v>Low</v>
      </c>
    </row>
    <row r="405" spans="1:12" x14ac:dyDescent="0.3">
      <c r="A405">
        <v>2020</v>
      </c>
      <c r="B405" s="2" t="s">
        <v>24</v>
      </c>
      <c r="C405" t="s">
        <v>8</v>
      </c>
      <c r="D405" t="s">
        <v>13</v>
      </c>
      <c r="E405">
        <v>10.07</v>
      </c>
      <c r="F405">
        <v>151.19999999999999</v>
      </c>
      <c r="G405">
        <v>2.97</v>
      </c>
      <c r="H405" s="3">
        <f t="shared" si="24"/>
        <v>44044</v>
      </c>
      <c r="I405">
        <f>MONTH(Table1[[#This Row],[Date]])</f>
        <v>8</v>
      </c>
      <c r="J405" t="str">
        <f t="shared" si="25"/>
        <v>Q3</v>
      </c>
      <c r="K405" t="str">
        <f t="shared" si="26"/>
        <v>Aug-2020</v>
      </c>
      <c r="L405" t="str">
        <f t="shared" si="27"/>
        <v>Low</v>
      </c>
    </row>
    <row r="406" spans="1:12" x14ac:dyDescent="0.3">
      <c r="A406">
        <v>2020</v>
      </c>
      <c r="B406" s="2" t="s">
        <v>24</v>
      </c>
      <c r="C406" t="s">
        <v>8</v>
      </c>
      <c r="D406" t="s">
        <v>14</v>
      </c>
      <c r="E406">
        <v>6.84</v>
      </c>
      <c r="F406">
        <v>153.19999999999999</v>
      </c>
      <c r="G406">
        <v>3.05</v>
      </c>
      <c r="H406" s="3">
        <f t="shared" si="24"/>
        <v>44044</v>
      </c>
      <c r="I406">
        <f>MONTH(Table1[[#This Row],[Date]])</f>
        <v>8</v>
      </c>
      <c r="J406" t="str">
        <f t="shared" si="25"/>
        <v>Q3</v>
      </c>
      <c r="K406" t="str">
        <f t="shared" si="26"/>
        <v>Aug-2020</v>
      </c>
      <c r="L406" t="str">
        <f t="shared" si="27"/>
        <v>Medium</v>
      </c>
    </row>
    <row r="407" spans="1:12" x14ac:dyDescent="0.3">
      <c r="A407">
        <v>2020</v>
      </c>
      <c r="B407" s="2" t="s">
        <v>24</v>
      </c>
      <c r="C407" t="s">
        <v>8</v>
      </c>
      <c r="D407" t="s">
        <v>15</v>
      </c>
      <c r="E407">
        <v>28.32</v>
      </c>
      <c r="F407">
        <v>155.19999999999999</v>
      </c>
      <c r="G407">
        <v>3.13</v>
      </c>
      <c r="H407" s="3">
        <f t="shared" si="24"/>
        <v>44044</v>
      </c>
      <c r="I407">
        <f>MONTH(Table1[[#This Row],[Date]])</f>
        <v>8</v>
      </c>
      <c r="J407" t="str">
        <f t="shared" si="25"/>
        <v>Q3</v>
      </c>
      <c r="K407" t="str">
        <f t="shared" si="26"/>
        <v>Aug-2020</v>
      </c>
      <c r="L407" t="str">
        <f t="shared" si="27"/>
        <v>Medium</v>
      </c>
    </row>
    <row r="408" spans="1:12" x14ac:dyDescent="0.3">
      <c r="A408">
        <v>2020</v>
      </c>
      <c r="B408" s="2" t="s">
        <v>24</v>
      </c>
      <c r="C408" t="s">
        <v>16</v>
      </c>
      <c r="D408" t="s">
        <v>9</v>
      </c>
      <c r="E408">
        <v>100</v>
      </c>
      <c r="F408">
        <v>143.80000000000001</v>
      </c>
      <c r="G408">
        <v>2.65</v>
      </c>
      <c r="H408" s="3">
        <f t="shared" si="24"/>
        <v>44044</v>
      </c>
      <c r="I408">
        <f>MONTH(Table1[[#This Row],[Date]])</f>
        <v>8</v>
      </c>
      <c r="J408" t="str">
        <f t="shared" si="25"/>
        <v>Q3</v>
      </c>
      <c r="K408" t="str">
        <f t="shared" si="26"/>
        <v>Aug-2020</v>
      </c>
      <c r="L408" t="str">
        <f t="shared" si="27"/>
        <v>Low</v>
      </c>
    </row>
    <row r="409" spans="1:12" x14ac:dyDescent="0.3">
      <c r="A409">
        <v>2020</v>
      </c>
      <c r="B409" s="2" t="s">
        <v>24</v>
      </c>
      <c r="C409" t="s">
        <v>16</v>
      </c>
      <c r="D409" t="s">
        <v>10</v>
      </c>
      <c r="E409">
        <v>45.86</v>
      </c>
      <c r="F409">
        <v>145.80000000000001</v>
      </c>
      <c r="G409">
        <v>2.73</v>
      </c>
      <c r="H409" s="3">
        <f t="shared" si="24"/>
        <v>44044</v>
      </c>
      <c r="I409">
        <f>MONTH(Table1[[#This Row],[Date]])</f>
        <v>8</v>
      </c>
      <c r="J409" t="str">
        <f t="shared" si="25"/>
        <v>Q3</v>
      </c>
      <c r="K409" t="str">
        <f t="shared" si="26"/>
        <v>Aug-2020</v>
      </c>
      <c r="L409" t="str">
        <f t="shared" si="27"/>
        <v>Low</v>
      </c>
    </row>
    <row r="410" spans="1:12" x14ac:dyDescent="0.3">
      <c r="A410">
        <v>2020</v>
      </c>
      <c r="B410" s="2" t="s">
        <v>24</v>
      </c>
      <c r="C410" t="s">
        <v>16</v>
      </c>
      <c r="D410" t="s">
        <v>11</v>
      </c>
      <c r="E410">
        <v>2.38</v>
      </c>
      <c r="F410">
        <v>147.80000000000001</v>
      </c>
      <c r="G410">
        <v>2.81</v>
      </c>
      <c r="H410" s="3">
        <f t="shared" si="24"/>
        <v>44044</v>
      </c>
      <c r="I410">
        <f>MONTH(Table1[[#This Row],[Date]])</f>
        <v>8</v>
      </c>
      <c r="J410" t="str">
        <f t="shared" si="25"/>
        <v>Q3</v>
      </c>
      <c r="K410" t="str">
        <f t="shared" si="26"/>
        <v>Aug-2020</v>
      </c>
      <c r="L410" t="str">
        <f t="shared" si="27"/>
        <v>Low</v>
      </c>
    </row>
    <row r="411" spans="1:12" x14ac:dyDescent="0.3">
      <c r="A411">
        <v>2020</v>
      </c>
      <c r="B411" s="2" t="s">
        <v>24</v>
      </c>
      <c r="C411" t="s">
        <v>16</v>
      </c>
      <c r="D411" t="s">
        <v>12</v>
      </c>
      <c r="E411">
        <v>6.53</v>
      </c>
      <c r="F411">
        <v>149.80000000000001</v>
      </c>
      <c r="G411">
        <v>2.89</v>
      </c>
      <c r="H411" s="3">
        <f t="shared" si="24"/>
        <v>44044</v>
      </c>
      <c r="I411">
        <f>MONTH(Table1[[#This Row],[Date]])</f>
        <v>8</v>
      </c>
      <c r="J411" t="str">
        <f t="shared" si="25"/>
        <v>Q3</v>
      </c>
      <c r="K411" t="str">
        <f t="shared" si="26"/>
        <v>Aug-2020</v>
      </c>
      <c r="L411" t="str">
        <f t="shared" si="27"/>
        <v>Low</v>
      </c>
    </row>
    <row r="412" spans="1:12" x14ac:dyDescent="0.3">
      <c r="A412">
        <v>2020</v>
      </c>
      <c r="B412" s="2" t="s">
        <v>24</v>
      </c>
      <c r="C412" t="s">
        <v>16</v>
      </c>
      <c r="D412" t="s">
        <v>13</v>
      </c>
      <c r="E412">
        <v>10.07</v>
      </c>
      <c r="F412">
        <v>151.80000000000001</v>
      </c>
      <c r="G412">
        <v>2.97</v>
      </c>
      <c r="H412" s="3">
        <f t="shared" si="24"/>
        <v>44044</v>
      </c>
      <c r="I412">
        <f>MONTH(Table1[[#This Row],[Date]])</f>
        <v>8</v>
      </c>
      <c r="J412" t="str">
        <f t="shared" si="25"/>
        <v>Q3</v>
      </c>
      <c r="K412" t="str">
        <f t="shared" si="26"/>
        <v>Aug-2020</v>
      </c>
      <c r="L412" t="str">
        <f t="shared" si="27"/>
        <v>Low</v>
      </c>
    </row>
    <row r="413" spans="1:12" x14ac:dyDescent="0.3">
      <c r="A413">
        <v>2020</v>
      </c>
      <c r="B413" s="2" t="s">
        <v>24</v>
      </c>
      <c r="C413" t="s">
        <v>16</v>
      </c>
      <c r="D413" t="s">
        <v>14</v>
      </c>
      <c r="E413">
        <v>6.84</v>
      </c>
      <c r="F413">
        <v>153.80000000000001</v>
      </c>
      <c r="G413">
        <v>3.05</v>
      </c>
      <c r="H413" s="3">
        <f t="shared" si="24"/>
        <v>44044</v>
      </c>
      <c r="I413">
        <f>MONTH(Table1[[#This Row],[Date]])</f>
        <v>8</v>
      </c>
      <c r="J413" t="str">
        <f t="shared" si="25"/>
        <v>Q3</v>
      </c>
      <c r="K413" t="str">
        <f t="shared" si="26"/>
        <v>Aug-2020</v>
      </c>
      <c r="L413" t="str">
        <f t="shared" si="27"/>
        <v>Medium</v>
      </c>
    </row>
    <row r="414" spans="1:12" x14ac:dyDescent="0.3">
      <c r="A414">
        <v>2020</v>
      </c>
      <c r="B414" s="2" t="s">
        <v>24</v>
      </c>
      <c r="C414" t="s">
        <v>16</v>
      </c>
      <c r="D414" t="s">
        <v>15</v>
      </c>
      <c r="E414">
        <v>28.32</v>
      </c>
      <c r="F414">
        <v>155.80000000000001</v>
      </c>
      <c r="G414">
        <v>3.13</v>
      </c>
      <c r="H414" s="3">
        <f t="shared" si="24"/>
        <v>44044</v>
      </c>
      <c r="I414">
        <f>MONTH(Table1[[#This Row],[Date]])</f>
        <v>8</v>
      </c>
      <c r="J414" t="str">
        <f t="shared" si="25"/>
        <v>Q3</v>
      </c>
      <c r="K414" t="str">
        <f t="shared" si="26"/>
        <v>Aug-2020</v>
      </c>
      <c r="L414" t="str">
        <f t="shared" si="27"/>
        <v>Medium</v>
      </c>
    </row>
    <row r="415" spans="1:12" x14ac:dyDescent="0.3">
      <c r="A415">
        <v>2020</v>
      </c>
      <c r="B415" s="2" t="s">
        <v>24</v>
      </c>
      <c r="C415" t="s">
        <v>17</v>
      </c>
      <c r="D415" t="s">
        <v>9</v>
      </c>
      <c r="E415">
        <v>100</v>
      </c>
      <c r="F415">
        <v>144.4</v>
      </c>
      <c r="G415">
        <v>2.65</v>
      </c>
      <c r="H415" s="3">
        <f t="shared" si="24"/>
        <v>44044</v>
      </c>
      <c r="I415">
        <f>MONTH(Table1[[#This Row],[Date]])</f>
        <v>8</v>
      </c>
      <c r="J415" t="str">
        <f t="shared" si="25"/>
        <v>Q3</v>
      </c>
      <c r="K415" t="str">
        <f t="shared" si="26"/>
        <v>Aug-2020</v>
      </c>
      <c r="L415" t="str">
        <f t="shared" si="27"/>
        <v>Low</v>
      </c>
    </row>
    <row r="416" spans="1:12" x14ac:dyDescent="0.3">
      <c r="A416">
        <v>2020</v>
      </c>
      <c r="B416" s="2" t="s">
        <v>24</v>
      </c>
      <c r="C416" t="s">
        <v>17</v>
      </c>
      <c r="D416" t="s">
        <v>10</v>
      </c>
      <c r="E416">
        <v>45.86</v>
      </c>
      <c r="F416">
        <v>146.4</v>
      </c>
      <c r="G416">
        <v>2.73</v>
      </c>
      <c r="H416" s="3">
        <f t="shared" si="24"/>
        <v>44044</v>
      </c>
      <c r="I416">
        <f>MONTH(Table1[[#This Row],[Date]])</f>
        <v>8</v>
      </c>
      <c r="J416" t="str">
        <f t="shared" si="25"/>
        <v>Q3</v>
      </c>
      <c r="K416" t="str">
        <f t="shared" si="26"/>
        <v>Aug-2020</v>
      </c>
      <c r="L416" t="str">
        <f t="shared" si="27"/>
        <v>Low</v>
      </c>
    </row>
    <row r="417" spans="1:12" x14ac:dyDescent="0.3">
      <c r="A417">
        <v>2020</v>
      </c>
      <c r="B417" s="2" t="s">
        <v>24</v>
      </c>
      <c r="C417" t="s">
        <v>17</v>
      </c>
      <c r="D417" t="s">
        <v>11</v>
      </c>
      <c r="E417">
        <v>2.38</v>
      </c>
      <c r="F417">
        <v>148.4</v>
      </c>
      <c r="G417">
        <v>2.81</v>
      </c>
      <c r="H417" s="3">
        <f t="shared" si="24"/>
        <v>44044</v>
      </c>
      <c r="I417">
        <f>MONTH(Table1[[#This Row],[Date]])</f>
        <v>8</v>
      </c>
      <c r="J417" t="str">
        <f t="shared" si="25"/>
        <v>Q3</v>
      </c>
      <c r="K417" t="str">
        <f t="shared" si="26"/>
        <v>Aug-2020</v>
      </c>
      <c r="L417" t="str">
        <f t="shared" si="27"/>
        <v>Low</v>
      </c>
    </row>
    <row r="418" spans="1:12" x14ac:dyDescent="0.3">
      <c r="A418">
        <v>2020</v>
      </c>
      <c r="B418" s="2" t="s">
        <v>24</v>
      </c>
      <c r="C418" t="s">
        <v>17</v>
      </c>
      <c r="D418" t="s">
        <v>12</v>
      </c>
      <c r="E418">
        <v>6.53</v>
      </c>
      <c r="F418">
        <v>150.4</v>
      </c>
      <c r="G418">
        <v>2.89</v>
      </c>
      <c r="H418" s="3">
        <f t="shared" si="24"/>
        <v>44044</v>
      </c>
      <c r="I418">
        <f>MONTH(Table1[[#This Row],[Date]])</f>
        <v>8</v>
      </c>
      <c r="J418" t="str">
        <f t="shared" si="25"/>
        <v>Q3</v>
      </c>
      <c r="K418" t="str">
        <f t="shared" si="26"/>
        <v>Aug-2020</v>
      </c>
      <c r="L418" t="str">
        <f t="shared" si="27"/>
        <v>Low</v>
      </c>
    </row>
    <row r="419" spans="1:12" x14ac:dyDescent="0.3">
      <c r="A419">
        <v>2020</v>
      </c>
      <c r="B419" s="2" t="s">
        <v>24</v>
      </c>
      <c r="C419" t="s">
        <v>17</v>
      </c>
      <c r="D419" t="s">
        <v>13</v>
      </c>
      <c r="E419">
        <v>10.07</v>
      </c>
      <c r="F419">
        <v>152.4</v>
      </c>
      <c r="G419">
        <v>2.97</v>
      </c>
      <c r="H419" s="3">
        <f t="shared" si="24"/>
        <v>44044</v>
      </c>
      <c r="I419">
        <f>MONTH(Table1[[#This Row],[Date]])</f>
        <v>8</v>
      </c>
      <c r="J419" t="str">
        <f t="shared" si="25"/>
        <v>Q3</v>
      </c>
      <c r="K419" t="str">
        <f t="shared" si="26"/>
        <v>Aug-2020</v>
      </c>
      <c r="L419" t="str">
        <f t="shared" si="27"/>
        <v>Low</v>
      </c>
    </row>
    <row r="420" spans="1:12" x14ac:dyDescent="0.3">
      <c r="A420">
        <v>2020</v>
      </c>
      <c r="B420" s="2" t="s">
        <v>24</v>
      </c>
      <c r="C420" t="s">
        <v>17</v>
      </c>
      <c r="D420" t="s">
        <v>14</v>
      </c>
      <c r="E420">
        <v>6.84</v>
      </c>
      <c r="F420">
        <v>154.4</v>
      </c>
      <c r="G420">
        <v>3.05</v>
      </c>
      <c r="H420" s="3">
        <f t="shared" si="24"/>
        <v>44044</v>
      </c>
      <c r="I420">
        <f>MONTH(Table1[[#This Row],[Date]])</f>
        <v>8</v>
      </c>
      <c r="J420" t="str">
        <f t="shared" si="25"/>
        <v>Q3</v>
      </c>
      <c r="K420" t="str">
        <f t="shared" si="26"/>
        <v>Aug-2020</v>
      </c>
      <c r="L420" t="str">
        <f t="shared" si="27"/>
        <v>Medium</v>
      </c>
    </row>
    <row r="421" spans="1:12" x14ac:dyDescent="0.3">
      <c r="A421">
        <v>2020</v>
      </c>
      <c r="B421" s="2" t="s">
        <v>24</v>
      </c>
      <c r="C421" t="s">
        <v>17</v>
      </c>
      <c r="D421" t="s">
        <v>15</v>
      </c>
      <c r="E421">
        <v>28.32</v>
      </c>
      <c r="F421">
        <v>156.4</v>
      </c>
      <c r="G421">
        <v>3.13</v>
      </c>
      <c r="H421" s="3">
        <f t="shared" si="24"/>
        <v>44044</v>
      </c>
      <c r="I421">
        <f>MONTH(Table1[[#This Row],[Date]])</f>
        <v>8</v>
      </c>
      <c r="J421" t="str">
        <f t="shared" si="25"/>
        <v>Q3</v>
      </c>
      <c r="K421" t="str">
        <f t="shared" si="26"/>
        <v>Aug-2020</v>
      </c>
      <c r="L421" t="str">
        <f t="shared" si="27"/>
        <v>Medium</v>
      </c>
    </row>
    <row r="422" spans="1:12" x14ac:dyDescent="0.3">
      <c r="A422">
        <v>2020</v>
      </c>
      <c r="B422" s="2" t="s">
        <v>25</v>
      </c>
      <c r="C422" t="s">
        <v>8</v>
      </c>
      <c r="D422" t="s">
        <v>9</v>
      </c>
      <c r="E422">
        <v>100</v>
      </c>
      <c r="F422">
        <v>143.6</v>
      </c>
      <c r="G422">
        <v>2.8</v>
      </c>
      <c r="H422" s="3">
        <f t="shared" si="24"/>
        <v>44075</v>
      </c>
      <c r="I422">
        <f>MONTH(Table1[[#This Row],[Date]])</f>
        <v>9</v>
      </c>
      <c r="J422" t="str">
        <f t="shared" si="25"/>
        <v>Q3</v>
      </c>
      <c r="K422" t="str">
        <f t="shared" si="26"/>
        <v>Sept-2020</v>
      </c>
      <c r="L422" t="str">
        <f t="shared" si="27"/>
        <v>Low</v>
      </c>
    </row>
    <row r="423" spans="1:12" x14ac:dyDescent="0.3">
      <c r="A423">
        <v>2020</v>
      </c>
      <c r="B423" s="2" t="s">
        <v>25</v>
      </c>
      <c r="C423" t="s">
        <v>8</v>
      </c>
      <c r="D423" t="s">
        <v>10</v>
      </c>
      <c r="E423">
        <v>45.86</v>
      </c>
      <c r="F423">
        <v>145.6</v>
      </c>
      <c r="G423">
        <v>2.88</v>
      </c>
      <c r="H423" s="3">
        <f t="shared" si="24"/>
        <v>44075</v>
      </c>
      <c r="I423">
        <f>MONTH(Table1[[#This Row],[Date]])</f>
        <v>9</v>
      </c>
      <c r="J423" t="str">
        <f t="shared" si="25"/>
        <v>Q3</v>
      </c>
      <c r="K423" t="str">
        <f t="shared" si="26"/>
        <v>Sept-2020</v>
      </c>
      <c r="L423" t="str">
        <f t="shared" si="27"/>
        <v>Low</v>
      </c>
    </row>
    <row r="424" spans="1:12" x14ac:dyDescent="0.3">
      <c r="A424">
        <v>2020</v>
      </c>
      <c r="B424" s="2" t="s">
        <v>25</v>
      </c>
      <c r="C424" t="s">
        <v>8</v>
      </c>
      <c r="D424" t="s">
        <v>11</v>
      </c>
      <c r="E424">
        <v>2.38</v>
      </c>
      <c r="F424">
        <v>147.6</v>
      </c>
      <c r="G424">
        <v>2.96</v>
      </c>
      <c r="H424" s="3">
        <f t="shared" si="24"/>
        <v>44075</v>
      </c>
      <c r="I424">
        <f>MONTH(Table1[[#This Row],[Date]])</f>
        <v>9</v>
      </c>
      <c r="J424" t="str">
        <f t="shared" si="25"/>
        <v>Q3</v>
      </c>
      <c r="K424" t="str">
        <f t="shared" si="26"/>
        <v>Sept-2020</v>
      </c>
      <c r="L424" t="str">
        <f t="shared" si="27"/>
        <v>Low</v>
      </c>
    </row>
    <row r="425" spans="1:12" x14ac:dyDescent="0.3">
      <c r="A425">
        <v>2020</v>
      </c>
      <c r="B425" s="2" t="s">
        <v>25</v>
      </c>
      <c r="C425" t="s">
        <v>8</v>
      </c>
      <c r="D425" t="s">
        <v>12</v>
      </c>
      <c r="E425">
        <v>6.53</v>
      </c>
      <c r="F425">
        <v>149.6</v>
      </c>
      <c r="G425">
        <v>3.04</v>
      </c>
      <c r="H425" s="3">
        <f t="shared" si="24"/>
        <v>44075</v>
      </c>
      <c r="I425">
        <f>MONTH(Table1[[#This Row],[Date]])</f>
        <v>9</v>
      </c>
      <c r="J425" t="str">
        <f t="shared" si="25"/>
        <v>Q3</v>
      </c>
      <c r="K425" t="str">
        <f t="shared" si="26"/>
        <v>Sept-2020</v>
      </c>
      <c r="L425" t="str">
        <f t="shared" si="27"/>
        <v>Medium</v>
      </c>
    </row>
    <row r="426" spans="1:12" x14ac:dyDescent="0.3">
      <c r="A426">
        <v>2020</v>
      </c>
      <c r="B426" s="2" t="s">
        <v>25</v>
      </c>
      <c r="C426" t="s">
        <v>8</v>
      </c>
      <c r="D426" t="s">
        <v>13</v>
      </c>
      <c r="E426">
        <v>10.07</v>
      </c>
      <c r="F426">
        <v>151.6</v>
      </c>
      <c r="G426">
        <v>3.12</v>
      </c>
      <c r="H426" s="3">
        <f t="shared" si="24"/>
        <v>44075</v>
      </c>
      <c r="I426">
        <f>MONTH(Table1[[#This Row],[Date]])</f>
        <v>9</v>
      </c>
      <c r="J426" t="str">
        <f t="shared" si="25"/>
        <v>Q3</v>
      </c>
      <c r="K426" t="str">
        <f t="shared" si="26"/>
        <v>Sept-2020</v>
      </c>
      <c r="L426" t="str">
        <f t="shared" si="27"/>
        <v>Medium</v>
      </c>
    </row>
    <row r="427" spans="1:12" x14ac:dyDescent="0.3">
      <c r="A427">
        <v>2020</v>
      </c>
      <c r="B427" s="2" t="s">
        <v>25</v>
      </c>
      <c r="C427" t="s">
        <v>8</v>
      </c>
      <c r="D427" t="s">
        <v>14</v>
      </c>
      <c r="E427">
        <v>6.84</v>
      </c>
      <c r="F427">
        <v>153.6</v>
      </c>
      <c r="G427">
        <v>3.2</v>
      </c>
      <c r="H427" s="3">
        <f t="shared" si="24"/>
        <v>44075</v>
      </c>
      <c r="I427">
        <f>MONTH(Table1[[#This Row],[Date]])</f>
        <v>9</v>
      </c>
      <c r="J427" t="str">
        <f t="shared" si="25"/>
        <v>Q3</v>
      </c>
      <c r="K427" t="str">
        <f t="shared" si="26"/>
        <v>Sept-2020</v>
      </c>
      <c r="L427" t="str">
        <f t="shared" si="27"/>
        <v>Medium</v>
      </c>
    </row>
    <row r="428" spans="1:12" x14ac:dyDescent="0.3">
      <c r="A428">
        <v>2020</v>
      </c>
      <c r="B428" s="2" t="s">
        <v>25</v>
      </c>
      <c r="C428" t="s">
        <v>8</v>
      </c>
      <c r="D428" t="s">
        <v>15</v>
      </c>
      <c r="E428">
        <v>28.32</v>
      </c>
      <c r="F428">
        <v>155.6</v>
      </c>
      <c r="G428">
        <v>3.28</v>
      </c>
      <c r="H428" s="3">
        <f t="shared" si="24"/>
        <v>44075</v>
      </c>
      <c r="I428">
        <f>MONTH(Table1[[#This Row],[Date]])</f>
        <v>9</v>
      </c>
      <c r="J428" t="str">
        <f t="shared" si="25"/>
        <v>Q3</v>
      </c>
      <c r="K428" t="str">
        <f t="shared" si="26"/>
        <v>Sept-2020</v>
      </c>
      <c r="L428" t="str">
        <f t="shared" si="27"/>
        <v>Medium</v>
      </c>
    </row>
    <row r="429" spans="1:12" x14ac:dyDescent="0.3">
      <c r="A429">
        <v>2020</v>
      </c>
      <c r="B429" s="2" t="s">
        <v>25</v>
      </c>
      <c r="C429" t="s">
        <v>16</v>
      </c>
      <c r="D429" t="s">
        <v>9</v>
      </c>
      <c r="E429">
        <v>100</v>
      </c>
      <c r="F429">
        <v>144.19999999999999</v>
      </c>
      <c r="G429">
        <v>2.8</v>
      </c>
      <c r="H429" s="3">
        <f t="shared" si="24"/>
        <v>44075</v>
      </c>
      <c r="I429">
        <f>MONTH(Table1[[#This Row],[Date]])</f>
        <v>9</v>
      </c>
      <c r="J429" t="str">
        <f t="shared" si="25"/>
        <v>Q3</v>
      </c>
      <c r="K429" t="str">
        <f t="shared" si="26"/>
        <v>Sept-2020</v>
      </c>
      <c r="L429" t="str">
        <f t="shared" si="27"/>
        <v>Low</v>
      </c>
    </row>
    <row r="430" spans="1:12" x14ac:dyDescent="0.3">
      <c r="A430">
        <v>2020</v>
      </c>
      <c r="B430" s="2" t="s">
        <v>25</v>
      </c>
      <c r="C430" t="s">
        <v>16</v>
      </c>
      <c r="D430" t="s">
        <v>10</v>
      </c>
      <c r="E430">
        <v>45.86</v>
      </c>
      <c r="F430">
        <v>146.19999999999999</v>
      </c>
      <c r="G430">
        <v>2.88</v>
      </c>
      <c r="H430" s="3">
        <f t="shared" si="24"/>
        <v>44075</v>
      </c>
      <c r="I430">
        <f>MONTH(Table1[[#This Row],[Date]])</f>
        <v>9</v>
      </c>
      <c r="J430" t="str">
        <f t="shared" si="25"/>
        <v>Q3</v>
      </c>
      <c r="K430" t="str">
        <f t="shared" si="26"/>
        <v>Sept-2020</v>
      </c>
      <c r="L430" t="str">
        <f t="shared" si="27"/>
        <v>Low</v>
      </c>
    </row>
    <row r="431" spans="1:12" x14ac:dyDescent="0.3">
      <c r="A431">
        <v>2020</v>
      </c>
      <c r="B431" s="2" t="s">
        <v>25</v>
      </c>
      <c r="C431" t="s">
        <v>16</v>
      </c>
      <c r="D431" t="s">
        <v>11</v>
      </c>
      <c r="E431">
        <v>2.38</v>
      </c>
      <c r="F431">
        <v>148.19999999999999</v>
      </c>
      <c r="G431">
        <v>2.96</v>
      </c>
      <c r="H431" s="3">
        <f t="shared" si="24"/>
        <v>44075</v>
      </c>
      <c r="I431">
        <f>MONTH(Table1[[#This Row],[Date]])</f>
        <v>9</v>
      </c>
      <c r="J431" t="str">
        <f t="shared" si="25"/>
        <v>Q3</v>
      </c>
      <c r="K431" t="str">
        <f t="shared" si="26"/>
        <v>Sept-2020</v>
      </c>
      <c r="L431" t="str">
        <f t="shared" si="27"/>
        <v>Low</v>
      </c>
    </row>
    <row r="432" spans="1:12" x14ac:dyDescent="0.3">
      <c r="A432">
        <v>2020</v>
      </c>
      <c r="B432" s="2" t="s">
        <v>25</v>
      </c>
      <c r="C432" t="s">
        <v>16</v>
      </c>
      <c r="D432" t="s">
        <v>12</v>
      </c>
      <c r="E432">
        <v>6.53</v>
      </c>
      <c r="F432">
        <v>150.19999999999999</v>
      </c>
      <c r="G432">
        <v>3.04</v>
      </c>
      <c r="H432" s="3">
        <f t="shared" si="24"/>
        <v>44075</v>
      </c>
      <c r="I432">
        <f>MONTH(Table1[[#This Row],[Date]])</f>
        <v>9</v>
      </c>
      <c r="J432" t="str">
        <f t="shared" si="25"/>
        <v>Q3</v>
      </c>
      <c r="K432" t="str">
        <f t="shared" si="26"/>
        <v>Sept-2020</v>
      </c>
      <c r="L432" t="str">
        <f t="shared" si="27"/>
        <v>Medium</v>
      </c>
    </row>
    <row r="433" spans="1:12" x14ac:dyDescent="0.3">
      <c r="A433">
        <v>2020</v>
      </c>
      <c r="B433" s="2" t="s">
        <v>25</v>
      </c>
      <c r="C433" t="s">
        <v>16</v>
      </c>
      <c r="D433" t="s">
        <v>13</v>
      </c>
      <c r="E433">
        <v>10.07</v>
      </c>
      <c r="F433">
        <v>152.19999999999999</v>
      </c>
      <c r="G433">
        <v>3.12</v>
      </c>
      <c r="H433" s="3">
        <f t="shared" si="24"/>
        <v>44075</v>
      </c>
      <c r="I433">
        <f>MONTH(Table1[[#This Row],[Date]])</f>
        <v>9</v>
      </c>
      <c r="J433" t="str">
        <f t="shared" si="25"/>
        <v>Q3</v>
      </c>
      <c r="K433" t="str">
        <f t="shared" si="26"/>
        <v>Sept-2020</v>
      </c>
      <c r="L433" t="str">
        <f t="shared" si="27"/>
        <v>Medium</v>
      </c>
    </row>
    <row r="434" spans="1:12" x14ac:dyDescent="0.3">
      <c r="A434">
        <v>2020</v>
      </c>
      <c r="B434" s="2" t="s">
        <v>25</v>
      </c>
      <c r="C434" t="s">
        <v>16</v>
      </c>
      <c r="D434" t="s">
        <v>14</v>
      </c>
      <c r="E434">
        <v>6.84</v>
      </c>
      <c r="F434">
        <v>154.19999999999999</v>
      </c>
      <c r="G434">
        <v>3.2</v>
      </c>
      <c r="H434" s="3">
        <f t="shared" si="24"/>
        <v>44075</v>
      </c>
      <c r="I434">
        <f>MONTH(Table1[[#This Row],[Date]])</f>
        <v>9</v>
      </c>
      <c r="J434" t="str">
        <f t="shared" si="25"/>
        <v>Q3</v>
      </c>
      <c r="K434" t="str">
        <f t="shared" si="26"/>
        <v>Sept-2020</v>
      </c>
      <c r="L434" t="str">
        <f t="shared" si="27"/>
        <v>Medium</v>
      </c>
    </row>
    <row r="435" spans="1:12" x14ac:dyDescent="0.3">
      <c r="A435">
        <v>2020</v>
      </c>
      <c r="B435" s="2" t="s">
        <v>25</v>
      </c>
      <c r="C435" t="s">
        <v>16</v>
      </c>
      <c r="D435" t="s">
        <v>15</v>
      </c>
      <c r="E435">
        <v>28.32</v>
      </c>
      <c r="F435">
        <v>156.19999999999999</v>
      </c>
      <c r="G435">
        <v>3.28</v>
      </c>
      <c r="H435" s="3">
        <f t="shared" si="24"/>
        <v>44075</v>
      </c>
      <c r="I435">
        <f>MONTH(Table1[[#This Row],[Date]])</f>
        <v>9</v>
      </c>
      <c r="J435" t="str">
        <f t="shared" si="25"/>
        <v>Q3</v>
      </c>
      <c r="K435" t="str">
        <f t="shared" si="26"/>
        <v>Sept-2020</v>
      </c>
      <c r="L435" t="str">
        <f t="shared" si="27"/>
        <v>Medium</v>
      </c>
    </row>
    <row r="436" spans="1:12" x14ac:dyDescent="0.3">
      <c r="A436">
        <v>2020</v>
      </c>
      <c r="B436" s="2" t="s">
        <v>25</v>
      </c>
      <c r="C436" t="s">
        <v>17</v>
      </c>
      <c r="D436" t="s">
        <v>9</v>
      </c>
      <c r="E436">
        <v>100</v>
      </c>
      <c r="F436">
        <v>144.80000000000001</v>
      </c>
      <c r="G436">
        <v>2.8</v>
      </c>
      <c r="H436" s="3">
        <f t="shared" si="24"/>
        <v>44075</v>
      </c>
      <c r="I436">
        <f>MONTH(Table1[[#This Row],[Date]])</f>
        <v>9</v>
      </c>
      <c r="J436" t="str">
        <f t="shared" si="25"/>
        <v>Q3</v>
      </c>
      <c r="K436" t="str">
        <f t="shared" si="26"/>
        <v>Sept-2020</v>
      </c>
      <c r="L436" t="str">
        <f t="shared" si="27"/>
        <v>Low</v>
      </c>
    </row>
    <row r="437" spans="1:12" x14ac:dyDescent="0.3">
      <c r="A437">
        <v>2020</v>
      </c>
      <c r="B437" s="2" t="s">
        <v>25</v>
      </c>
      <c r="C437" t="s">
        <v>17</v>
      </c>
      <c r="D437" t="s">
        <v>10</v>
      </c>
      <c r="E437">
        <v>45.86</v>
      </c>
      <c r="F437">
        <v>146.80000000000001</v>
      </c>
      <c r="G437">
        <v>2.88</v>
      </c>
      <c r="H437" s="3">
        <f t="shared" si="24"/>
        <v>44075</v>
      </c>
      <c r="I437">
        <f>MONTH(Table1[[#This Row],[Date]])</f>
        <v>9</v>
      </c>
      <c r="J437" t="str">
        <f t="shared" si="25"/>
        <v>Q3</v>
      </c>
      <c r="K437" t="str">
        <f t="shared" si="26"/>
        <v>Sept-2020</v>
      </c>
      <c r="L437" t="str">
        <f t="shared" si="27"/>
        <v>Low</v>
      </c>
    </row>
    <row r="438" spans="1:12" x14ac:dyDescent="0.3">
      <c r="A438">
        <v>2020</v>
      </c>
      <c r="B438" s="2" t="s">
        <v>25</v>
      </c>
      <c r="C438" t="s">
        <v>17</v>
      </c>
      <c r="D438" t="s">
        <v>11</v>
      </c>
      <c r="E438">
        <v>2.38</v>
      </c>
      <c r="F438">
        <v>148.80000000000001</v>
      </c>
      <c r="G438">
        <v>2.96</v>
      </c>
      <c r="H438" s="3">
        <f t="shared" si="24"/>
        <v>44075</v>
      </c>
      <c r="I438">
        <f>MONTH(Table1[[#This Row],[Date]])</f>
        <v>9</v>
      </c>
      <c r="J438" t="str">
        <f t="shared" si="25"/>
        <v>Q3</v>
      </c>
      <c r="K438" t="str">
        <f t="shared" si="26"/>
        <v>Sept-2020</v>
      </c>
      <c r="L438" t="str">
        <f t="shared" si="27"/>
        <v>Low</v>
      </c>
    </row>
    <row r="439" spans="1:12" x14ac:dyDescent="0.3">
      <c r="A439">
        <v>2020</v>
      </c>
      <c r="B439" s="2" t="s">
        <v>25</v>
      </c>
      <c r="C439" t="s">
        <v>17</v>
      </c>
      <c r="D439" t="s">
        <v>12</v>
      </c>
      <c r="E439">
        <v>6.53</v>
      </c>
      <c r="F439">
        <v>150.80000000000001</v>
      </c>
      <c r="G439">
        <v>3.04</v>
      </c>
      <c r="H439" s="3">
        <f t="shared" si="24"/>
        <v>44075</v>
      </c>
      <c r="I439">
        <f>MONTH(Table1[[#This Row],[Date]])</f>
        <v>9</v>
      </c>
      <c r="J439" t="str">
        <f t="shared" si="25"/>
        <v>Q3</v>
      </c>
      <c r="K439" t="str">
        <f t="shared" si="26"/>
        <v>Sept-2020</v>
      </c>
      <c r="L439" t="str">
        <f t="shared" si="27"/>
        <v>Medium</v>
      </c>
    </row>
    <row r="440" spans="1:12" x14ac:dyDescent="0.3">
      <c r="A440">
        <v>2020</v>
      </c>
      <c r="B440" s="2" t="s">
        <v>25</v>
      </c>
      <c r="C440" t="s">
        <v>17</v>
      </c>
      <c r="D440" t="s">
        <v>13</v>
      </c>
      <c r="E440">
        <v>10.07</v>
      </c>
      <c r="F440">
        <v>152.80000000000001</v>
      </c>
      <c r="G440">
        <v>3.12</v>
      </c>
      <c r="H440" s="3">
        <f t="shared" si="24"/>
        <v>44075</v>
      </c>
      <c r="I440">
        <f>MONTH(Table1[[#This Row],[Date]])</f>
        <v>9</v>
      </c>
      <c r="J440" t="str">
        <f t="shared" si="25"/>
        <v>Q3</v>
      </c>
      <c r="K440" t="str">
        <f t="shared" si="26"/>
        <v>Sept-2020</v>
      </c>
      <c r="L440" t="str">
        <f t="shared" si="27"/>
        <v>Medium</v>
      </c>
    </row>
    <row r="441" spans="1:12" x14ac:dyDescent="0.3">
      <c r="A441">
        <v>2020</v>
      </c>
      <c r="B441" s="2" t="s">
        <v>25</v>
      </c>
      <c r="C441" t="s">
        <v>17</v>
      </c>
      <c r="D441" t="s">
        <v>14</v>
      </c>
      <c r="E441">
        <v>6.84</v>
      </c>
      <c r="F441">
        <v>154.80000000000001</v>
      </c>
      <c r="G441">
        <v>3.2</v>
      </c>
      <c r="H441" s="3">
        <f t="shared" si="24"/>
        <v>44075</v>
      </c>
      <c r="I441">
        <f>MONTH(Table1[[#This Row],[Date]])</f>
        <v>9</v>
      </c>
      <c r="J441" t="str">
        <f t="shared" si="25"/>
        <v>Q3</v>
      </c>
      <c r="K441" t="str">
        <f t="shared" si="26"/>
        <v>Sept-2020</v>
      </c>
      <c r="L441" t="str">
        <f t="shared" si="27"/>
        <v>Medium</v>
      </c>
    </row>
    <row r="442" spans="1:12" x14ac:dyDescent="0.3">
      <c r="A442">
        <v>2020</v>
      </c>
      <c r="B442" s="2" t="s">
        <v>25</v>
      </c>
      <c r="C442" t="s">
        <v>17</v>
      </c>
      <c r="D442" t="s">
        <v>15</v>
      </c>
      <c r="E442">
        <v>28.32</v>
      </c>
      <c r="F442">
        <v>156.80000000000001</v>
      </c>
      <c r="G442">
        <v>3.28</v>
      </c>
      <c r="H442" s="3">
        <f t="shared" si="24"/>
        <v>44075</v>
      </c>
      <c r="I442">
        <f>MONTH(Table1[[#This Row],[Date]])</f>
        <v>9</v>
      </c>
      <c r="J442" t="str">
        <f t="shared" si="25"/>
        <v>Q3</v>
      </c>
      <c r="K442" t="str">
        <f t="shared" si="26"/>
        <v>Sept-2020</v>
      </c>
      <c r="L442" t="str">
        <f t="shared" si="27"/>
        <v>Medium</v>
      </c>
    </row>
    <row r="443" spans="1:12" x14ac:dyDescent="0.3">
      <c r="A443">
        <v>2020</v>
      </c>
      <c r="B443" s="2" t="s">
        <v>26</v>
      </c>
      <c r="C443" t="s">
        <v>8</v>
      </c>
      <c r="D443" t="s">
        <v>9</v>
      </c>
      <c r="E443">
        <v>100</v>
      </c>
      <c r="F443">
        <v>144</v>
      </c>
      <c r="G443">
        <v>2.95</v>
      </c>
      <c r="H443" s="3">
        <f t="shared" si="24"/>
        <v>44105</v>
      </c>
      <c r="I443">
        <f>MONTH(Table1[[#This Row],[Date]])</f>
        <v>10</v>
      </c>
      <c r="J443" t="str">
        <f t="shared" si="25"/>
        <v>Q4</v>
      </c>
      <c r="K443" t="str">
        <f t="shared" si="26"/>
        <v>Oct-2020</v>
      </c>
      <c r="L443" t="str">
        <f t="shared" si="27"/>
        <v>Low</v>
      </c>
    </row>
    <row r="444" spans="1:12" x14ac:dyDescent="0.3">
      <c r="A444">
        <v>2020</v>
      </c>
      <c r="B444" s="2" t="s">
        <v>26</v>
      </c>
      <c r="C444" t="s">
        <v>8</v>
      </c>
      <c r="D444" t="s">
        <v>10</v>
      </c>
      <c r="E444">
        <v>45.86</v>
      </c>
      <c r="F444">
        <v>146</v>
      </c>
      <c r="G444">
        <v>3.03</v>
      </c>
      <c r="H444" s="3">
        <f t="shared" si="24"/>
        <v>44105</v>
      </c>
      <c r="I444">
        <f>MONTH(Table1[[#This Row],[Date]])</f>
        <v>10</v>
      </c>
      <c r="J444" t="str">
        <f t="shared" si="25"/>
        <v>Q4</v>
      </c>
      <c r="K444" t="str">
        <f t="shared" si="26"/>
        <v>Oct-2020</v>
      </c>
      <c r="L444" t="str">
        <f t="shared" si="27"/>
        <v>Medium</v>
      </c>
    </row>
    <row r="445" spans="1:12" x14ac:dyDescent="0.3">
      <c r="A445">
        <v>2020</v>
      </c>
      <c r="B445" s="2" t="s">
        <v>26</v>
      </c>
      <c r="C445" t="s">
        <v>8</v>
      </c>
      <c r="D445" t="s">
        <v>11</v>
      </c>
      <c r="E445">
        <v>2.38</v>
      </c>
      <c r="F445">
        <v>148</v>
      </c>
      <c r="G445">
        <v>3.11</v>
      </c>
      <c r="H445" s="3">
        <f t="shared" si="24"/>
        <v>44105</v>
      </c>
      <c r="I445">
        <f>MONTH(Table1[[#This Row],[Date]])</f>
        <v>10</v>
      </c>
      <c r="J445" t="str">
        <f t="shared" si="25"/>
        <v>Q4</v>
      </c>
      <c r="K445" t="str">
        <f t="shared" si="26"/>
        <v>Oct-2020</v>
      </c>
      <c r="L445" t="str">
        <f t="shared" si="27"/>
        <v>Medium</v>
      </c>
    </row>
    <row r="446" spans="1:12" x14ac:dyDescent="0.3">
      <c r="A446">
        <v>2020</v>
      </c>
      <c r="B446" s="2" t="s">
        <v>26</v>
      </c>
      <c r="C446" t="s">
        <v>8</v>
      </c>
      <c r="D446" t="s">
        <v>12</v>
      </c>
      <c r="E446">
        <v>6.53</v>
      </c>
      <c r="F446">
        <v>150</v>
      </c>
      <c r="G446">
        <v>3.19</v>
      </c>
      <c r="H446" s="3">
        <f t="shared" si="24"/>
        <v>44105</v>
      </c>
      <c r="I446">
        <f>MONTH(Table1[[#This Row],[Date]])</f>
        <v>10</v>
      </c>
      <c r="J446" t="str">
        <f t="shared" si="25"/>
        <v>Q4</v>
      </c>
      <c r="K446" t="str">
        <f t="shared" si="26"/>
        <v>Oct-2020</v>
      </c>
      <c r="L446" t="str">
        <f t="shared" si="27"/>
        <v>Medium</v>
      </c>
    </row>
    <row r="447" spans="1:12" x14ac:dyDescent="0.3">
      <c r="A447">
        <v>2020</v>
      </c>
      <c r="B447" s="2" t="s">
        <v>26</v>
      </c>
      <c r="C447" t="s">
        <v>8</v>
      </c>
      <c r="D447" t="s">
        <v>13</v>
      </c>
      <c r="E447">
        <v>10.07</v>
      </c>
      <c r="F447">
        <v>152</v>
      </c>
      <c r="G447">
        <v>3.27</v>
      </c>
      <c r="H447" s="3">
        <f t="shared" si="24"/>
        <v>44105</v>
      </c>
      <c r="I447">
        <f>MONTH(Table1[[#This Row],[Date]])</f>
        <v>10</v>
      </c>
      <c r="J447" t="str">
        <f t="shared" si="25"/>
        <v>Q4</v>
      </c>
      <c r="K447" t="str">
        <f t="shared" si="26"/>
        <v>Oct-2020</v>
      </c>
      <c r="L447" t="str">
        <f t="shared" si="27"/>
        <v>Medium</v>
      </c>
    </row>
    <row r="448" spans="1:12" x14ac:dyDescent="0.3">
      <c r="A448">
        <v>2020</v>
      </c>
      <c r="B448" s="2" t="s">
        <v>26</v>
      </c>
      <c r="C448" t="s">
        <v>8</v>
      </c>
      <c r="D448" t="s">
        <v>14</v>
      </c>
      <c r="E448">
        <v>6.84</v>
      </c>
      <c r="F448">
        <v>154</v>
      </c>
      <c r="G448">
        <v>3.35</v>
      </c>
      <c r="H448" s="3">
        <f t="shared" si="24"/>
        <v>44105</v>
      </c>
      <c r="I448">
        <f>MONTH(Table1[[#This Row],[Date]])</f>
        <v>10</v>
      </c>
      <c r="J448" t="str">
        <f t="shared" si="25"/>
        <v>Q4</v>
      </c>
      <c r="K448" t="str">
        <f t="shared" si="26"/>
        <v>Oct-2020</v>
      </c>
      <c r="L448" t="str">
        <f t="shared" si="27"/>
        <v>Medium</v>
      </c>
    </row>
    <row r="449" spans="1:12" x14ac:dyDescent="0.3">
      <c r="A449">
        <v>2020</v>
      </c>
      <c r="B449" s="2" t="s">
        <v>26</v>
      </c>
      <c r="C449" t="s">
        <v>8</v>
      </c>
      <c r="D449" t="s">
        <v>15</v>
      </c>
      <c r="E449">
        <v>28.32</v>
      </c>
      <c r="F449">
        <v>156</v>
      </c>
      <c r="G449">
        <v>3.43</v>
      </c>
      <c r="H449" s="3">
        <f t="shared" si="24"/>
        <v>44105</v>
      </c>
      <c r="I449">
        <f>MONTH(Table1[[#This Row],[Date]])</f>
        <v>10</v>
      </c>
      <c r="J449" t="str">
        <f t="shared" si="25"/>
        <v>Q4</v>
      </c>
      <c r="K449" t="str">
        <f t="shared" si="26"/>
        <v>Oct-2020</v>
      </c>
      <c r="L449" t="str">
        <f t="shared" si="27"/>
        <v>Medium</v>
      </c>
    </row>
    <row r="450" spans="1:12" x14ac:dyDescent="0.3">
      <c r="A450">
        <v>2020</v>
      </c>
      <c r="B450" s="2" t="s">
        <v>26</v>
      </c>
      <c r="C450" t="s">
        <v>16</v>
      </c>
      <c r="D450" t="s">
        <v>9</v>
      </c>
      <c r="E450">
        <v>100</v>
      </c>
      <c r="F450">
        <v>144.6</v>
      </c>
      <c r="G450">
        <v>2.95</v>
      </c>
      <c r="H450" s="3">
        <f t="shared" ref="H450:H513" si="28">DATE(A450,MONTH(DATEVALUE(B450&amp;" 1")),1)</f>
        <v>44105</v>
      </c>
      <c r="I450">
        <f>MONTH(Table1[[#This Row],[Date]])</f>
        <v>10</v>
      </c>
      <c r="J450" t="str">
        <f t="shared" ref="J450:J513" si="29">"Q"&amp;ROUNDUP(MONTH(H450)/3,0)</f>
        <v>Q4</v>
      </c>
      <c r="K450" t="str">
        <f t="shared" ref="K450:K513" si="30">TEXT(H450,"mmm-yyyy")</f>
        <v>Oct-2020</v>
      </c>
      <c r="L450" t="str">
        <f t="shared" ref="L450:L513" si="31">IF(G450&lt;3,"Low",IF(G450&lt;4,"Medium","High"))</f>
        <v>Low</v>
      </c>
    </row>
    <row r="451" spans="1:12" x14ac:dyDescent="0.3">
      <c r="A451">
        <v>2020</v>
      </c>
      <c r="B451" s="2" t="s">
        <v>26</v>
      </c>
      <c r="C451" t="s">
        <v>16</v>
      </c>
      <c r="D451" t="s">
        <v>10</v>
      </c>
      <c r="E451">
        <v>45.86</v>
      </c>
      <c r="F451">
        <v>146.6</v>
      </c>
      <c r="G451">
        <v>3.03</v>
      </c>
      <c r="H451" s="3">
        <f t="shared" si="28"/>
        <v>44105</v>
      </c>
      <c r="I451">
        <f>MONTH(Table1[[#This Row],[Date]])</f>
        <v>10</v>
      </c>
      <c r="J451" t="str">
        <f t="shared" si="29"/>
        <v>Q4</v>
      </c>
      <c r="K451" t="str">
        <f t="shared" si="30"/>
        <v>Oct-2020</v>
      </c>
      <c r="L451" t="str">
        <f t="shared" si="31"/>
        <v>Medium</v>
      </c>
    </row>
    <row r="452" spans="1:12" x14ac:dyDescent="0.3">
      <c r="A452">
        <v>2020</v>
      </c>
      <c r="B452" s="2" t="s">
        <v>26</v>
      </c>
      <c r="C452" t="s">
        <v>16</v>
      </c>
      <c r="D452" t="s">
        <v>11</v>
      </c>
      <c r="E452">
        <v>2.38</v>
      </c>
      <c r="F452">
        <v>148.6</v>
      </c>
      <c r="G452">
        <v>3.11</v>
      </c>
      <c r="H452" s="3">
        <f t="shared" si="28"/>
        <v>44105</v>
      </c>
      <c r="I452">
        <f>MONTH(Table1[[#This Row],[Date]])</f>
        <v>10</v>
      </c>
      <c r="J452" t="str">
        <f t="shared" si="29"/>
        <v>Q4</v>
      </c>
      <c r="K452" t="str">
        <f t="shared" si="30"/>
        <v>Oct-2020</v>
      </c>
      <c r="L452" t="str">
        <f t="shared" si="31"/>
        <v>Medium</v>
      </c>
    </row>
    <row r="453" spans="1:12" x14ac:dyDescent="0.3">
      <c r="A453">
        <v>2020</v>
      </c>
      <c r="B453" s="2" t="s">
        <v>26</v>
      </c>
      <c r="C453" t="s">
        <v>16</v>
      </c>
      <c r="D453" t="s">
        <v>12</v>
      </c>
      <c r="E453">
        <v>6.53</v>
      </c>
      <c r="F453">
        <v>150.6</v>
      </c>
      <c r="G453">
        <v>3.19</v>
      </c>
      <c r="H453" s="3">
        <f t="shared" si="28"/>
        <v>44105</v>
      </c>
      <c r="I453">
        <f>MONTH(Table1[[#This Row],[Date]])</f>
        <v>10</v>
      </c>
      <c r="J453" t="str">
        <f t="shared" si="29"/>
        <v>Q4</v>
      </c>
      <c r="K453" t="str">
        <f t="shared" si="30"/>
        <v>Oct-2020</v>
      </c>
      <c r="L453" t="str">
        <f t="shared" si="31"/>
        <v>Medium</v>
      </c>
    </row>
    <row r="454" spans="1:12" x14ac:dyDescent="0.3">
      <c r="A454">
        <v>2020</v>
      </c>
      <c r="B454" s="2" t="s">
        <v>26</v>
      </c>
      <c r="C454" t="s">
        <v>16</v>
      </c>
      <c r="D454" t="s">
        <v>13</v>
      </c>
      <c r="E454">
        <v>10.07</v>
      </c>
      <c r="F454">
        <v>152.6</v>
      </c>
      <c r="G454">
        <v>3.27</v>
      </c>
      <c r="H454" s="3">
        <f t="shared" si="28"/>
        <v>44105</v>
      </c>
      <c r="I454">
        <f>MONTH(Table1[[#This Row],[Date]])</f>
        <v>10</v>
      </c>
      <c r="J454" t="str">
        <f t="shared" si="29"/>
        <v>Q4</v>
      </c>
      <c r="K454" t="str">
        <f t="shared" si="30"/>
        <v>Oct-2020</v>
      </c>
      <c r="L454" t="str">
        <f t="shared" si="31"/>
        <v>Medium</v>
      </c>
    </row>
    <row r="455" spans="1:12" x14ac:dyDescent="0.3">
      <c r="A455">
        <v>2020</v>
      </c>
      <c r="B455" s="2" t="s">
        <v>26</v>
      </c>
      <c r="C455" t="s">
        <v>16</v>
      </c>
      <c r="D455" t="s">
        <v>14</v>
      </c>
      <c r="E455">
        <v>6.84</v>
      </c>
      <c r="F455">
        <v>154.6</v>
      </c>
      <c r="G455">
        <v>3.35</v>
      </c>
      <c r="H455" s="3">
        <f t="shared" si="28"/>
        <v>44105</v>
      </c>
      <c r="I455">
        <f>MONTH(Table1[[#This Row],[Date]])</f>
        <v>10</v>
      </c>
      <c r="J455" t="str">
        <f t="shared" si="29"/>
        <v>Q4</v>
      </c>
      <c r="K455" t="str">
        <f t="shared" si="30"/>
        <v>Oct-2020</v>
      </c>
      <c r="L455" t="str">
        <f t="shared" si="31"/>
        <v>Medium</v>
      </c>
    </row>
    <row r="456" spans="1:12" x14ac:dyDescent="0.3">
      <c r="A456">
        <v>2020</v>
      </c>
      <c r="B456" s="2" t="s">
        <v>26</v>
      </c>
      <c r="C456" t="s">
        <v>16</v>
      </c>
      <c r="D456" t="s">
        <v>15</v>
      </c>
      <c r="E456">
        <v>28.32</v>
      </c>
      <c r="F456">
        <v>156.6</v>
      </c>
      <c r="G456">
        <v>3.43</v>
      </c>
      <c r="H456" s="3">
        <f t="shared" si="28"/>
        <v>44105</v>
      </c>
      <c r="I456">
        <f>MONTH(Table1[[#This Row],[Date]])</f>
        <v>10</v>
      </c>
      <c r="J456" t="str">
        <f t="shared" si="29"/>
        <v>Q4</v>
      </c>
      <c r="K456" t="str">
        <f t="shared" si="30"/>
        <v>Oct-2020</v>
      </c>
      <c r="L456" t="str">
        <f t="shared" si="31"/>
        <v>Medium</v>
      </c>
    </row>
    <row r="457" spans="1:12" x14ac:dyDescent="0.3">
      <c r="A457">
        <v>2020</v>
      </c>
      <c r="B457" s="2" t="s">
        <v>26</v>
      </c>
      <c r="C457" t="s">
        <v>17</v>
      </c>
      <c r="D457" t="s">
        <v>9</v>
      </c>
      <c r="E457">
        <v>100</v>
      </c>
      <c r="F457">
        <v>145.19999999999999</v>
      </c>
      <c r="G457">
        <v>2.95</v>
      </c>
      <c r="H457" s="3">
        <f t="shared" si="28"/>
        <v>44105</v>
      </c>
      <c r="I457">
        <f>MONTH(Table1[[#This Row],[Date]])</f>
        <v>10</v>
      </c>
      <c r="J457" t="str">
        <f t="shared" si="29"/>
        <v>Q4</v>
      </c>
      <c r="K457" t="str">
        <f t="shared" si="30"/>
        <v>Oct-2020</v>
      </c>
      <c r="L457" t="str">
        <f t="shared" si="31"/>
        <v>Low</v>
      </c>
    </row>
    <row r="458" spans="1:12" x14ac:dyDescent="0.3">
      <c r="A458">
        <v>2020</v>
      </c>
      <c r="B458" s="2" t="s">
        <v>26</v>
      </c>
      <c r="C458" t="s">
        <v>17</v>
      </c>
      <c r="D458" t="s">
        <v>10</v>
      </c>
      <c r="E458">
        <v>45.86</v>
      </c>
      <c r="F458">
        <v>147.19999999999999</v>
      </c>
      <c r="G458">
        <v>3.03</v>
      </c>
      <c r="H458" s="3">
        <f t="shared" si="28"/>
        <v>44105</v>
      </c>
      <c r="I458">
        <f>MONTH(Table1[[#This Row],[Date]])</f>
        <v>10</v>
      </c>
      <c r="J458" t="str">
        <f t="shared" si="29"/>
        <v>Q4</v>
      </c>
      <c r="K458" t="str">
        <f t="shared" si="30"/>
        <v>Oct-2020</v>
      </c>
      <c r="L458" t="str">
        <f t="shared" si="31"/>
        <v>Medium</v>
      </c>
    </row>
    <row r="459" spans="1:12" x14ac:dyDescent="0.3">
      <c r="A459">
        <v>2020</v>
      </c>
      <c r="B459" s="2" t="s">
        <v>26</v>
      </c>
      <c r="C459" t="s">
        <v>17</v>
      </c>
      <c r="D459" t="s">
        <v>11</v>
      </c>
      <c r="E459">
        <v>2.38</v>
      </c>
      <c r="F459">
        <v>149.19999999999999</v>
      </c>
      <c r="G459">
        <v>3.11</v>
      </c>
      <c r="H459" s="3">
        <f t="shared" si="28"/>
        <v>44105</v>
      </c>
      <c r="I459">
        <f>MONTH(Table1[[#This Row],[Date]])</f>
        <v>10</v>
      </c>
      <c r="J459" t="str">
        <f t="shared" si="29"/>
        <v>Q4</v>
      </c>
      <c r="K459" t="str">
        <f t="shared" si="30"/>
        <v>Oct-2020</v>
      </c>
      <c r="L459" t="str">
        <f t="shared" si="31"/>
        <v>Medium</v>
      </c>
    </row>
    <row r="460" spans="1:12" x14ac:dyDescent="0.3">
      <c r="A460">
        <v>2020</v>
      </c>
      <c r="B460" s="2" t="s">
        <v>26</v>
      </c>
      <c r="C460" t="s">
        <v>17</v>
      </c>
      <c r="D460" t="s">
        <v>12</v>
      </c>
      <c r="E460">
        <v>6.53</v>
      </c>
      <c r="F460">
        <v>151.19999999999999</v>
      </c>
      <c r="G460">
        <v>3.19</v>
      </c>
      <c r="H460" s="3">
        <f t="shared" si="28"/>
        <v>44105</v>
      </c>
      <c r="I460">
        <f>MONTH(Table1[[#This Row],[Date]])</f>
        <v>10</v>
      </c>
      <c r="J460" t="str">
        <f t="shared" si="29"/>
        <v>Q4</v>
      </c>
      <c r="K460" t="str">
        <f t="shared" si="30"/>
        <v>Oct-2020</v>
      </c>
      <c r="L460" t="str">
        <f t="shared" si="31"/>
        <v>Medium</v>
      </c>
    </row>
    <row r="461" spans="1:12" x14ac:dyDescent="0.3">
      <c r="A461">
        <v>2020</v>
      </c>
      <c r="B461" s="2" t="s">
        <v>26</v>
      </c>
      <c r="C461" t="s">
        <v>17</v>
      </c>
      <c r="D461" t="s">
        <v>13</v>
      </c>
      <c r="E461">
        <v>10.07</v>
      </c>
      <c r="F461">
        <v>153.19999999999999</v>
      </c>
      <c r="G461">
        <v>3.27</v>
      </c>
      <c r="H461" s="3">
        <f t="shared" si="28"/>
        <v>44105</v>
      </c>
      <c r="I461">
        <f>MONTH(Table1[[#This Row],[Date]])</f>
        <v>10</v>
      </c>
      <c r="J461" t="str">
        <f t="shared" si="29"/>
        <v>Q4</v>
      </c>
      <c r="K461" t="str">
        <f t="shared" si="30"/>
        <v>Oct-2020</v>
      </c>
      <c r="L461" t="str">
        <f t="shared" si="31"/>
        <v>Medium</v>
      </c>
    </row>
    <row r="462" spans="1:12" x14ac:dyDescent="0.3">
      <c r="A462">
        <v>2020</v>
      </c>
      <c r="B462" s="2" t="s">
        <v>26</v>
      </c>
      <c r="C462" t="s">
        <v>17</v>
      </c>
      <c r="D462" t="s">
        <v>14</v>
      </c>
      <c r="E462">
        <v>6.84</v>
      </c>
      <c r="F462">
        <v>155.19999999999999</v>
      </c>
      <c r="G462">
        <v>3.35</v>
      </c>
      <c r="H462" s="3">
        <f t="shared" si="28"/>
        <v>44105</v>
      </c>
      <c r="I462">
        <f>MONTH(Table1[[#This Row],[Date]])</f>
        <v>10</v>
      </c>
      <c r="J462" t="str">
        <f t="shared" si="29"/>
        <v>Q4</v>
      </c>
      <c r="K462" t="str">
        <f t="shared" si="30"/>
        <v>Oct-2020</v>
      </c>
      <c r="L462" t="str">
        <f t="shared" si="31"/>
        <v>Medium</v>
      </c>
    </row>
    <row r="463" spans="1:12" x14ac:dyDescent="0.3">
      <c r="A463">
        <v>2020</v>
      </c>
      <c r="B463" s="2" t="s">
        <v>26</v>
      </c>
      <c r="C463" t="s">
        <v>17</v>
      </c>
      <c r="D463" t="s">
        <v>15</v>
      </c>
      <c r="E463">
        <v>28.32</v>
      </c>
      <c r="F463">
        <v>157.19999999999999</v>
      </c>
      <c r="G463">
        <v>3.43</v>
      </c>
      <c r="H463" s="3">
        <f t="shared" si="28"/>
        <v>44105</v>
      </c>
      <c r="I463">
        <f>MONTH(Table1[[#This Row],[Date]])</f>
        <v>10</v>
      </c>
      <c r="J463" t="str">
        <f t="shared" si="29"/>
        <v>Q4</v>
      </c>
      <c r="K463" t="str">
        <f t="shared" si="30"/>
        <v>Oct-2020</v>
      </c>
      <c r="L463" t="str">
        <f t="shared" si="31"/>
        <v>Medium</v>
      </c>
    </row>
    <row r="464" spans="1:12" x14ac:dyDescent="0.3">
      <c r="A464">
        <v>2020</v>
      </c>
      <c r="B464" s="2" t="s">
        <v>27</v>
      </c>
      <c r="C464" t="s">
        <v>8</v>
      </c>
      <c r="D464" t="s">
        <v>9</v>
      </c>
      <c r="E464">
        <v>100</v>
      </c>
      <c r="F464">
        <v>144.4</v>
      </c>
      <c r="G464">
        <v>3.1</v>
      </c>
      <c r="H464" s="3">
        <f t="shared" si="28"/>
        <v>44136</v>
      </c>
      <c r="I464">
        <f>MONTH(Table1[[#This Row],[Date]])</f>
        <v>11</v>
      </c>
      <c r="J464" t="str">
        <f t="shared" si="29"/>
        <v>Q4</v>
      </c>
      <c r="K464" t="str">
        <f t="shared" si="30"/>
        <v>Nov-2020</v>
      </c>
      <c r="L464" t="str">
        <f t="shared" si="31"/>
        <v>Medium</v>
      </c>
    </row>
    <row r="465" spans="1:12" x14ac:dyDescent="0.3">
      <c r="A465">
        <v>2020</v>
      </c>
      <c r="B465" s="2" t="s">
        <v>27</v>
      </c>
      <c r="C465" t="s">
        <v>8</v>
      </c>
      <c r="D465" t="s">
        <v>10</v>
      </c>
      <c r="E465">
        <v>45.86</v>
      </c>
      <c r="F465">
        <v>146.4</v>
      </c>
      <c r="G465">
        <v>3.18</v>
      </c>
      <c r="H465" s="3">
        <f t="shared" si="28"/>
        <v>44136</v>
      </c>
      <c r="I465">
        <f>MONTH(Table1[[#This Row],[Date]])</f>
        <v>11</v>
      </c>
      <c r="J465" t="str">
        <f t="shared" si="29"/>
        <v>Q4</v>
      </c>
      <c r="K465" t="str">
        <f t="shared" si="30"/>
        <v>Nov-2020</v>
      </c>
      <c r="L465" t="str">
        <f t="shared" si="31"/>
        <v>Medium</v>
      </c>
    </row>
    <row r="466" spans="1:12" x14ac:dyDescent="0.3">
      <c r="A466">
        <v>2020</v>
      </c>
      <c r="B466" s="2" t="s">
        <v>27</v>
      </c>
      <c r="C466" t="s">
        <v>8</v>
      </c>
      <c r="D466" t="s">
        <v>11</v>
      </c>
      <c r="E466">
        <v>2.38</v>
      </c>
      <c r="F466">
        <v>148.4</v>
      </c>
      <c r="G466">
        <v>3.26</v>
      </c>
      <c r="H466" s="3">
        <f t="shared" si="28"/>
        <v>44136</v>
      </c>
      <c r="I466">
        <f>MONTH(Table1[[#This Row],[Date]])</f>
        <v>11</v>
      </c>
      <c r="J466" t="str">
        <f t="shared" si="29"/>
        <v>Q4</v>
      </c>
      <c r="K466" t="str">
        <f t="shared" si="30"/>
        <v>Nov-2020</v>
      </c>
      <c r="L466" t="str">
        <f t="shared" si="31"/>
        <v>Medium</v>
      </c>
    </row>
    <row r="467" spans="1:12" x14ac:dyDescent="0.3">
      <c r="A467">
        <v>2020</v>
      </c>
      <c r="B467" s="2" t="s">
        <v>27</v>
      </c>
      <c r="C467" t="s">
        <v>8</v>
      </c>
      <c r="D467" t="s">
        <v>12</v>
      </c>
      <c r="E467">
        <v>6.53</v>
      </c>
      <c r="F467">
        <v>150.4</v>
      </c>
      <c r="G467">
        <v>3.34</v>
      </c>
      <c r="H467" s="3">
        <f t="shared" si="28"/>
        <v>44136</v>
      </c>
      <c r="I467">
        <f>MONTH(Table1[[#This Row],[Date]])</f>
        <v>11</v>
      </c>
      <c r="J467" t="str">
        <f t="shared" si="29"/>
        <v>Q4</v>
      </c>
      <c r="K467" t="str">
        <f t="shared" si="30"/>
        <v>Nov-2020</v>
      </c>
      <c r="L467" t="str">
        <f t="shared" si="31"/>
        <v>Medium</v>
      </c>
    </row>
    <row r="468" spans="1:12" x14ac:dyDescent="0.3">
      <c r="A468">
        <v>2020</v>
      </c>
      <c r="B468" s="2" t="s">
        <v>27</v>
      </c>
      <c r="C468" t="s">
        <v>8</v>
      </c>
      <c r="D468" t="s">
        <v>13</v>
      </c>
      <c r="E468">
        <v>10.07</v>
      </c>
      <c r="F468">
        <v>152.4</v>
      </c>
      <c r="G468">
        <v>3.42</v>
      </c>
      <c r="H468" s="3">
        <f t="shared" si="28"/>
        <v>44136</v>
      </c>
      <c r="I468">
        <f>MONTH(Table1[[#This Row],[Date]])</f>
        <v>11</v>
      </c>
      <c r="J468" t="str">
        <f t="shared" si="29"/>
        <v>Q4</v>
      </c>
      <c r="K468" t="str">
        <f t="shared" si="30"/>
        <v>Nov-2020</v>
      </c>
      <c r="L468" t="str">
        <f t="shared" si="31"/>
        <v>Medium</v>
      </c>
    </row>
    <row r="469" spans="1:12" x14ac:dyDescent="0.3">
      <c r="A469">
        <v>2020</v>
      </c>
      <c r="B469" s="2" t="s">
        <v>27</v>
      </c>
      <c r="C469" t="s">
        <v>8</v>
      </c>
      <c r="D469" t="s">
        <v>14</v>
      </c>
      <c r="E469">
        <v>6.84</v>
      </c>
      <c r="F469">
        <v>154.4</v>
      </c>
      <c r="G469">
        <v>3.5</v>
      </c>
      <c r="H469" s="3">
        <f t="shared" si="28"/>
        <v>44136</v>
      </c>
      <c r="I469">
        <f>MONTH(Table1[[#This Row],[Date]])</f>
        <v>11</v>
      </c>
      <c r="J469" t="str">
        <f t="shared" si="29"/>
        <v>Q4</v>
      </c>
      <c r="K469" t="str">
        <f t="shared" si="30"/>
        <v>Nov-2020</v>
      </c>
      <c r="L469" t="str">
        <f t="shared" si="31"/>
        <v>Medium</v>
      </c>
    </row>
    <row r="470" spans="1:12" x14ac:dyDescent="0.3">
      <c r="A470">
        <v>2020</v>
      </c>
      <c r="B470" s="2" t="s">
        <v>27</v>
      </c>
      <c r="C470" t="s">
        <v>8</v>
      </c>
      <c r="D470" t="s">
        <v>15</v>
      </c>
      <c r="E470">
        <v>28.32</v>
      </c>
      <c r="F470">
        <v>156.4</v>
      </c>
      <c r="G470">
        <v>3.58</v>
      </c>
      <c r="H470" s="3">
        <f t="shared" si="28"/>
        <v>44136</v>
      </c>
      <c r="I470">
        <f>MONTH(Table1[[#This Row],[Date]])</f>
        <v>11</v>
      </c>
      <c r="J470" t="str">
        <f t="shared" si="29"/>
        <v>Q4</v>
      </c>
      <c r="K470" t="str">
        <f t="shared" si="30"/>
        <v>Nov-2020</v>
      </c>
      <c r="L470" t="str">
        <f t="shared" si="31"/>
        <v>Medium</v>
      </c>
    </row>
    <row r="471" spans="1:12" x14ac:dyDescent="0.3">
      <c r="A471">
        <v>2020</v>
      </c>
      <c r="B471" s="2" t="s">
        <v>27</v>
      </c>
      <c r="C471" t="s">
        <v>16</v>
      </c>
      <c r="D471" t="s">
        <v>9</v>
      </c>
      <c r="E471">
        <v>100</v>
      </c>
      <c r="F471">
        <v>145</v>
      </c>
      <c r="G471">
        <v>3.1</v>
      </c>
      <c r="H471" s="3">
        <f t="shared" si="28"/>
        <v>44136</v>
      </c>
      <c r="I471">
        <f>MONTH(Table1[[#This Row],[Date]])</f>
        <v>11</v>
      </c>
      <c r="J471" t="str">
        <f t="shared" si="29"/>
        <v>Q4</v>
      </c>
      <c r="K471" t="str">
        <f t="shared" si="30"/>
        <v>Nov-2020</v>
      </c>
      <c r="L471" t="str">
        <f t="shared" si="31"/>
        <v>Medium</v>
      </c>
    </row>
    <row r="472" spans="1:12" x14ac:dyDescent="0.3">
      <c r="A472">
        <v>2020</v>
      </c>
      <c r="B472" s="2" t="s">
        <v>27</v>
      </c>
      <c r="C472" t="s">
        <v>16</v>
      </c>
      <c r="D472" t="s">
        <v>10</v>
      </c>
      <c r="E472">
        <v>45.86</v>
      </c>
      <c r="F472">
        <v>147</v>
      </c>
      <c r="G472">
        <v>3.18</v>
      </c>
      <c r="H472" s="3">
        <f t="shared" si="28"/>
        <v>44136</v>
      </c>
      <c r="I472">
        <f>MONTH(Table1[[#This Row],[Date]])</f>
        <v>11</v>
      </c>
      <c r="J472" t="str">
        <f t="shared" si="29"/>
        <v>Q4</v>
      </c>
      <c r="K472" t="str">
        <f t="shared" si="30"/>
        <v>Nov-2020</v>
      </c>
      <c r="L472" t="str">
        <f t="shared" si="31"/>
        <v>Medium</v>
      </c>
    </row>
    <row r="473" spans="1:12" x14ac:dyDescent="0.3">
      <c r="A473">
        <v>2020</v>
      </c>
      <c r="B473" s="2" t="s">
        <v>27</v>
      </c>
      <c r="C473" t="s">
        <v>16</v>
      </c>
      <c r="D473" t="s">
        <v>11</v>
      </c>
      <c r="E473">
        <v>2.38</v>
      </c>
      <c r="F473">
        <v>149</v>
      </c>
      <c r="G473">
        <v>3.26</v>
      </c>
      <c r="H473" s="3">
        <f t="shared" si="28"/>
        <v>44136</v>
      </c>
      <c r="I473">
        <f>MONTH(Table1[[#This Row],[Date]])</f>
        <v>11</v>
      </c>
      <c r="J473" t="str">
        <f t="shared" si="29"/>
        <v>Q4</v>
      </c>
      <c r="K473" t="str">
        <f t="shared" si="30"/>
        <v>Nov-2020</v>
      </c>
      <c r="L473" t="str">
        <f t="shared" si="31"/>
        <v>Medium</v>
      </c>
    </row>
    <row r="474" spans="1:12" x14ac:dyDescent="0.3">
      <c r="A474">
        <v>2020</v>
      </c>
      <c r="B474" s="2" t="s">
        <v>27</v>
      </c>
      <c r="C474" t="s">
        <v>16</v>
      </c>
      <c r="D474" t="s">
        <v>12</v>
      </c>
      <c r="E474">
        <v>6.53</v>
      </c>
      <c r="F474">
        <v>151</v>
      </c>
      <c r="G474">
        <v>3.34</v>
      </c>
      <c r="H474" s="3">
        <f t="shared" si="28"/>
        <v>44136</v>
      </c>
      <c r="I474">
        <f>MONTH(Table1[[#This Row],[Date]])</f>
        <v>11</v>
      </c>
      <c r="J474" t="str">
        <f t="shared" si="29"/>
        <v>Q4</v>
      </c>
      <c r="K474" t="str">
        <f t="shared" si="30"/>
        <v>Nov-2020</v>
      </c>
      <c r="L474" t="str">
        <f t="shared" si="31"/>
        <v>Medium</v>
      </c>
    </row>
    <row r="475" spans="1:12" x14ac:dyDescent="0.3">
      <c r="A475">
        <v>2020</v>
      </c>
      <c r="B475" s="2" t="s">
        <v>27</v>
      </c>
      <c r="C475" t="s">
        <v>16</v>
      </c>
      <c r="D475" t="s">
        <v>13</v>
      </c>
      <c r="E475">
        <v>10.07</v>
      </c>
      <c r="F475">
        <v>153</v>
      </c>
      <c r="G475">
        <v>3.42</v>
      </c>
      <c r="H475" s="3">
        <f t="shared" si="28"/>
        <v>44136</v>
      </c>
      <c r="I475">
        <f>MONTH(Table1[[#This Row],[Date]])</f>
        <v>11</v>
      </c>
      <c r="J475" t="str">
        <f t="shared" si="29"/>
        <v>Q4</v>
      </c>
      <c r="K475" t="str">
        <f t="shared" si="30"/>
        <v>Nov-2020</v>
      </c>
      <c r="L475" t="str">
        <f t="shared" si="31"/>
        <v>Medium</v>
      </c>
    </row>
    <row r="476" spans="1:12" x14ac:dyDescent="0.3">
      <c r="A476">
        <v>2020</v>
      </c>
      <c r="B476" s="2" t="s">
        <v>27</v>
      </c>
      <c r="C476" t="s">
        <v>16</v>
      </c>
      <c r="D476" t="s">
        <v>14</v>
      </c>
      <c r="E476">
        <v>6.84</v>
      </c>
      <c r="F476">
        <v>155</v>
      </c>
      <c r="G476">
        <v>3.5</v>
      </c>
      <c r="H476" s="3">
        <f t="shared" si="28"/>
        <v>44136</v>
      </c>
      <c r="I476">
        <f>MONTH(Table1[[#This Row],[Date]])</f>
        <v>11</v>
      </c>
      <c r="J476" t="str">
        <f t="shared" si="29"/>
        <v>Q4</v>
      </c>
      <c r="K476" t="str">
        <f t="shared" si="30"/>
        <v>Nov-2020</v>
      </c>
      <c r="L476" t="str">
        <f t="shared" si="31"/>
        <v>Medium</v>
      </c>
    </row>
    <row r="477" spans="1:12" x14ac:dyDescent="0.3">
      <c r="A477">
        <v>2020</v>
      </c>
      <c r="B477" s="2" t="s">
        <v>27</v>
      </c>
      <c r="C477" t="s">
        <v>16</v>
      </c>
      <c r="D477" t="s">
        <v>15</v>
      </c>
      <c r="E477">
        <v>28.32</v>
      </c>
      <c r="F477">
        <v>157</v>
      </c>
      <c r="G477">
        <v>3.58</v>
      </c>
      <c r="H477" s="3">
        <f t="shared" si="28"/>
        <v>44136</v>
      </c>
      <c r="I477">
        <f>MONTH(Table1[[#This Row],[Date]])</f>
        <v>11</v>
      </c>
      <c r="J477" t="str">
        <f t="shared" si="29"/>
        <v>Q4</v>
      </c>
      <c r="K477" t="str">
        <f t="shared" si="30"/>
        <v>Nov-2020</v>
      </c>
      <c r="L477" t="str">
        <f t="shared" si="31"/>
        <v>Medium</v>
      </c>
    </row>
    <row r="478" spans="1:12" x14ac:dyDescent="0.3">
      <c r="A478">
        <v>2020</v>
      </c>
      <c r="B478" s="2" t="s">
        <v>27</v>
      </c>
      <c r="C478" t="s">
        <v>17</v>
      </c>
      <c r="D478" t="s">
        <v>9</v>
      </c>
      <c r="E478">
        <v>100</v>
      </c>
      <c r="F478">
        <v>145.6</v>
      </c>
      <c r="G478">
        <v>3.1</v>
      </c>
      <c r="H478" s="3">
        <f t="shared" si="28"/>
        <v>44136</v>
      </c>
      <c r="I478">
        <f>MONTH(Table1[[#This Row],[Date]])</f>
        <v>11</v>
      </c>
      <c r="J478" t="str">
        <f t="shared" si="29"/>
        <v>Q4</v>
      </c>
      <c r="K478" t="str">
        <f t="shared" si="30"/>
        <v>Nov-2020</v>
      </c>
      <c r="L478" t="str">
        <f t="shared" si="31"/>
        <v>Medium</v>
      </c>
    </row>
    <row r="479" spans="1:12" x14ac:dyDescent="0.3">
      <c r="A479">
        <v>2020</v>
      </c>
      <c r="B479" s="2" t="s">
        <v>27</v>
      </c>
      <c r="C479" t="s">
        <v>17</v>
      </c>
      <c r="D479" t="s">
        <v>10</v>
      </c>
      <c r="E479">
        <v>45.86</v>
      </c>
      <c r="F479">
        <v>147.6</v>
      </c>
      <c r="G479">
        <v>3.18</v>
      </c>
      <c r="H479" s="3">
        <f t="shared" si="28"/>
        <v>44136</v>
      </c>
      <c r="I479">
        <f>MONTH(Table1[[#This Row],[Date]])</f>
        <v>11</v>
      </c>
      <c r="J479" t="str">
        <f t="shared" si="29"/>
        <v>Q4</v>
      </c>
      <c r="K479" t="str">
        <f t="shared" si="30"/>
        <v>Nov-2020</v>
      </c>
      <c r="L479" t="str">
        <f t="shared" si="31"/>
        <v>Medium</v>
      </c>
    </row>
    <row r="480" spans="1:12" x14ac:dyDescent="0.3">
      <c r="A480">
        <v>2020</v>
      </c>
      <c r="B480" s="2" t="s">
        <v>27</v>
      </c>
      <c r="C480" t="s">
        <v>17</v>
      </c>
      <c r="D480" t="s">
        <v>11</v>
      </c>
      <c r="E480">
        <v>2.38</v>
      </c>
      <c r="F480">
        <v>149.6</v>
      </c>
      <c r="G480">
        <v>3.26</v>
      </c>
      <c r="H480" s="3">
        <f t="shared" si="28"/>
        <v>44136</v>
      </c>
      <c r="I480">
        <f>MONTH(Table1[[#This Row],[Date]])</f>
        <v>11</v>
      </c>
      <c r="J480" t="str">
        <f t="shared" si="29"/>
        <v>Q4</v>
      </c>
      <c r="K480" t="str">
        <f t="shared" si="30"/>
        <v>Nov-2020</v>
      </c>
      <c r="L480" t="str">
        <f t="shared" si="31"/>
        <v>Medium</v>
      </c>
    </row>
    <row r="481" spans="1:12" x14ac:dyDescent="0.3">
      <c r="A481">
        <v>2020</v>
      </c>
      <c r="B481" s="2" t="s">
        <v>27</v>
      </c>
      <c r="C481" t="s">
        <v>17</v>
      </c>
      <c r="D481" t="s">
        <v>12</v>
      </c>
      <c r="E481">
        <v>6.53</v>
      </c>
      <c r="F481">
        <v>151.6</v>
      </c>
      <c r="G481">
        <v>3.34</v>
      </c>
      <c r="H481" s="3">
        <f t="shared" si="28"/>
        <v>44136</v>
      </c>
      <c r="I481">
        <f>MONTH(Table1[[#This Row],[Date]])</f>
        <v>11</v>
      </c>
      <c r="J481" t="str">
        <f t="shared" si="29"/>
        <v>Q4</v>
      </c>
      <c r="K481" t="str">
        <f t="shared" si="30"/>
        <v>Nov-2020</v>
      </c>
      <c r="L481" t="str">
        <f t="shared" si="31"/>
        <v>Medium</v>
      </c>
    </row>
    <row r="482" spans="1:12" x14ac:dyDescent="0.3">
      <c r="A482">
        <v>2020</v>
      </c>
      <c r="B482" s="2" t="s">
        <v>27</v>
      </c>
      <c r="C482" t="s">
        <v>17</v>
      </c>
      <c r="D482" t="s">
        <v>13</v>
      </c>
      <c r="E482">
        <v>10.07</v>
      </c>
      <c r="F482">
        <v>153.6</v>
      </c>
      <c r="G482">
        <v>3.42</v>
      </c>
      <c r="H482" s="3">
        <f t="shared" si="28"/>
        <v>44136</v>
      </c>
      <c r="I482">
        <f>MONTH(Table1[[#This Row],[Date]])</f>
        <v>11</v>
      </c>
      <c r="J482" t="str">
        <f t="shared" si="29"/>
        <v>Q4</v>
      </c>
      <c r="K482" t="str">
        <f t="shared" si="30"/>
        <v>Nov-2020</v>
      </c>
      <c r="L482" t="str">
        <f t="shared" si="31"/>
        <v>Medium</v>
      </c>
    </row>
    <row r="483" spans="1:12" x14ac:dyDescent="0.3">
      <c r="A483">
        <v>2020</v>
      </c>
      <c r="B483" s="2" t="s">
        <v>27</v>
      </c>
      <c r="C483" t="s">
        <v>17</v>
      </c>
      <c r="D483" t="s">
        <v>14</v>
      </c>
      <c r="E483">
        <v>6.84</v>
      </c>
      <c r="F483">
        <v>155.6</v>
      </c>
      <c r="G483">
        <v>3.5</v>
      </c>
      <c r="H483" s="3">
        <f t="shared" si="28"/>
        <v>44136</v>
      </c>
      <c r="I483">
        <f>MONTH(Table1[[#This Row],[Date]])</f>
        <v>11</v>
      </c>
      <c r="J483" t="str">
        <f t="shared" si="29"/>
        <v>Q4</v>
      </c>
      <c r="K483" t="str">
        <f t="shared" si="30"/>
        <v>Nov-2020</v>
      </c>
      <c r="L483" t="str">
        <f t="shared" si="31"/>
        <v>Medium</v>
      </c>
    </row>
    <row r="484" spans="1:12" x14ac:dyDescent="0.3">
      <c r="A484">
        <v>2020</v>
      </c>
      <c r="B484" s="2" t="s">
        <v>27</v>
      </c>
      <c r="C484" t="s">
        <v>17</v>
      </c>
      <c r="D484" t="s">
        <v>15</v>
      </c>
      <c r="E484">
        <v>28.32</v>
      </c>
      <c r="F484">
        <v>157.6</v>
      </c>
      <c r="G484">
        <v>3.58</v>
      </c>
      <c r="H484" s="3">
        <f t="shared" si="28"/>
        <v>44136</v>
      </c>
      <c r="I484">
        <f>MONTH(Table1[[#This Row],[Date]])</f>
        <v>11</v>
      </c>
      <c r="J484" t="str">
        <f t="shared" si="29"/>
        <v>Q4</v>
      </c>
      <c r="K484" t="str">
        <f t="shared" si="30"/>
        <v>Nov-2020</v>
      </c>
      <c r="L484" t="str">
        <f t="shared" si="31"/>
        <v>Medium</v>
      </c>
    </row>
    <row r="485" spans="1:12" x14ac:dyDescent="0.3">
      <c r="A485">
        <v>2020</v>
      </c>
      <c r="B485" s="2" t="s">
        <v>28</v>
      </c>
      <c r="C485" t="s">
        <v>8</v>
      </c>
      <c r="D485" t="s">
        <v>9</v>
      </c>
      <c r="E485">
        <v>100</v>
      </c>
      <c r="F485">
        <v>144.80000000000001</v>
      </c>
      <c r="G485">
        <v>2.35</v>
      </c>
      <c r="H485" s="3">
        <f t="shared" si="28"/>
        <v>44166</v>
      </c>
      <c r="I485">
        <f>MONTH(Table1[[#This Row],[Date]])</f>
        <v>12</v>
      </c>
      <c r="J485" t="str">
        <f t="shared" si="29"/>
        <v>Q4</v>
      </c>
      <c r="K485" t="str">
        <f t="shared" si="30"/>
        <v>Dec-2020</v>
      </c>
      <c r="L485" t="str">
        <f t="shared" si="31"/>
        <v>Low</v>
      </c>
    </row>
    <row r="486" spans="1:12" x14ac:dyDescent="0.3">
      <c r="A486">
        <v>2020</v>
      </c>
      <c r="B486" s="2" t="s">
        <v>28</v>
      </c>
      <c r="C486" t="s">
        <v>8</v>
      </c>
      <c r="D486" t="s">
        <v>10</v>
      </c>
      <c r="E486">
        <v>45.86</v>
      </c>
      <c r="F486">
        <v>146.80000000000001</v>
      </c>
      <c r="G486">
        <v>2.4300000000000002</v>
      </c>
      <c r="H486" s="3">
        <f t="shared" si="28"/>
        <v>44166</v>
      </c>
      <c r="I486">
        <f>MONTH(Table1[[#This Row],[Date]])</f>
        <v>12</v>
      </c>
      <c r="J486" t="str">
        <f t="shared" si="29"/>
        <v>Q4</v>
      </c>
      <c r="K486" t="str">
        <f t="shared" si="30"/>
        <v>Dec-2020</v>
      </c>
      <c r="L486" t="str">
        <f t="shared" si="31"/>
        <v>Low</v>
      </c>
    </row>
    <row r="487" spans="1:12" x14ac:dyDescent="0.3">
      <c r="A487">
        <v>2020</v>
      </c>
      <c r="B487" s="2" t="s">
        <v>28</v>
      </c>
      <c r="C487" t="s">
        <v>8</v>
      </c>
      <c r="D487" t="s">
        <v>11</v>
      </c>
      <c r="E487">
        <v>2.38</v>
      </c>
      <c r="F487">
        <v>148.80000000000001</v>
      </c>
      <c r="G487">
        <v>2.5099999999999998</v>
      </c>
      <c r="H487" s="3">
        <f t="shared" si="28"/>
        <v>44166</v>
      </c>
      <c r="I487">
        <f>MONTH(Table1[[#This Row],[Date]])</f>
        <v>12</v>
      </c>
      <c r="J487" t="str">
        <f t="shared" si="29"/>
        <v>Q4</v>
      </c>
      <c r="K487" t="str">
        <f t="shared" si="30"/>
        <v>Dec-2020</v>
      </c>
      <c r="L487" t="str">
        <f t="shared" si="31"/>
        <v>Low</v>
      </c>
    </row>
    <row r="488" spans="1:12" x14ac:dyDescent="0.3">
      <c r="A488">
        <v>2020</v>
      </c>
      <c r="B488" s="2" t="s">
        <v>28</v>
      </c>
      <c r="C488" t="s">
        <v>8</v>
      </c>
      <c r="D488" t="s">
        <v>12</v>
      </c>
      <c r="E488">
        <v>6.53</v>
      </c>
      <c r="F488">
        <v>150.80000000000001</v>
      </c>
      <c r="G488">
        <v>2.59</v>
      </c>
      <c r="H488" s="3">
        <f t="shared" si="28"/>
        <v>44166</v>
      </c>
      <c r="I488">
        <f>MONTH(Table1[[#This Row],[Date]])</f>
        <v>12</v>
      </c>
      <c r="J488" t="str">
        <f t="shared" si="29"/>
        <v>Q4</v>
      </c>
      <c r="K488" t="str">
        <f t="shared" si="30"/>
        <v>Dec-2020</v>
      </c>
      <c r="L488" t="str">
        <f t="shared" si="31"/>
        <v>Low</v>
      </c>
    </row>
    <row r="489" spans="1:12" x14ac:dyDescent="0.3">
      <c r="A489">
        <v>2020</v>
      </c>
      <c r="B489" s="2" t="s">
        <v>28</v>
      </c>
      <c r="C489" t="s">
        <v>8</v>
      </c>
      <c r="D489" t="s">
        <v>13</v>
      </c>
      <c r="E489">
        <v>10.07</v>
      </c>
      <c r="F489">
        <v>152.80000000000001</v>
      </c>
      <c r="G489">
        <v>2.67</v>
      </c>
      <c r="H489" s="3">
        <f t="shared" si="28"/>
        <v>44166</v>
      </c>
      <c r="I489">
        <f>MONTH(Table1[[#This Row],[Date]])</f>
        <v>12</v>
      </c>
      <c r="J489" t="str">
        <f t="shared" si="29"/>
        <v>Q4</v>
      </c>
      <c r="K489" t="str">
        <f t="shared" si="30"/>
        <v>Dec-2020</v>
      </c>
      <c r="L489" t="str">
        <f t="shared" si="31"/>
        <v>Low</v>
      </c>
    </row>
    <row r="490" spans="1:12" x14ac:dyDescent="0.3">
      <c r="A490">
        <v>2020</v>
      </c>
      <c r="B490" s="2" t="s">
        <v>28</v>
      </c>
      <c r="C490" t="s">
        <v>8</v>
      </c>
      <c r="D490" t="s">
        <v>14</v>
      </c>
      <c r="E490">
        <v>6.84</v>
      </c>
      <c r="F490">
        <v>154.80000000000001</v>
      </c>
      <c r="G490">
        <v>2.75</v>
      </c>
      <c r="H490" s="3">
        <f t="shared" si="28"/>
        <v>44166</v>
      </c>
      <c r="I490">
        <f>MONTH(Table1[[#This Row],[Date]])</f>
        <v>12</v>
      </c>
      <c r="J490" t="str">
        <f t="shared" si="29"/>
        <v>Q4</v>
      </c>
      <c r="K490" t="str">
        <f t="shared" si="30"/>
        <v>Dec-2020</v>
      </c>
      <c r="L490" t="str">
        <f t="shared" si="31"/>
        <v>Low</v>
      </c>
    </row>
    <row r="491" spans="1:12" x14ac:dyDescent="0.3">
      <c r="A491">
        <v>2020</v>
      </c>
      <c r="B491" s="2" t="s">
        <v>28</v>
      </c>
      <c r="C491" t="s">
        <v>8</v>
      </c>
      <c r="D491" t="s">
        <v>15</v>
      </c>
      <c r="E491">
        <v>28.32</v>
      </c>
      <c r="F491">
        <v>156.80000000000001</v>
      </c>
      <c r="G491">
        <v>2.83</v>
      </c>
      <c r="H491" s="3">
        <f t="shared" si="28"/>
        <v>44166</v>
      </c>
      <c r="I491">
        <f>MONTH(Table1[[#This Row],[Date]])</f>
        <v>12</v>
      </c>
      <c r="J491" t="str">
        <f t="shared" si="29"/>
        <v>Q4</v>
      </c>
      <c r="K491" t="str">
        <f t="shared" si="30"/>
        <v>Dec-2020</v>
      </c>
      <c r="L491" t="str">
        <f t="shared" si="31"/>
        <v>Low</v>
      </c>
    </row>
    <row r="492" spans="1:12" x14ac:dyDescent="0.3">
      <c r="A492">
        <v>2020</v>
      </c>
      <c r="B492" s="2" t="s">
        <v>28</v>
      </c>
      <c r="C492" t="s">
        <v>16</v>
      </c>
      <c r="D492" t="s">
        <v>9</v>
      </c>
      <c r="E492">
        <v>100</v>
      </c>
      <c r="F492">
        <v>145.4</v>
      </c>
      <c r="G492">
        <v>2.35</v>
      </c>
      <c r="H492" s="3">
        <f t="shared" si="28"/>
        <v>44166</v>
      </c>
      <c r="I492">
        <f>MONTH(Table1[[#This Row],[Date]])</f>
        <v>12</v>
      </c>
      <c r="J492" t="str">
        <f t="shared" si="29"/>
        <v>Q4</v>
      </c>
      <c r="K492" t="str">
        <f t="shared" si="30"/>
        <v>Dec-2020</v>
      </c>
      <c r="L492" t="str">
        <f t="shared" si="31"/>
        <v>Low</v>
      </c>
    </row>
    <row r="493" spans="1:12" x14ac:dyDescent="0.3">
      <c r="A493">
        <v>2020</v>
      </c>
      <c r="B493" s="2" t="s">
        <v>28</v>
      </c>
      <c r="C493" t="s">
        <v>16</v>
      </c>
      <c r="D493" t="s">
        <v>10</v>
      </c>
      <c r="E493">
        <v>45.86</v>
      </c>
      <c r="F493">
        <v>147.4</v>
      </c>
      <c r="G493">
        <v>2.4300000000000002</v>
      </c>
      <c r="H493" s="3">
        <f t="shared" si="28"/>
        <v>44166</v>
      </c>
      <c r="I493">
        <f>MONTH(Table1[[#This Row],[Date]])</f>
        <v>12</v>
      </c>
      <c r="J493" t="str">
        <f t="shared" si="29"/>
        <v>Q4</v>
      </c>
      <c r="K493" t="str">
        <f t="shared" si="30"/>
        <v>Dec-2020</v>
      </c>
      <c r="L493" t="str">
        <f t="shared" si="31"/>
        <v>Low</v>
      </c>
    </row>
    <row r="494" spans="1:12" x14ac:dyDescent="0.3">
      <c r="A494">
        <v>2020</v>
      </c>
      <c r="B494" s="2" t="s">
        <v>28</v>
      </c>
      <c r="C494" t="s">
        <v>16</v>
      </c>
      <c r="D494" t="s">
        <v>11</v>
      </c>
      <c r="E494">
        <v>2.38</v>
      </c>
      <c r="F494">
        <v>149.4</v>
      </c>
      <c r="G494">
        <v>2.5099999999999998</v>
      </c>
      <c r="H494" s="3">
        <f t="shared" si="28"/>
        <v>44166</v>
      </c>
      <c r="I494">
        <f>MONTH(Table1[[#This Row],[Date]])</f>
        <v>12</v>
      </c>
      <c r="J494" t="str">
        <f t="shared" si="29"/>
        <v>Q4</v>
      </c>
      <c r="K494" t="str">
        <f t="shared" si="30"/>
        <v>Dec-2020</v>
      </c>
      <c r="L494" t="str">
        <f t="shared" si="31"/>
        <v>Low</v>
      </c>
    </row>
    <row r="495" spans="1:12" x14ac:dyDescent="0.3">
      <c r="A495">
        <v>2020</v>
      </c>
      <c r="B495" s="2" t="s">
        <v>28</v>
      </c>
      <c r="C495" t="s">
        <v>16</v>
      </c>
      <c r="D495" t="s">
        <v>12</v>
      </c>
      <c r="E495">
        <v>6.53</v>
      </c>
      <c r="F495">
        <v>151.4</v>
      </c>
      <c r="G495">
        <v>2.59</v>
      </c>
      <c r="H495" s="3">
        <f t="shared" si="28"/>
        <v>44166</v>
      </c>
      <c r="I495">
        <f>MONTH(Table1[[#This Row],[Date]])</f>
        <v>12</v>
      </c>
      <c r="J495" t="str">
        <f t="shared" si="29"/>
        <v>Q4</v>
      </c>
      <c r="K495" t="str">
        <f t="shared" si="30"/>
        <v>Dec-2020</v>
      </c>
      <c r="L495" t="str">
        <f t="shared" si="31"/>
        <v>Low</v>
      </c>
    </row>
    <row r="496" spans="1:12" x14ac:dyDescent="0.3">
      <c r="A496">
        <v>2020</v>
      </c>
      <c r="B496" s="2" t="s">
        <v>28</v>
      </c>
      <c r="C496" t="s">
        <v>16</v>
      </c>
      <c r="D496" t="s">
        <v>13</v>
      </c>
      <c r="E496">
        <v>10.07</v>
      </c>
      <c r="F496">
        <v>153.4</v>
      </c>
      <c r="G496">
        <v>2.67</v>
      </c>
      <c r="H496" s="3">
        <f t="shared" si="28"/>
        <v>44166</v>
      </c>
      <c r="I496">
        <f>MONTH(Table1[[#This Row],[Date]])</f>
        <v>12</v>
      </c>
      <c r="J496" t="str">
        <f t="shared" si="29"/>
        <v>Q4</v>
      </c>
      <c r="K496" t="str">
        <f t="shared" si="30"/>
        <v>Dec-2020</v>
      </c>
      <c r="L496" t="str">
        <f t="shared" si="31"/>
        <v>Low</v>
      </c>
    </row>
    <row r="497" spans="1:12" x14ac:dyDescent="0.3">
      <c r="A497">
        <v>2020</v>
      </c>
      <c r="B497" s="2" t="s">
        <v>28</v>
      </c>
      <c r="C497" t="s">
        <v>16</v>
      </c>
      <c r="D497" t="s">
        <v>14</v>
      </c>
      <c r="E497">
        <v>6.84</v>
      </c>
      <c r="F497">
        <v>155.4</v>
      </c>
      <c r="G497">
        <v>2.75</v>
      </c>
      <c r="H497" s="3">
        <f t="shared" si="28"/>
        <v>44166</v>
      </c>
      <c r="I497">
        <f>MONTH(Table1[[#This Row],[Date]])</f>
        <v>12</v>
      </c>
      <c r="J497" t="str">
        <f t="shared" si="29"/>
        <v>Q4</v>
      </c>
      <c r="K497" t="str">
        <f t="shared" si="30"/>
        <v>Dec-2020</v>
      </c>
      <c r="L497" t="str">
        <f t="shared" si="31"/>
        <v>Low</v>
      </c>
    </row>
    <row r="498" spans="1:12" x14ac:dyDescent="0.3">
      <c r="A498">
        <v>2020</v>
      </c>
      <c r="B498" s="2" t="s">
        <v>28</v>
      </c>
      <c r="C498" t="s">
        <v>16</v>
      </c>
      <c r="D498" t="s">
        <v>15</v>
      </c>
      <c r="E498">
        <v>28.32</v>
      </c>
      <c r="F498">
        <v>157.4</v>
      </c>
      <c r="G498">
        <v>2.83</v>
      </c>
      <c r="H498" s="3">
        <f t="shared" si="28"/>
        <v>44166</v>
      </c>
      <c r="I498">
        <f>MONTH(Table1[[#This Row],[Date]])</f>
        <v>12</v>
      </c>
      <c r="J498" t="str">
        <f t="shared" si="29"/>
        <v>Q4</v>
      </c>
      <c r="K498" t="str">
        <f t="shared" si="30"/>
        <v>Dec-2020</v>
      </c>
      <c r="L498" t="str">
        <f t="shared" si="31"/>
        <v>Low</v>
      </c>
    </row>
    <row r="499" spans="1:12" x14ac:dyDescent="0.3">
      <c r="A499">
        <v>2020</v>
      </c>
      <c r="B499" s="2" t="s">
        <v>28</v>
      </c>
      <c r="C499" t="s">
        <v>17</v>
      </c>
      <c r="D499" t="s">
        <v>9</v>
      </c>
      <c r="E499">
        <v>100</v>
      </c>
      <c r="F499">
        <v>146</v>
      </c>
      <c r="G499">
        <v>2.35</v>
      </c>
      <c r="H499" s="3">
        <f t="shared" si="28"/>
        <v>44166</v>
      </c>
      <c r="I499">
        <f>MONTH(Table1[[#This Row],[Date]])</f>
        <v>12</v>
      </c>
      <c r="J499" t="str">
        <f t="shared" si="29"/>
        <v>Q4</v>
      </c>
      <c r="K499" t="str">
        <f t="shared" si="30"/>
        <v>Dec-2020</v>
      </c>
      <c r="L499" t="str">
        <f t="shared" si="31"/>
        <v>Low</v>
      </c>
    </row>
    <row r="500" spans="1:12" x14ac:dyDescent="0.3">
      <c r="A500">
        <v>2020</v>
      </c>
      <c r="B500" s="2" t="s">
        <v>28</v>
      </c>
      <c r="C500" t="s">
        <v>17</v>
      </c>
      <c r="D500" t="s">
        <v>10</v>
      </c>
      <c r="E500">
        <v>45.86</v>
      </c>
      <c r="F500">
        <v>148</v>
      </c>
      <c r="G500">
        <v>2.4300000000000002</v>
      </c>
      <c r="H500" s="3">
        <f t="shared" si="28"/>
        <v>44166</v>
      </c>
      <c r="I500">
        <f>MONTH(Table1[[#This Row],[Date]])</f>
        <v>12</v>
      </c>
      <c r="J500" t="str">
        <f t="shared" si="29"/>
        <v>Q4</v>
      </c>
      <c r="K500" t="str">
        <f t="shared" si="30"/>
        <v>Dec-2020</v>
      </c>
      <c r="L500" t="str">
        <f t="shared" si="31"/>
        <v>Low</v>
      </c>
    </row>
    <row r="501" spans="1:12" x14ac:dyDescent="0.3">
      <c r="A501">
        <v>2020</v>
      </c>
      <c r="B501" s="2" t="s">
        <v>28</v>
      </c>
      <c r="C501" t="s">
        <v>17</v>
      </c>
      <c r="D501" t="s">
        <v>11</v>
      </c>
      <c r="E501">
        <v>2.38</v>
      </c>
      <c r="F501">
        <v>150</v>
      </c>
      <c r="G501">
        <v>2.5099999999999998</v>
      </c>
      <c r="H501" s="3">
        <f t="shared" si="28"/>
        <v>44166</v>
      </c>
      <c r="I501">
        <f>MONTH(Table1[[#This Row],[Date]])</f>
        <v>12</v>
      </c>
      <c r="J501" t="str">
        <f t="shared" si="29"/>
        <v>Q4</v>
      </c>
      <c r="K501" t="str">
        <f t="shared" si="30"/>
        <v>Dec-2020</v>
      </c>
      <c r="L501" t="str">
        <f t="shared" si="31"/>
        <v>Low</v>
      </c>
    </row>
    <row r="502" spans="1:12" x14ac:dyDescent="0.3">
      <c r="A502">
        <v>2020</v>
      </c>
      <c r="B502" s="2" t="s">
        <v>28</v>
      </c>
      <c r="C502" t="s">
        <v>17</v>
      </c>
      <c r="D502" t="s">
        <v>12</v>
      </c>
      <c r="E502">
        <v>6.53</v>
      </c>
      <c r="F502">
        <v>152</v>
      </c>
      <c r="G502">
        <v>2.59</v>
      </c>
      <c r="H502" s="3">
        <f t="shared" si="28"/>
        <v>44166</v>
      </c>
      <c r="I502">
        <f>MONTH(Table1[[#This Row],[Date]])</f>
        <v>12</v>
      </c>
      <c r="J502" t="str">
        <f t="shared" si="29"/>
        <v>Q4</v>
      </c>
      <c r="K502" t="str">
        <f t="shared" si="30"/>
        <v>Dec-2020</v>
      </c>
      <c r="L502" t="str">
        <f t="shared" si="31"/>
        <v>Low</v>
      </c>
    </row>
    <row r="503" spans="1:12" x14ac:dyDescent="0.3">
      <c r="A503">
        <v>2020</v>
      </c>
      <c r="B503" s="2" t="s">
        <v>28</v>
      </c>
      <c r="C503" t="s">
        <v>17</v>
      </c>
      <c r="D503" t="s">
        <v>13</v>
      </c>
      <c r="E503">
        <v>10.07</v>
      </c>
      <c r="F503">
        <v>154</v>
      </c>
      <c r="G503">
        <v>2.67</v>
      </c>
      <c r="H503" s="3">
        <f t="shared" si="28"/>
        <v>44166</v>
      </c>
      <c r="I503">
        <f>MONTH(Table1[[#This Row],[Date]])</f>
        <v>12</v>
      </c>
      <c r="J503" t="str">
        <f t="shared" si="29"/>
        <v>Q4</v>
      </c>
      <c r="K503" t="str">
        <f t="shared" si="30"/>
        <v>Dec-2020</v>
      </c>
      <c r="L503" t="str">
        <f t="shared" si="31"/>
        <v>Low</v>
      </c>
    </row>
    <row r="504" spans="1:12" x14ac:dyDescent="0.3">
      <c r="A504">
        <v>2020</v>
      </c>
      <c r="B504" s="2" t="s">
        <v>28</v>
      </c>
      <c r="C504" t="s">
        <v>17</v>
      </c>
      <c r="D504" t="s">
        <v>14</v>
      </c>
      <c r="E504">
        <v>6.84</v>
      </c>
      <c r="F504">
        <v>156</v>
      </c>
      <c r="G504">
        <v>2.75</v>
      </c>
      <c r="H504" s="3">
        <f t="shared" si="28"/>
        <v>44166</v>
      </c>
      <c r="I504">
        <f>MONTH(Table1[[#This Row],[Date]])</f>
        <v>12</v>
      </c>
      <c r="J504" t="str">
        <f t="shared" si="29"/>
        <v>Q4</v>
      </c>
      <c r="K504" t="str">
        <f t="shared" si="30"/>
        <v>Dec-2020</v>
      </c>
      <c r="L504" t="str">
        <f t="shared" si="31"/>
        <v>Low</v>
      </c>
    </row>
    <row r="505" spans="1:12" x14ac:dyDescent="0.3">
      <c r="A505">
        <v>2020</v>
      </c>
      <c r="B505" s="2" t="s">
        <v>28</v>
      </c>
      <c r="C505" t="s">
        <v>17</v>
      </c>
      <c r="D505" t="s">
        <v>15</v>
      </c>
      <c r="E505">
        <v>28.32</v>
      </c>
      <c r="F505">
        <v>158</v>
      </c>
      <c r="G505">
        <v>2.83</v>
      </c>
      <c r="H505" s="3">
        <f t="shared" si="28"/>
        <v>44166</v>
      </c>
      <c r="I505">
        <f>MONTH(Table1[[#This Row],[Date]])</f>
        <v>12</v>
      </c>
      <c r="J505" t="str">
        <f t="shared" si="29"/>
        <v>Q4</v>
      </c>
      <c r="K505" t="str">
        <f t="shared" si="30"/>
        <v>Dec-2020</v>
      </c>
      <c r="L505" t="str">
        <f t="shared" si="31"/>
        <v>Low</v>
      </c>
    </row>
    <row r="506" spans="1:12" x14ac:dyDescent="0.3">
      <c r="A506">
        <v>2021</v>
      </c>
      <c r="B506" s="2" t="s">
        <v>7</v>
      </c>
      <c r="C506" t="s">
        <v>8</v>
      </c>
      <c r="D506" t="s">
        <v>9</v>
      </c>
      <c r="E506">
        <v>100</v>
      </c>
      <c r="F506">
        <v>145.4</v>
      </c>
      <c r="G506">
        <v>2.85</v>
      </c>
      <c r="H506" s="3">
        <f t="shared" si="28"/>
        <v>44197</v>
      </c>
      <c r="I506">
        <f>MONTH(Table1[[#This Row],[Date]])</f>
        <v>1</v>
      </c>
      <c r="J506" t="str">
        <f t="shared" si="29"/>
        <v>Q1</v>
      </c>
      <c r="K506" t="str">
        <f t="shared" si="30"/>
        <v>Jan-2021</v>
      </c>
      <c r="L506" t="str">
        <f t="shared" si="31"/>
        <v>Low</v>
      </c>
    </row>
    <row r="507" spans="1:12" x14ac:dyDescent="0.3">
      <c r="A507">
        <v>2021</v>
      </c>
      <c r="B507" s="2" t="s">
        <v>7</v>
      </c>
      <c r="C507" t="s">
        <v>8</v>
      </c>
      <c r="D507" t="s">
        <v>10</v>
      </c>
      <c r="E507">
        <v>45.86</v>
      </c>
      <c r="F507">
        <v>147.4</v>
      </c>
      <c r="G507">
        <v>2.93</v>
      </c>
      <c r="H507" s="3">
        <f t="shared" si="28"/>
        <v>44197</v>
      </c>
      <c r="I507">
        <f>MONTH(Table1[[#This Row],[Date]])</f>
        <v>1</v>
      </c>
      <c r="J507" t="str">
        <f t="shared" si="29"/>
        <v>Q1</v>
      </c>
      <c r="K507" t="str">
        <f t="shared" si="30"/>
        <v>Jan-2021</v>
      </c>
      <c r="L507" t="str">
        <f t="shared" si="31"/>
        <v>Low</v>
      </c>
    </row>
    <row r="508" spans="1:12" x14ac:dyDescent="0.3">
      <c r="A508">
        <v>2021</v>
      </c>
      <c r="B508" s="2" t="s">
        <v>7</v>
      </c>
      <c r="C508" t="s">
        <v>8</v>
      </c>
      <c r="D508" t="s">
        <v>11</v>
      </c>
      <c r="E508">
        <v>2.38</v>
      </c>
      <c r="F508">
        <v>149.4</v>
      </c>
      <c r="G508">
        <v>3.01</v>
      </c>
      <c r="H508" s="3">
        <f t="shared" si="28"/>
        <v>44197</v>
      </c>
      <c r="I508">
        <f>MONTH(Table1[[#This Row],[Date]])</f>
        <v>1</v>
      </c>
      <c r="J508" t="str">
        <f t="shared" si="29"/>
        <v>Q1</v>
      </c>
      <c r="K508" t="str">
        <f t="shared" si="30"/>
        <v>Jan-2021</v>
      </c>
      <c r="L508" t="str">
        <f t="shared" si="31"/>
        <v>Medium</v>
      </c>
    </row>
    <row r="509" spans="1:12" x14ac:dyDescent="0.3">
      <c r="A509">
        <v>2021</v>
      </c>
      <c r="B509" s="2" t="s">
        <v>7</v>
      </c>
      <c r="C509" t="s">
        <v>8</v>
      </c>
      <c r="D509" t="s">
        <v>12</v>
      </c>
      <c r="E509">
        <v>6.53</v>
      </c>
      <c r="F509">
        <v>151.4</v>
      </c>
      <c r="G509">
        <v>3.09</v>
      </c>
      <c r="H509" s="3">
        <f t="shared" si="28"/>
        <v>44197</v>
      </c>
      <c r="I509">
        <f>MONTH(Table1[[#This Row],[Date]])</f>
        <v>1</v>
      </c>
      <c r="J509" t="str">
        <f t="shared" si="29"/>
        <v>Q1</v>
      </c>
      <c r="K509" t="str">
        <f t="shared" si="30"/>
        <v>Jan-2021</v>
      </c>
      <c r="L509" t="str">
        <f t="shared" si="31"/>
        <v>Medium</v>
      </c>
    </row>
    <row r="510" spans="1:12" x14ac:dyDescent="0.3">
      <c r="A510">
        <v>2021</v>
      </c>
      <c r="B510" s="2" t="s">
        <v>7</v>
      </c>
      <c r="C510" t="s">
        <v>8</v>
      </c>
      <c r="D510" t="s">
        <v>13</v>
      </c>
      <c r="E510">
        <v>10.07</v>
      </c>
      <c r="F510">
        <v>153.4</v>
      </c>
      <c r="G510">
        <v>3.17</v>
      </c>
      <c r="H510" s="3">
        <f t="shared" si="28"/>
        <v>44197</v>
      </c>
      <c r="I510">
        <f>MONTH(Table1[[#This Row],[Date]])</f>
        <v>1</v>
      </c>
      <c r="J510" t="str">
        <f t="shared" si="29"/>
        <v>Q1</v>
      </c>
      <c r="K510" t="str">
        <f t="shared" si="30"/>
        <v>Jan-2021</v>
      </c>
      <c r="L510" t="str">
        <f t="shared" si="31"/>
        <v>Medium</v>
      </c>
    </row>
    <row r="511" spans="1:12" x14ac:dyDescent="0.3">
      <c r="A511">
        <v>2021</v>
      </c>
      <c r="B511" s="2" t="s">
        <v>7</v>
      </c>
      <c r="C511" t="s">
        <v>8</v>
      </c>
      <c r="D511" t="s">
        <v>14</v>
      </c>
      <c r="E511">
        <v>6.84</v>
      </c>
      <c r="F511">
        <v>155.4</v>
      </c>
      <c r="G511">
        <v>3.25</v>
      </c>
      <c r="H511" s="3">
        <f t="shared" si="28"/>
        <v>44197</v>
      </c>
      <c r="I511">
        <f>MONTH(Table1[[#This Row],[Date]])</f>
        <v>1</v>
      </c>
      <c r="J511" t="str">
        <f t="shared" si="29"/>
        <v>Q1</v>
      </c>
      <c r="K511" t="str">
        <f t="shared" si="30"/>
        <v>Jan-2021</v>
      </c>
      <c r="L511" t="str">
        <f t="shared" si="31"/>
        <v>Medium</v>
      </c>
    </row>
    <row r="512" spans="1:12" x14ac:dyDescent="0.3">
      <c r="A512">
        <v>2021</v>
      </c>
      <c r="B512" s="2" t="s">
        <v>7</v>
      </c>
      <c r="C512" t="s">
        <v>8</v>
      </c>
      <c r="D512" t="s">
        <v>15</v>
      </c>
      <c r="E512">
        <v>28.32</v>
      </c>
      <c r="F512">
        <v>157.4</v>
      </c>
      <c r="G512">
        <v>3.33</v>
      </c>
      <c r="H512" s="3">
        <f t="shared" si="28"/>
        <v>44197</v>
      </c>
      <c r="I512">
        <f>MONTH(Table1[[#This Row],[Date]])</f>
        <v>1</v>
      </c>
      <c r="J512" t="str">
        <f t="shared" si="29"/>
        <v>Q1</v>
      </c>
      <c r="K512" t="str">
        <f t="shared" si="30"/>
        <v>Jan-2021</v>
      </c>
      <c r="L512" t="str">
        <f t="shared" si="31"/>
        <v>Medium</v>
      </c>
    </row>
    <row r="513" spans="1:12" x14ac:dyDescent="0.3">
      <c r="A513">
        <v>2021</v>
      </c>
      <c r="B513" s="2" t="s">
        <v>7</v>
      </c>
      <c r="C513" t="s">
        <v>16</v>
      </c>
      <c r="D513" t="s">
        <v>9</v>
      </c>
      <c r="E513">
        <v>100</v>
      </c>
      <c r="F513">
        <v>146</v>
      </c>
      <c r="G513">
        <v>2.85</v>
      </c>
      <c r="H513" s="3">
        <f t="shared" si="28"/>
        <v>44197</v>
      </c>
      <c r="I513">
        <f>MONTH(Table1[[#This Row],[Date]])</f>
        <v>1</v>
      </c>
      <c r="J513" t="str">
        <f t="shared" si="29"/>
        <v>Q1</v>
      </c>
      <c r="K513" t="str">
        <f t="shared" si="30"/>
        <v>Jan-2021</v>
      </c>
      <c r="L513" t="str">
        <f t="shared" si="31"/>
        <v>Low</v>
      </c>
    </row>
    <row r="514" spans="1:12" x14ac:dyDescent="0.3">
      <c r="A514">
        <v>2021</v>
      </c>
      <c r="B514" s="2" t="s">
        <v>7</v>
      </c>
      <c r="C514" t="s">
        <v>16</v>
      </c>
      <c r="D514" t="s">
        <v>10</v>
      </c>
      <c r="E514">
        <v>45.86</v>
      </c>
      <c r="F514">
        <v>148</v>
      </c>
      <c r="G514">
        <v>2.93</v>
      </c>
      <c r="H514" s="3">
        <f t="shared" ref="H514:H577" si="32">DATE(A514,MONTH(DATEVALUE(B514&amp;" 1")),1)</f>
        <v>44197</v>
      </c>
      <c r="I514">
        <f>MONTH(Table1[[#This Row],[Date]])</f>
        <v>1</v>
      </c>
      <c r="J514" t="str">
        <f t="shared" ref="J514:J577" si="33">"Q"&amp;ROUNDUP(MONTH(H514)/3,0)</f>
        <v>Q1</v>
      </c>
      <c r="K514" t="str">
        <f t="shared" ref="K514:K577" si="34">TEXT(H514,"mmm-yyyy")</f>
        <v>Jan-2021</v>
      </c>
      <c r="L514" t="str">
        <f t="shared" ref="L514:L577" si="35">IF(G514&lt;3,"Low",IF(G514&lt;4,"Medium","High"))</f>
        <v>Low</v>
      </c>
    </row>
    <row r="515" spans="1:12" x14ac:dyDescent="0.3">
      <c r="A515">
        <v>2021</v>
      </c>
      <c r="B515" s="2" t="s">
        <v>7</v>
      </c>
      <c r="C515" t="s">
        <v>16</v>
      </c>
      <c r="D515" t="s">
        <v>11</v>
      </c>
      <c r="E515">
        <v>2.38</v>
      </c>
      <c r="F515">
        <v>150</v>
      </c>
      <c r="G515">
        <v>3.01</v>
      </c>
      <c r="H515" s="3">
        <f t="shared" si="32"/>
        <v>44197</v>
      </c>
      <c r="I515">
        <f>MONTH(Table1[[#This Row],[Date]])</f>
        <v>1</v>
      </c>
      <c r="J515" t="str">
        <f t="shared" si="33"/>
        <v>Q1</v>
      </c>
      <c r="K515" t="str">
        <f t="shared" si="34"/>
        <v>Jan-2021</v>
      </c>
      <c r="L515" t="str">
        <f t="shared" si="35"/>
        <v>Medium</v>
      </c>
    </row>
    <row r="516" spans="1:12" x14ac:dyDescent="0.3">
      <c r="A516">
        <v>2021</v>
      </c>
      <c r="B516" s="2" t="s">
        <v>7</v>
      </c>
      <c r="C516" t="s">
        <v>16</v>
      </c>
      <c r="D516" t="s">
        <v>12</v>
      </c>
      <c r="E516">
        <v>6.53</v>
      </c>
      <c r="F516">
        <v>152</v>
      </c>
      <c r="G516">
        <v>3.09</v>
      </c>
      <c r="H516" s="3">
        <f t="shared" si="32"/>
        <v>44197</v>
      </c>
      <c r="I516">
        <f>MONTH(Table1[[#This Row],[Date]])</f>
        <v>1</v>
      </c>
      <c r="J516" t="str">
        <f t="shared" si="33"/>
        <v>Q1</v>
      </c>
      <c r="K516" t="str">
        <f t="shared" si="34"/>
        <v>Jan-2021</v>
      </c>
      <c r="L516" t="str">
        <f t="shared" si="35"/>
        <v>Medium</v>
      </c>
    </row>
    <row r="517" spans="1:12" x14ac:dyDescent="0.3">
      <c r="A517">
        <v>2021</v>
      </c>
      <c r="B517" s="2" t="s">
        <v>7</v>
      </c>
      <c r="C517" t="s">
        <v>16</v>
      </c>
      <c r="D517" t="s">
        <v>13</v>
      </c>
      <c r="E517">
        <v>10.07</v>
      </c>
      <c r="F517">
        <v>154</v>
      </c>
      <c r="G517">
        <v>3.17</v>
      </c>
      <c r="H517" s="3">
        <f t="shared" si="32"/>
        <v>44197</v>
      </c>
      <c r="I517">
        <f>MONTH(Table1[[#This Row],[Date]])</f>
        <v>1</v>
      </c>
      <c r="J517" t="str">
        <f t="shared" si="33"/>
        <v>Q1</v>
      </c>
      <c r="K517" t="str">
        <f t="shared" si="34"/>
        <v>Jan-2021</v>
      </c>
      <c r="L517" t="str">
        <f t="shared" si="35"/>
        <v>Medium</v>
      </c>
    </row>
    <row r="518" spans="1:12" x14ac:dyDescent="0.3">
      <c r="A518">
        <v>2021</v>
      </c>
      <c r="B518" s="2" t="s">
        <v>7</v>
      </c>
      <c r="C518" t="s">
        <v>16</v>
      </c>
      <c r="D518" t="s">
        <v>14</v>
      </c>
      <c r="E518">
        <v>6.84</v>
      </c>
      <c r="F518">
        <v>156</v>
      </c>
      <c r="G518">
        <v>3.25</v>
      </c>
      <c r="H518" s="3">
        <f t="shared" si="32"/>
        <v>44197</v>
      </c>
      <c r="I518">
        <f>MONTH(Table1[[#This Row],[Date]])</f>
        <v>1</v>
      </c>
      <c r="J518" t="str">
        <f t="shared" si="33"/>
        <v>Q1</v>
      </c>
      <c r="K518" t="str">
        <f t="shared" si="34"/>
        <v>Jan-2021</v>
      </c>
      <c r="L518" t="str">
        <f t="shared" si="35"/>
        <v>Medium</v>
      </c>
    </row>
    <row r="519" spans="1:12" x14ac:dyDescent="0.3">
      <c r="A519">
        <v>2021</v>
      </c>
      <c r="B519" s="2" t="s">
        <v>7</v>
      </c>
      <c r="C519" t="s">
        <v>16</v>
      </c>
      <c r="D519" t="s">
        <v>15</v>
      </c>
      <c r="E519">
        <v>28.32</v>
      </c>
      <c r="F519">
        <v>158</v>
      </c>
      <c r="G519">
        <v>3.33</v>
      </c>
      <c r="H519" s="3">
        <f t="shared" si="32"/>
        <v>44197</v>
      </c>
      <c r="I519">
        <f>MONTH(Table1[[#This Row],[Date]])</f>
        <v>1</v>
      </c>
      <c r="J519" t="str">
        <f t="shared" si="33"/>
        <v>Q1</v>
      </c>
      <c r="K519" t="str">
        <f t="shared" si="34"/>
        <v>Jan-2021</v>
      </c>
      <c r="L519" t="str">
        <f t="shared" si="35"/>
        <v>Medium</v>
      </c>
    </row>
    <row r="520" spans="1:12" x14ac:dyDescent="0.3">
      <c r="A520">
        <v>2021</v>
      </c>
      <c r="B520" s="2" t="s">
        <v>7</v>
      </c>
      <c r="C520" t="s">
        <v>17</v>
      </c>
      <c r="D520" t="s">
        <v>9</v>
      </c>
      <c r="E520">
        <v>100</v>
      </c>
      <c r="F520">
        <v>146.6</v>
      </c>
      <c r="G520">
        <v>2.85</v>
      </c>
      <c r="H520" s="3">
        <f t="shared" si="32"/>
        <v>44197</v>
      </c>
      <c r="I520">
        <f>MONTH(Table1[[#This Row],[Date]])</f>
        <v>1</v>
      </c>
      <c r="J520" t="str">
        <f t="shared" si="33"/>
        <v>Q1</v>
      </c>
      <c r="K520" t="str">
        <f t="shared" si="34"/>
        <v>Jan-2021</v>
      </c>
      <c r="L520" t="str">
        <f t="shared" si="35"/>
        <v>Low</v>
      </c>
    </row>
    <row r="521" spans="1:12" x14ac:dyDescent="0.3">
      <c r="A521">
        <v>2021</v>
      </c>
      <c r="B521" s="2" t="s">
        <v>7</v>
      </c>
      <c r="C521" t="s">
        <v>17</v>
      </c>
      <c r="D521" t="s">
        <v>10</v>
      </c>
      <c r="E521">
        <v>45.86</v>
      </c>
      <c r="F521">
        <v>148.6</v>
      </c>
      <c r="G521">
        <v>2.93</v>
      </c>
      <c r="H521" s="3">
        <f t="shared" si="32"/>
        <v>44197</v>
      </c>
      <c r="I521">
        <f>MONTH(Table1[[#This Row],[Date]])</f>
        <v>1</v>
      </c>
      <c r="J521" t="str">
        <f t="shared" si="33"/>
        <v>Q1</v>
      </c>
      <c r="K521" t="str">
        <f t="shared" si="34"/>
        <v>Jan-2021</v>
      </c>
      <c r="L521" t="str">
        <f t="shared" si="35"/>
        <v>Low</v>
      </c>
    </row>
    <row r="522" spans="1:12" x14ac:dyDescent="0.3">
      <c r="A522">
        <v>2021</v>
      </c>
      <c r="B522" s="2" t="s">
        <v>7</v>
      </c>
      <c r="C522" t="s">
        <v>17</v>
      </c>
      <c r="D522" t="s">
        <v>11</v>
      </c>
      <c r="E522">
        <v>2.38</v>
      </c>
      <c r="F522">
        <v>150.6</v>
      </c>
      <c r="G522">
        <v>3.01</v>
      </c>
      <c r="H522" s="3">
        <f t="shared" si="32"/>
        <v>44197</v>
      </c>
      <c r="I522">
        <f>MONTH(Table1[[#This Row],[Date]])</f>
        <v>1</v>
      </c>
      <c r="J522" t="str">
        <f t="shared" si="33"/>
        <v>Q1</v>
      </c>
      <c r="K522" t="str">
        <f t="shared" si="34"/>
        <v>Jan-2021</v>
      </c>
      <c r="L522" t="str">
        <f t="shared" si="35"/>
        <v>Medium</v>
      </c>
    </row>
    <row r="523" spans="1:12" x14ac:dyDescent="0.3">
      <c r="A523">
        <v>2021</v>
      </c>
      <c r="B523" s="2" t="s">
        <v>7</v>
      </c>
      <c r="C523" t="s">
        <v>17</v>
      </c>
      <c r="D523" t="s">
        <v>12</v>
      </c>
      <c r="E523">
        <v>6.53</v>
      </c>
      <c r="F523">
        <v>152.6</v>
      </c>
      <c r="G523">
        <v>3.09</v>
      </c>
      <c r="H523" s="3">
        <f t="shared" si="32"/>
        <v>44197</v>
      </c>
      <c r="I523">
        <f>MONTH(Table1[[#This Row],[Date]])</f>
        <v>1</v>
      </c>
      <c r="J523" t="str">
        <f t="shared" si="33"/>
        <v>Q1</v>
      </c>
      <c r="K523" t="str">
        <f t="shared" si="34"/>
        <v>Jan-2021</v>
      </c>
      <c r="L523" t="str">
        <f t="shared" si="35"/>
        <v>Medium</v>
      </c>
    </row>
    <row r="524" spans="1:12" x14ac:dyDescent="0.3">
      <c r="A524">
        <v>2021</v>
      </c>
      <c r="B524" s="2" t="s">
        <v>7</v>
      </c>
      <c r="C524" t="s">
        <v>17</v>
      </c>
      <c r="D524" t="s">
        <v>13</v>
      </c>
      <c r="E524">
        <v>10.07</v>
      </c>
      <c r="F524">
        <v>154.6</v>
      </c>
      <c r="G524">
        <v>3.17</v>
      </c>
      <c r="H524" s="3">
        <f t="shared" si="32"/>
        <v>44197</v>
      </c>
      <c r="I524">
        <f>MONTH(Table1[[#This Row],[Date]])</f>
        <v>1</v>
      </c>
      <c r="J524" t="str">
        <f t="shared" si="33"/>
        <v>Q1</v>
      </c>
      <c r="K524" t="str">
        <f t="shared" si="34"/>
        <v>Jan-2021</v>
      </c>
      <c r="L524" t="str">
        <f t="shared" si="35"/>
        <v>Medium</v>
      </c>
    </row>
    <row r="525" spans="1:12" x14ac:dyDescent="0.3">
      <c r="A525">
        <v>2021</v>
      </c>
      <c r="B525" s="2" t="s">
        <v>7</v>
      </c>
      <c r="C525" t="s">
        <v>17</v>
      </c>
      <c r="D525" t="s">
        <v>14</v>
      </c>
      <c r="E525">
        <v>6.84</v>
      </c>
      <c r="F525">
        <v>156.6</v>
      </c>
      <c r="G525">
        <v>3.25</v>
      </c>
      <c r="H525" s="3">
        <f t="shared" si="32"/>
        <v>44197</v>
      </c>
      <c r="I525">
        <f>MONTH(Table1[[#This Row],[Date]])</f>
        <v>1</v>
      </c>
      <c r="J525" t="str">
        <f t="shared" si="33"/>
        <v>Q1</v>
      </c>
      <c r="K525" t="str">
        <f t="shared" si="34"/>
        <v>Jan-2021</v>
      </c>
      <c r="L525" t="str">
        <f t="shared" si="35"/>
        <v>Medium</v>
      </c>
    </row>
    <row r="526" spans="1:12" x14ac:dyDescent="0.3">
      <c r="A526">
        <v>2021</v>
      </c>
      <c r="B526" s="2" t="s">
        <v>7</v>
      </c>
      <c r="C526" t="s">
        <v>17</v>
      </c>
      <c r="D526" t="s">
        <v>15</v>
      </c>
      <c r="E526">
        <v>28.32</v>
      </c>
      <c r="F526">
        <v>158.6</v>
      </c>
      <c r="G526">
        <v>3.33</v>
      </c>
      <c r="H526" s="3">
        <f t="shared" si="32"/>
        <v>44197</v>
      </c>
      <c r="I526">
        <f>MONTH(Table1[[#This Row],[Date]])</f>
        <v>1</v>
      </c>
      <c r="J526" t="str">
        <f t="shared" si="33"/>
        <v>Q1</v>
      </c>
      <c r="K526" t="str">
        <f t="shared" si="34"/>
        <v>Jan-2021</v>
      </c>
      <c r="L526" t="str">
        <f t="shared" si="35"/>
        <v>Medium</v>
      </c>
    </row>
    <row r="527" spans="1:12" x14ac:dyDescent="0.3">
      <c r="A527">
        <v>2021</v>
      </c>
      <c r="B527" s="2" t="s">
        <v>18</v>
      </c>
      <c r="C527" t="s">
        <v>8</v>
      </c>
      <c r="D527" t="s">
        <v>9</v>
      </c>
      <c r="E527">
        <v>100</v>
      </c>
      <c r="F527">
        <v>145.80000000000001</v>
      </c>
      <c r="G527">
        <v>3</v>
      </c>
      <c r="H527" s="3">
        <f t="shared" si="32"/>
        <v>44228</v>
      </c>
      <c r="I527">
        <f>MONTH(Table1[[#This Row],[Date]])</f>
        <v>2</v>
      </c>
      <c r="J527" t="str">
        <f t="shared" si="33"/>
        <v>Q1</v>
      </c>
      <c r="K527" t="str">
        <f t="shared" si="34"/>
        <v>Feb-2021</v>
      </c>
      <c r="L527" t="str">
        <f t="shared" si="35"/>
        <v>Medium</v>
      </c>
    </row>
    <row r="528" spans="1:12" x14ac:dyDescent="0.3">
      <c r="A528">
        <v>2021</v>
      </c>
      <c r="B528" s="2" t="s">
        <v>18</v>
      </c>
      <c r="C528" t="s">
        <v>8</v>
      </c>
      <c r="D528" t="s">
        <v>10</v>
      </c>
      <c r="E528">
        <v>45.86</v>
      </c>
      <c r="F528">
        <v>147.80000000000001</v>
      </c>
      <c r="G528">
        <v>3.08</v>
      </c>
      <c r="H528" s="3">
        <f t="shared" si="32"/>
        <v>44228</v>
      </c>
      <c r="I528">
        <f>MONTH(Table1[[#This Row],[Date]])</f>
        <v>2</v>
      </c>
      <c r="J528" t="str">
        <f t="shared" si="33"/>
        <v>Q1</v>
      </c>
      <c r="K528" t="str">
        <f t="shared" si="34"/>
        <v>Feb-2021</v>
      </c>
      <c r="L528" t="str">
        <f t="shared" si="35"/>
        <v>Medium</v>
      </c>
    </row>
    <row r="529" spans="1:12" x14ac:dyDescent="0.3">
      <c r="A529">
        <v>2021</v>
      </c>
      <c r="B529" s="2" t="s">
        <v>18</v>
      </c>
      <c r="C529" t="s">
        <v>8</v>
      </c>
      <c r="D529" t="s">
        <v>11</v>
      </c>
      <c r="E529">
        <v>2.38</v>
      </c>
      <c r="F529">
        <v>149.80000000000001</v>
      </c>
      <c r="G529">
        <v>3.16</v>
      </c>
      <c r="H529" s="3">
        <f t="shared" si="32"/>
        <v>44228</v>
      </c>
      <c r="I529">
        <f>MONTH(Table1[[#This Row],[Date]])</f>
        <v>2</v>
      </c>
      <c r="J529" t="str">
        <f t="shared" si="33"/>
        <v>Q1</v>
      </c>
      <c r="K529" t="str">
        <f t="shared" si="34"/>
        <v>Feb-2021</v>
      </c>
      <c r="L529" t="str">
        <f t="shared" si="35"/>
        <v>Medium</v>
      </c>
    </row>
    <row r="530" spans="1:12" x14ac:dyDescent="0.3">
      <c r="A530">
        <v>2021</v>
      </c>
      <c r="B530" s="2" t="s">
        <v>18</v>
      </c>
      <c r="C530" t="s">
        <v>8</v>
      </c>
      <c r="D530" t="s">
        <v>12</v>
      </c>
      <c r="E530">
        <v>6.53</v>
      </c>
      <c r="F530">
        <v>151.80000000000001</v>
      </c>
      <c r="G530">
        <v>3.24</v>
      </c>
      <c r="H530" s="3">
        <f t="shared" si="32"/>
        <v>44228</v>
      </c>
      <c r="I530">
        <f>MONTH(Table1[[#This Row],[Date]])</f>
        <v>2</v>
      </c>
      <c r="J530" t="str">
        <f t="shared" si="33"/>
        <v>Q1</v>
      </c>
      <c r="K530" t="str">
        <f t="shared" si="34"/>
        <v>Feb-2021</v>
      </c>
      <c r="L530" t="str">
        <f t="shared" si="35"/>
        <v>Medium</v>
      </c>
    </row>
    <row r="531" spans="1:12" x14ac:dyDescent="0.3">
      <c r="A531">
        <v>2021</v>
      </c>
      <c r="B531" s="2" t="s">
        <v>18</v>
      </c>
      <c r="C531" t="s">
        <v>8</v>
      </c>
      <c r="D531" t="s">
        <v>13</v>
      </c>
      <c r="E531">
        <v>10.07</v>
      </c>
      <c r="F531">
        <v>153.80000000000001</v>
      </c>
      <c r="G531">
        <v>3.32</v>
      </c>
      <c r="H531" s="3">
        <f t="shared" si="32"/>
        <v>44228</v>
      </c>
      <c r="I531">
        <f>MONTH(Table1[[#This Row],[Date]])</f>
        <v>2</v>
      </c>
      <c r="J531" t="str">
        <f t="shared" si="33"/>
        <v>Q1</v>
      </c>
      <c r="K531" t="str">
        <f t="shared" si="34"/>
        <v>Feb-2021</v>
      </c>
      <c r="L531" t="str">
        <f t="shared" si="35"/>
        <v>Medium</v>
      </c>
    </row>
    <row r="532" spans="1:12" x14ac:dyDescent="0.3">
      <c r="A532">
        <v>2021</v>
      </c>
      <c r="B532" s="2" t="s">
        <v>18</v>
      </c>
      <c r="C532" t="s">
        <v>8</v>
      </c>
      <c r="D532" t="s">
        <v>14</v>
      </c>
      <c r="E532">
        <v>6.84</v>
      </c>
      <c r="F532">
        <v>155.80000000000001</v>
      </c>
      <c r="G532">
        <v>3.4</v>
      </c>
      <c r="H532" s="3">
        <f t="shared" si="32"/>
        <v>44228</v>
      </c>
      <c r="I532">
        <f>MONTH(Table1[[#This Row],[Date]])</f>
        <v>2</v>
      </c>
      <c r="J532" t="str">
        <f t="shared" si="33"/>
        <v>Q1</v>
      </c>
      <c r="K532" t="str">
        <f t="shared" si="34"/>
        <v>Feb-2021</v>
      </c>
      <c r="L532" t="str">
        <f t="shared" si="35"/>
        <v>Medium</v>
      </c>
    </row>
    <row r="533" spans="1:12" x14ac:dyDescent="0.3">
      <c r="A533">
        <v>2021</v>
      </c>
      <c r="B533" s="2" t="s">
        <v>18</v>
      </c>
      <c r="C533" t="s">
        <v>8</v>
      </c>
      <c r="D533" t="s">
        <v>15</v>
      </c>
      <c r="E533">
        <v>28.32</v>
      </c>
      <c r="F533">
        <v>157.80000000000001</v>
      </c>
      <c r="G533">
        <v>3.48</v>
      </c>
      <c r="H533" s="3">
        <f t="shared" si="32"/>
        <v>44228</v>
      </c>
      <c r="I533">
        <f>MONTH(Table1[[#This Row],[Date]])</f>
        <v>2</v>
      </c>
      <c r="J533" t="str">
        <f t="shared" si="33"/>
        <v>Q1</v>
      </c>
      <c r="K533" t="str">
        <f t="shared" si="34"/>
        <v>Feb-2021</v>
      </c>
      <c r="L533" t="str">
        <f t="shared" si="35"/>
        <v>Medium</v>
      </c>
    </row>
    <row r="534" spans="1:12" x14ac:dyDescent="0.3">
      <c r="A534">
        <v>2021</v>
      </c>
      <c r="B534" s="2" t="s">
        <v>18</v>
      </c>
      <c r="C534" t="s">
        <v>16</v>
      </c>
      <c r="D534" t="s">
        <v>9</v>
      </c>
      <c r="E534">
        <v>100</v>
      </c>
      <c r="F534">
        <v>146.4</v>
      </c>
      <c r="G534">
        <v>3</v>
      </c>
      <c r="H534" s="3">
        <f t="shared" si="32"/>
        <v>44228</v>
      </c>
      <c r="I534">
        <f>MONTH(Table1[[#This Row],[Date]])</f>
        <v>2</v>
      </c>
      <c r="J534" t="str">
        <f t="shared" si="33"/>
        <v>Q1</v>
      </c>
      <c r="K534" t="str">
        <f t="shared" si="34"/>
        <v>Feb-2021</v>
      </c>
      <c r="L534" t="str">
        <f t="shared" si="35"/>
        <v>Medium</v>
      </c>
    </row>
    <row r="535" spans="1:12" x14ac:dyDescent="0.3">
      <c r="A535">
        <v>2021</v>
      </c>
      <c r="B535" s="2" t="s">
        <v>18</v>
      </c>
      <c r="C535" t="s">
        <v>16</v>
      </c>
      <c r="D535" t="s">
        <v>10</v>
      </c>
      <c r="E535">
        <v>45.86</v>
      </c>
      <c r="F535">
        <v>148.4</v>
      </c>
      <c r="G535">
        <v>3.08</v>
      </c>
      <c r="H535" s="3">
        <f t="shared" si="32"/>
        <v>44228</v>
      </c>
      <c r="I535">
        <f>MONTH(Table1[[#This Row],[Date]])</f>
        <v>2</v>
      </c>
      <c r="J535" t="str">
        <f t="shared" si="33"/>
        <v>Q1</v>
      </c>
      <c r="K535" t="str">
        <f t="shared" si="34"/>
        <v>Feb-2021</v>
      </c>
      <c r="L535" t="str">
        <f t="shared" si="35"/>
        <v>Medium</v>
      </c>
    </row>
    <row r="536" spans="1:12" x14ac:dyDescent="0.3">
      <c r="A536">
        <v>2021</v>
      </c>
      <c r="B536" s="2" t="s">
        <v>18</v>
      </c>
      <c r="C536" t="s">
        <v>16</v>
      </c>
      <c r="D536" t="s">
        <v>11</v>
      </c>
      <c r="E536">
        <v>2.38</v>
      </c>
      <c r="F536">
        <v>150.4</v>
      </c>
      <c r="G536">
        <v>3.16</v>
      </c>
      <c r="H536" s="3">
        <f t="shared" si="32"/>
        <v>44228</v>
      </c>
      <c r="I536">
        <f>MONTH(Table1[[#This Row],[Date]])</f>
        <v>2</v>
      </c>
      <c r="J536" t="str">
        <f t="shared" si="33"/>
        <v>Q1</v>
      </c>
      <c r="K536" t="str">
        <f t="shared" si="34"/>
        <v>Feb-2021</v>
      </c>
      <c r="L536" t="str">
        <f t="shared" si="35"/>
        <v>Medium</v>
      </c>
    </row>
    <row r="537" spans="1:12" x14ac:dyDescent="0.3">
      <c r="A537">
        <v>2021</v>
      </c>
      <c r="B537" s="2" t="s">
        <v>18</v>
      </c>
      <c r="C537" t="s">
        <v>16</v>
      </c>
      <c r="D537" t="s">
        <v>12</v>
      </c>
      <c r="E537">
        <v>6.53</v>
      </c>
      <c r="F537">
        <v>152.4</v>
      </c>
      <c r="G537">
        <v>3.24</v>
      </c>
      <c r="H537" s="3">
        <f t="shared" si="32"/>
        <v>44228</v>
      </c>
      <c r="I537">
        <f>MONTH(Table1[[#This Row],[Date]])</f>
        <v>2</v>
      </c>
      <c r="J537" t="str">
        <f t="shared" si="33"/>
        <v>Q1</v>
      </c>
      <c r="K537" t="str">
        <f t="shared" si="34"/>
        <v>Feb-2021</v>
      </c>
      <c r="L537" t="str">
        <f t="shared" si="35"/>
        <v>Medium</v>
      </c>
    </row>
    <row r="538" spans="1:12" x14ac:dyDescent="0.3">
      <c r="A538">
        <v>2021</v>
      </c>
      <c r="B538" s="2" t="s">
        <v>18</v>
      </c>
      <c r="C538" t="s">
        <v>16</v>
      </c>
      <c r="D538" t="s">
        <v>13</v>
      </c>
      <c r="E538">
        <v>10.07</v>
      </c>
      <c r="F538">
        <v>154.4</v>
      </c>
      <c r="G538">
        <v>3.32</v>
      </c>
      <c r="H538" s="3">
        <f t="shared" si="32"/>
        <v>44228</v>
      </c>
      <c r="I538">
        <f>MONTH(Table1[[#This Row],[Date]])</f>
        <v>2</v>
      </c>
      <c r="J538" t="str">
        <f t="shared" si="33"/>
        <v>Q1</v>
      </c>
      <c r="K538" t="str">
        <f t="shared" si="34"/>
        <v>Feb-2021</v>
      </c>
      <c r="L538" t="str">
        <f t="shared" si="35"/>
        <v>Medium</v>
      </c>
    </row>
    <row r="539" spans="1:12" x14ac:dyDescent="0.3">
      <c r="A539">
        <v>2021</v>
      </c>
      <c r="B539" s="2" t="s">
        <v>18</v>
      </c>
      <c r="C539" t="s">
        <v>16</v>
      </c>
      <c r="D539" t="s">
        <v>14</v>
      </c>
      <c r="E539">
        <v>6.84</v>
      </c>
      <c r="F539">
        <v>156.4</v>
      </c>
      <c r="G539">
        <v>3.4</v>
      </c>
      <c r="H539" s="3">
        <f t="shared" si="32"/>
        <v>44228</v>
      </c>
      <c r="I539">
        <f>MONTH(Table1[[#This Row],[Date]])</f>
        <v>2</v>
      </c>
      <c r="J539" t="str">
        <f t="shared" si="33"/>
        <v>Q1</v>
      </c>
      <c r="K539" t="str">
        <f t="shared" si="34"/>
        <v>Feb-2021</v>
      </c>
      <c r="L539" t="str">
        <f t="shared" si="35"/>
        <v>Medium</v>
      </c>
    </row>
    <row r="540" spans="1:12" x14ac:dyDescent="0.3">
      <c r="A540">
        <v>2021</v>
      </c>
      <c r="B540" s="2" t="s">
        <v>18</v>
      </c>
      <c r="C540" t="s">
        <v>16</v>
      </c>
      <c r="D540" t="s">
        <v>15</v>
      </c>
      <c r="E540">
        <v>28.32</v>
      </c>
      <c r="F540">
        <v>158.4</v>
      </c>
      <c r="G540">
        <v>3.48</v>
      </c>
      <c r="H540" s="3">
        <f t="shared" si="32"/>
        <v>44228</v>
      </c>
      <c r="I540">
        <f>MONTH(Table1[[#This Row],[Date]])</f>
        <v>2</v>
      </c>
      <c r="J540" t="str">
        <f t="shared" si="33"/>
        <v>Q1</v>
      </c>
      <c r="K540" t="str">
        <f t="shared" si="34"/>
        <v>Feb-2021</v>
      </c>
      <c r="L540" t="str">
        <f t="shared" si="35"/>
        <v>Medium</v>
      </c>
    </row>
    <row r="541" spans="1:12" x14ac:dyDescent="0.3">
      <c r="A541">
        <v>2021</v>
      </c>
      <c r="B541" s="2" t="s">
        <v>18</v>
      </c>
      <c r="C541" t="s">
        <v>17</v>
      </c>
      <c r="D541" t="s">
        <v>9</v>
      </c>
      <c r="E541">
        <v>100</v>
      </c>
      <c r="F541">
        <v>147</v>
      </c>
      <c r="G541">
        <v>3</v>
      </c>
      <c r="H541" s="3">
        <f t="shared" si="32"/>
        <v>44228</v>
      </c>
      <c r="I541">
        <f>MONTH(Table1[[#This Row],[Date]])</f>
        <v>2</v>
      </c>
      <c r="J541" t="str">
        <f t="shared" si="33"/>
        <v>Q1</v>
      </c>
      <c r="K541" t="str">
        <f t="shared" si="34"/>
        <v>Feb-2021</v>
      </c>
      <c r="L541" t="str">
        <f t="shared" si="35"/>
        <v>Medium</v>
      </c>
    </row>
    <row r="542" spans="1:12" x14ac:dyDescent="0.3">
      <c r="A542">
        <v>2021</v>
      </c>
      <c r="B542" s="2" t="s">
        <v>18</v>
      </c>
      <c r="C542" t="s">
        <v>17</v>
      </c>
      <c r="D542" t="s">
        <v>10</v>
      </c>
      <c r="E542">
        <v>45.86</v>
      </c>
      <c r="F542">
        <v>149</v>
      </c>
      <c r="G542">
        <v>3.08</v>
      </c>
      <c r="H542" s="3">
        <f t="shared" si="32"/>
        <v>44228</v>
      </c>
      <c r="I542">
        <f>MONTH(Table1[[#This Row],[Date]])</f>
        <v>2</v>
      </c>
      <c r="J542" t="str">
        <f t="shared" si="33"/>
        <v>Q1</v>
      </c>
      <c r="K542" t="str">
        <f t="shared" si="34"/>
        <v>Feb-2021</v>
      </c>
      <c r="L542" t="str">
        <f t="shared" si="35"/>
        <v>Medium</v>
      </c>
    </row>
    <row r="543" spans="1:12" x14ac:dyDescent="0.3">
      <c r="A543">
        <v>2021</v>
      </c>
      <c r="B543" s="2" t="s">
        <v>18</v>
      </c>
      <c r="C543" t="s">
        <v>17</v>
      </c>
      <c r="D543" t="s">
        <v>11</v>
      </c>
      <c r="E543">
        <v>2.38</v>
      </c>
      <c r="F543">
        <v>151</v>
      </c>
      <c r="G543">
        <v>3.16</v>
      </c>
      <c r="H543" s="3">
        <f t="shared" si="32"/>
        <v>44228</v>
      </c>
      <c r="I543">
        <f>MONTH(Table1[[#This Row],[Date]])</f>
        <v>2</v>
      </c>
      <c r="J543" t="str">
        <f t="shared" si="33"/>
        <v>Q1</v>
      </c>
      <c r="K543" t="str">
        <f t="shared" si="34"/>
        <v>Feb-2021</v>
      </c>
      <c r="L543" t="str">
        <f t="shared" si="35"/>
        <v>Medium</v>
      </c>
    </row>
    <row r="544" spans="1:12" x14ac:dyDescent="0.3">
      <c r="A544">
        <v>2021</v>
      </c>
      <c r="B544" s="2" t="s">
        <v>18</v>
      </c>
      <c r="C544" t="s">
        <v>17</v>
      </c>
      <c r="D544" t="s">
        <v>12</v>
      </c>
      <c r="E544">
        <v>6.53</v>
      </c>
      <c r="F544">
        <v>153</v>
      </c>
      <c r="G544">
        <v>3.24</v>
      </c>
      <c r="H544" s="3">
        <f t="shared" si="32"/>
        <v>44228</v>
      </c>
      <c r="I544">
        <f>MONTH(Table1[[#This Row],[Date]])</f>
        <v>2</v>
      </c>
      <c r="J544" t="str">
        <f t="shared" si="33"/>
        <v>Q1</v>
      </c>
      <c r="K544" t="str">
        <f t="shared" si="34"/>
        <v>Feb-2021</v>
      </c>
      <c r="L544" t="str">
        <f t="shared" si="35"/>
        <v>Medium</v>
      </c>
    </row>
    <row r="545" spans="1:12" x14ac:dyDescent="0.3">
      <c r="A545">
        <v>2021</v>
      </c>
      <c r="B545" s="2" t="s">
        <v>18</v>
      </c>
      <c r="C545" t="s">
        <v>17</v>
      </c>
      <c r="D545" t="s">
        <v>13</v>
      </c>
      <c r="E545">
        <v>10.07</v>
      </c>
      <c r="F545">
        <v>155</v>
      </c>
      <c r="G545">
        <v>3.32</v>
      </c>
      <c r="H545" s="3">
        <f t="shared" si="32"/>
        <v>44228</v>
      </c>
      <c r="I545">
        <f>MONTH(Table1[[#This Row],[Date]])</f>
        <v>2</v>
      </c>
      <c r="J545" t="str">
        <f t="shared" si="33"/>
        <v>Q1</v>
      </c>
      <c r="K545" t="str">
        <f t="shared" si="34"/>
        <v>Feb-2021</v>
      </c>
      <c r="L545" t="str">
        <f t="shared" si="35"/>
        <v>Medium</v>
      </c>
    </row>
    <row r="546" spans="1:12" x14ac:dyDescent="0.3">
      <c r="A546">
        <v>2021</v>
      </c>
      <c r="B546" s="2" t="s">
        <v>18</v>
      </c>
      <c r="C546" t="s">
        <v>17</v>
      </c>
      <c r="D546" t="s">
        <v>14</v>
      </c>
      <c r="E546">
        <v>6.84</v>
      </c>
      <c r="F546">
        <v>157</v>
      </c>
      <c r="G546">
        <v>3.4</v>
      </c>
      <c r="H546" s="3">
        <f t="shared" si="32"/>
        <v>44228</v>
      </c>
      <c r="I546">
        <f>MONTH(Table1[[#This Row],[Date]])</f>
        <v>2</v>
      </c>
      <c r="J546" t="str">
        <f t="shared" si="33"/>
        <v>Q1</v>
      </c>
      <c r="K546" t="str">
        <f t="shared" si="34"/>
        <v>Feb-2021</v>
      </c>
      <c r="L546" t="str">
        <f t="shared" si="35"/>
        <v>Medium</v>
      </c>
    </row>
    <row r="547" spans="1:12" x14ac:dyDescent="0.3">
      <c r="A547">
        <v>2021</v>
      </c>
      <c r="B547" s="2" t="s">
        <v>18</v>
      </c>
      <c r="C547" t="s">
        <v>17</v>
      </c>
      <c r="D547" t="s">
        <v>15</v>
      </c>
      <c r="E547">
        <v>28.32</v>
      </c>
      <c r="F547">
        <v>159</v>
      </c>
      <c r="G547">
        <v>3.48</v>
      </c>
      <c r="H547" s="3">
        <f t="shared" si="32"/>
        <v>44228</v>
      </c>
      <c r="I547">
        <f>MONTH(Table1[[#This Row],[Date]])</f>
        <v>2</v>
      </c>
      <c r="J547" t="str">
        <f t="shared" si="33"/>
        <v>Q1</v>
      </c>
      <c r="K547" t="str">
        <f t="shared" si="34"/>
        <v>Feb-2021</v>
      </c>
      <c r="L547" t="str">
        <f t="shared" si="35"/>
        <v>Medium</v>
      </c>
    </row>
    <row r="548" spans="1:12" x14ac:dyDescent="0.3">
      <c r="A548">
        <v>2021</v>
      </c>
      <c r="B548" s="2" t="s">
        <v>19</v>
      </c>
      <c r="C548" t="s">
        <v>8</v>
      </c>
      <c r="D548" t="s">
        <v>9</v>
      </c>
      <c r="E548">
        <v>100</v>
      </c>
      <c r="F548">
        <v>146.19999999999999</v>
      </c>
      <c r="G548">
        <v>3.15</v>
      </c>
      <c r="H548" s="3">
        <f t="shared" si="32"/>
        <v>44256</v>
      </c>
      <c r="I548">
        <f>MONTH(Table1[[#This Row],[Date]])</f>
        <v>3</v>
      </c>
      <c r="J548" t="str">
        <f t="shared" si="33"/>
        <v>Q1</v>
      </c>
      <c r="K548" t="str">
        <f t="shared" si="34"/>
        <v>Mar-2021</v>
      </c>
      <c r="L548" t="str">
        <f t="shared" si="35"/>
        <v>Medium</v>
      </c>
    </row>
    <row r="549" spans="1:12" x14ac:dyDescent="0.3">
      <c r="A549">
        <v>2021</v>
      </c>
      <c r="B549" s="2" t="s">
        <v>19</v>
      </c>
      <c r="C549" t="s">
        <v>8</v>
      </c>
      <c r="D549" t="s">
        <v>10</v>
      </c>
      <c r="E549">
        <v>45.86</v>
      </c>
      <c r="F549">
        <v>148.19999999999999</v>
      </c>
      <c r="G549">
        <v>3.23</v>
      </c>
      <c r="H549" s="3">
        <f t="shared" si="32"/>
        <v>44256</v>
      </c>
      <c r="I549">
        <f>MONTH(Table1[[#This Row],[Date]])</f>
        <v>3</v>
      </c>
      <c r="J549" t="str">
        <f t="shared" si="33"/>
        <v>Q1</v>
      </c>
      <c r="K549" t="str">
        <f t="shared" si="34"/>
        <v>Mar-2021</v>
      </c>
      <c r="L549" t="str">
        <f t="shared" si="35"/>
        <v>Medium</v>
      </c>
    </row>
    <row r="550" spans="1:12" x14ac:dyDescent="0.3">
      <c r="A550">
        <v>2021</v>
      </c>
      <c r="B550" s="2" t="s">
        <v>19</v>
      </c>
      <c r="C550" t="s">
        <v>8</v>
      </c>
      <c r="D550" t="s">
        <v>11</v>
      </c>
      <c r="E550">
        <v>2.38</v>
      </c>
      <c r="F550">
        <v>150.19999999999999</v>
      </c>
      <c r="G550">
        <v>3.31</v>
      </c>
      <c r="H550" s="3">
        <f t="shared" si="32"/>
        <v>44256</v>
      </c>
      <c r="I550">
        <f>MONTH(Table1[[#This Row],[Date]])</f>
        <v>3</v>
      </c>
      <c r="J550" t="str">
        <f t="shared" si="33"/>
        <v>Q1</v>
      </c>
      <c r="K550" t="str">
        <f t="shared" si="34"/>
        <v>Mar-2021</v>
      </c>
      <c r="L550" t="str">
        <f t="shared" si="35"/>
        <v>Medium</v>
      </c>
    </row>
    <row r="551" spans="1:12" x14ac:dyDescent="0.3">
      <c r="A551">
        <v>2021</v>
      </c>
      <c r="B551" s="2" t="s">
        <v>19</v>
      </c>
      <c r="C551" t="s">
        <v>8</v>
      </c>
      <c r="D551" t="s">
        <v>12</v>
      </c>
      <c r="E551">
        <v>6.53</v>
      </c>
      <c r="F551">
        <v>152.19999999999999</v>
      </c>
      <c r="G551">
        <v>3.39</v>
      </c>
      <c r="H551" s="3">
        <f t="shared" si="32"/>
        <v>44256</v>
      </c>
      <c r="I551">
        <f>MONTH(Table1[[#This Row],[Date]])</f>
        <v>3</v>
      </c>
      <c r="J551" t="str">
        <f t="shared" si="33"/>
        <v>Q1</v>
      </c>
      <c r="K551" t="str">
        <f t="shared" si="34"/>
        <v>Mar-2021</v>
      </c>
      <c r="L551" t="str">
        <f t="shared" si="35"/>
        <v>Medium</v>
      </c>
    </row>
    <row r="552" spans="1:12" x14ac:dyDescent="0.3">
      <c r="A552">
        <v>2021</v>
      </c>
      <c r="B552" s="2" t="s">
        <v>19</v>
      </c>
      <c r="C552" t="s">
        <v>8</v>
      </c>
      <c r="D552" t="s">
        <v>13</v>
      </c>
      <c r="E552">
        <v>10.07</v>
      </c>
      <c r="F552">
        <v>154.19999999999999</v>
      </c>
      <c r="G552">
        <v>3.47</v>
      </c>
      <c r="H552" s="3">
        <f t="shared" si="32"/>
        <v>44256</v>
      </c>
      <c r="I552">
        <f>MONTH(Table1[[#This Row],[Date]])</f>
        <v>3</v>
      </c>
      <c r="J552" t="str">
        <f t="shared" si="33"/>
        <v>Q1</v>
      </c>
      <c r="K552" t="str">
        <f t="shared" si="34"/>
        <v>Mar-2021</v>
      </c>
      <c r="L552" t="str">
        <f t="shared" si="35"/>
        <v>Medium</v>
      </c>
    </row>
    <row r="553" spans="1:12" x14ac:dyDescent="0.3">
      <c r="A553">
        <v>2021</v>
      </c>
      <c r="B553" s="2" t="s">
        <v>19</v>
      </c>
      <c r="C553" t="s">
        <v>8</v>
      </c>
      <c r="D553" t="s">
        <v>14</v>
      </c>
      <c r="E553">
        <v>6.84</v>
      </c>
      <c r="F553">
        <v>156.19999999999999</v>
      </c>
      <c r="G553">
        <v>3.55</v>
      </c>
      <c r="H553" s="3">
        <f t="shared" si="32"/>
        <v>44256</v>
      </c>
      <c r="I553">
        <f>MONTH(Table1[[#This Row],[Date]])</f>
        <v>3</v>
      </c>
      <c r="J553" t="str">
        <f t="shared" si="33"/>
        <v>Q1</v>
      </c>
      <c r="K553" t="str">
        <f t="shared" si="34"/>
        <v>Mar-2021</v>
      </c>
      <c r="L553" t="str">
        <f t="shared" si="35"/>
        <v>Medium</v>
      </c>
    </row>
    <row r="554" spans="1:12" x14ac:dyDescent="0.3">
      <c r="A554">
        <v>2021</v>
      </c>
      <c r="B554" s="2" t="s">
        <v>19</v>
      </c>
      <c r="C554" t="s">
        <v>8</v>
      </c>
      <c r="D554" t="s">
        <v>15</v>
      </c>
      <c r="E554">
        <v>28.32</v>
      </c>
      <c r="F554">
        <v>158.19999999999999</v>
      </c>
      <c r="G554">
        <v>3.63</v>
      </c>
      <c r="H554" s="3">
        <f t="shared" si="32"/>
        <v>44256</v>
      </c>
      <c r="I554">
        <f>MONTH(Table1[[#This Row],[Date]])</f>
        <v>3</v>
      </c>
      <c r="J554" t="str">
        <f t="shared" si="33"/>
        <v>Q1</v>
      </c>
      <c r="K554" t="str">
        <f t="shared" si="34"/>
        <v>Mar-2021</v>
      </c>
      <c r="L554" t="str">
        <f t="shared" si="35"/>
        <v>Medium</v>
      </c>
    </row>
    <row r="555" spans="1:12" x14ac:dyDescent="0.3">
      <c r="A555">
        <v>2021</v>
      </c>
      <c r="B555" s="2" t="s">
        <v>19</v>
      </c>
      <c r="C555" t="s">
        <v>16</v>
      </c>
      <c r="D555" t="s">
        <v>9</v>
      </c>
      <c r="E555">
        <v>100</v>
      </c>
      <c r="F555">
        <v>146.80000000000001</v>
      </c>
      <c r="G555">
        <v>3.15</v>
      </c>
      <c r="H555" s="3">
        <f t="shared" si="32"/>
        <v>44256</v>
      </c>
      <c r="I555">
        <f>MONTH(Table1[[#This Row],[Date]])</f>
        <v>3</v>
      </c>
      <c r="J555" t="str">
        <f t="shared" si="33"/>
        <v>Q1</v>
      </c>
      <c r="K555" t="str">
        <f t="shared" si="34"/>
        <v>Mar-2021</v>
      </c>
      <c r="L555" t="str">
        <f t="shared" si="35"/>
        <v>Medium</v>
      </c>
    </row>
    <row r="556" spans="1:12" x14ac:dyDescent="0.3">
      <c r="A556">
        <v>2021</v>
      </c>
      <c r="B556" s="2" t="s">
        <v>19</v>
      </c>
      <c r="C556" t="s">
        <v>16</v>
      </c>
      <c r="D556" t="s">
        <v>10</v>
      </c>
      <c r="E556">
        <v>45.86</v>
      </c>
      <c r="F556">
        <v>148.80000000000001</v>
      </c>
      <c r="G556">
        <v>3.23</v>
      </c>
      <c r="H556" s="3">
        <f t="shared" si="32"/>
        <v>44256</v>
      </c>
      <c r="I556">
        <f>MONTH(Table1[[#This Row],[Date]])</f>
        <v>3</v>
      </c>
      <c r="J556" t="str">
        <f t="shared" si="33"/>
        <v>Q1</v>
      </c>
      <c r="K556" t="str">
        <f t="shared" si="34"/>
        <v>Mar-2021</v>
      </c>
      <c r="L556" t="str">
        <f t="shared" si="35"/>
        <v>Medium</v>
      </c>
    </row>
    <row r="557" spans="1:12" x14ac:dyDescent="0.3">
      <c r="A557">
        <v>2021</v>
      </c>
      <c r="B557" s="2" t="s">
        <v>19</v>
      </c>
      <c r="C557" t="s">
        <v>16</v>
      </c>
      <c r="D557" t="s">
        <v>11</v>
      </c>
      <c r="E557">
        <v>2.38</v>
      </c>
      <c r="F557">
        <v>150.80000000000001</v>
      </c>
      <c r="G557">
        <v>3.31</v>
      </c>
      <c r="H557" s="3">
        <f t="shared" si="32"/>
        <v>44256</v>
      </c>
      <c r="I557">
        <f>MONTH(Table1[[#This Row],[Date]])</f>
        <v>3</v>
      </c>
      <c r="J557" t="str">
        <f t="shared" si="33"/>
        <v>Q1</v>
      </c>
      <c r="K557" t="str">
        <f t="shared" si="34"/>
        <v>Mar-2021</v>
      </c>
      <c r="L557" t="str">
        <f t="shared" si="35"/>
        <v>Medium</v>
      </c>
    </row>
    <row r="558" spans="1:12" x14ac:dyDescent="0.3">
      <c r="A558">
        <v>2021</v>
      </c>
      <c r="B558" s="2" t="s">
        <v>19</v>
      </c>
      <c r="C558" t="s">
        <v>16</v>
      </c>
      <c r="D558" t="s">
        <v>12</v>
      </c>
      <c r="E558">
        <v>6.53</v>
      </c>
      <c r="F558">
        <v>152.80000000000001</v>
      </c>
      <c r="G558">
        <v>3.39</v>
      </c>
      <c r="H558" s="3">
        <f t="shared" si="32"/>
        <v>44256</v>
      </c>
      <c r="I558">
        <f>MONTH(Table1[[#This Row],[Date]])</f>
        <v>3</v>
      </c>
      <c r="J558" t="str">
        <f t="shared" si="33"/>
        <v>Q1</v>
      </c>
      <c r="K558" t="str">
        <f t="shared" si="34"/>
        <v>Mar-2021</v>
      </c>
      <c r="L558" t="str">
        <f t="shared" si="35"/>
        <v>Medium</v>
      </c>
    </row>
    <row r="559" spans="1:12" x14ac:dyDescent="0.3">
      <c r="A559">
        <v>2021</v>
      </c>
      <c r="B559" s="2" t="s">
        <v>19</v>
      </c>
      <c r="C559" t="s">
        <v>16</v>
      </c>
      <c r="D559" t="s">
        <v>13</v>
      </c>
      <c r="E559">
        <v>10.07</v>
      </c>
      <c r="F559">
        <v>154.80000000000001</v>
      </c>
      <c r="G559">
        <v>3.47</v>
      </c>
      <c r="H559" s="3">
        <f t="shared" si="32"/>
        <v>44256</v>
      </c>
      <c r="I559">
        <f>MONTH(Table1[[#This Row],[Date]])</f>
        <v>3</v>
      </c>
      <c r="J559" t="str">
        <f t="shared" si="33"/>
        <v>Q1</v>
      </c>
      <c r="K559" t="str">
        <f t="shared" si="34"/>
        <v>Mar-2021</v>
      </c>
      <c r="L559" t="str">
        <f t="shared" si="35"/>
        <v>Medium</v>
      </c>
    </row>
    <row r="560" spans="1:12" x14ac:dyDescent="0.3">
      <c r="A560">
        <v>2021</v>
      </c>
      <c r="B560" s="2" t="s">
        <v>19</v>
      </c>
      <c r="C560" t="s">
        <v>16</v>
      </c>
      <c r="D560" t="s">
        <v>14</v>
      </c>
      <c r="E560">
        <v>6.84</v>
      </c>
      <c r="F560">
        <v>156.80000000000001</v>
      </c>
      <c r="G560">
        <v>3.55</v>
      </c>
      <c r="H560" s="3">
        <f t="shared" si="32"/>
        <v>44256</v>
      </c>
      <c r="I560">
        <f>MONTH(Table1[[#This Row],[Date]])</f>
        <v>3</v>
      </c>
      <c r="J560" t="str">
        <f t="shared" si="33"/>
        <v>Q1</v>
      </c>
      <c r="K560" t="str">
        <f t="shared" si="34"/>
        <v>Mar-2021</v>
      </c>
      <c r="L560" t="str">
        <f t="shared" si="35"/>
        <v>Medium</v>
      </c>
    </row>
    <row r="561" spans="1:12" x14ac:dyDescent="0.3">
      <c r="A561">
        <v>2021</v>
      </c>
      <c r="B561" s="2" t="s">
        <v>19</v>
      </c>
      <c r="C561" t="s">
        <v>16</v>
      </c>
      <c r="D561" t="s">
        <v>15</v>
      </c>
      <c r="E561">
        <v>28.32</v>
      </c>
      <c r="F561">
        <v>158.80000000000001</v>
      </c>
      <c r="G561">
        <v>3.63</v>
      </c>
      <c r="H561" s="3">
        <f t="shared" si="32"/>
        <v>44256</v>
      </c>
      <c r="I561">
        <f>MONTH(Table1[[#This Row],[Date]])</f>
        <v>3</v>
      </c>
      <c r="J561" t="str">
        <f t="shared" si="33"/>
        <v>Q1</v>
      </c>
      <c r="K561" t="str">
        <f t="shared" si="34"/>
        <v>Mar-2021</v>
      </c>
      <c r="L561" t="str">
        <f t="shared" si="35"/>
        <v>Medium</v>
      </c>
    </row>
    <row r="562" spans="1:12" x14ac:dyDescent="0.3">
      <c r="A562">
        <v>2021</v>
      </c>
      <c r="B562" s="2" t="s">
        <v>19</v>
      </c>
      <c r="C562" t="s">
        <v>17</v>
      </c>
      <c r="D562" t="s">
        <v>9</v>
      </c>
      <c r="E562">
        <v>100</v>
      </c>
      <c r="F562">
        <v>147.4</v>
      </c>
      <c r="G562">
        <v>3.15</v>
      </c>
      <c r="H562" s="3">
        <f t="shared" si="32"/>
        <v>44256</v>
      </c>
      <c r="I562">
        <f>MONTH(Table1[[#This Row],[Date]])</f>
        <v>3</v>
      </c>
      <c r="J562" t="str">
        <f t="shared" si="33"/>
        <v>Q1</v>
      </c>
      <c r="K562" t="str">
        <f t="shared" si="34"/>
        <v>Mar-2021</v>
      </c>
      <c r="L562" t="str">
        <f t="shared" si="35"/>
        <v>Medium</v>
      </c>
    </row>
    <row r="563" spans="1:12" x14ac:dyDescent="0.3">
      <c r="A563">
        <v>2021</v>
      </c>
      <c r="B563" s="2" t="s">
        <v>19</v>
      </c>
      <c r="C563" t="s">
        <v>17</v>
      </c>
      <c r="D563" t="s">
        <v>10</v>
      </c>
      <c r="E563">
        <v>45.86</v>
      </c>
      <c r="F563">
        <v>149.4</v>
      </c>
      <c r="G563">
        <v>3.23</v>
      </c>
      <c r="H563" s="3">
        <f t="shared" si="32"/>
        <v>44256</v>
      </c>
      <c r="I563">
        <f>MONTH(Table1[[#This Row],[Date]])</f>
        <v>3</v>
      </c>
      <c r="J563" t="str">
        <f t="shared" si="33"/>
        <v>Q1</v>
      </c>
      <c r="K563" t="str">
        <f t="shared" si="34"/>
        <v>Mar-2021</v>
      </c>
      <c r="L563" t="str">
        <f t="shared" si="35"/>
        <v>Medium</v>
      </c>
    </row>
    <row r="564" spans="1:12" x14ac:dyDescent="0.3">
      <c r="A564">
        <v>2021</v>
      </c>
      <c r="B564" s="2" t="s">
        <v>19</v>
      </c>
      <c r="C564" t="s">
        <v>17</v>
      </c>
      <c r="D564" t="s">
        <v>11</v>
      </c>
      <c r="E564">
        <v>2.38</v>
      </c>
      <c r="F564">
        <v>151.4</v>
      </c>
      <c r="G564">
        <v>3.31</v>
      </c>
      <c r="H564" s="3">
        <f t="shared" si="32"/>
        <v>44256</v>
      </c>
      <c r="I564">
        <f>MONTH(Table1[[#This Row],[Date]])</f>
        <v>3</v>
      </c>
      <c r="J564" t="str">
        <f t="shared" si="33"/>
        <v>Q1</v>
      </c>
      <c r="K564" t="str">
        <f t="shared" si="34"/>
        <v>Mar-2021</v>
      </c>
      <c r="L564" t="str">
        <f t="shared" si="35"/>
        <v>Medium</v>
      </c>
    </row>
    <row r="565" spans="1:12" x14ac:dyDescent="0.3">
      <c r="A565">
        <v>2021</v>
      </c>
      <c r="B565" s="2" t="s">
        <v>19</v>
      </c>
      <c r="C565" t="s">
        <v>17</v>
      </c>
      <c r="D565" t="s">
        <v>12</v>
      </c>
      <c r="E565">
        <v>6.53</v>
      </c>
      <c r="F565">
        <v>153.4</v>
      </c>
      <c r="G565">
        <v>3.39</v>
      </c>
      <c r="H565" s="3">
        <f t="shared" si="32"/>
        <v>44256</v>
      </c>
      <c r="I565">
        <f>MONTH(Table1[[#This Row],[Date]])</f>
        <v>3</v>
      </c>
      <c r="J565" t="str">
        <f t="shared" si="33"/>
        <v>Q1</v>
      </c>
      <c r="K565" t="str">
        <f t="shared" si="34"/>
        <v>Mar-2021</v>
      </c>
      <c r="L565" t="str">
        <f t="shared" si="35"/>
        <v>Medium</v>
      </c>
    </row>
    <row r="566" spans="1:12" x14ac:dyDescent="0.3">
      <c r="A566">
        <v>2021</v>
      </c>
      <c r="B566" s="2" t="s">
        <v>19</v>
      </c>
      <c r="C566" t="s">
        <v>17</v>
      </c>
      <c r="D566" t="s">
        <v>13</v>
      </c>
      <c r="E566">
        <v>10.07</v>
      </c>
      <c r="F566">
        <v>155.4</v>
      </c>
      <c r="G566">
        <v>3.47</v>
      </c>
      <c r="H566" s="3">
        <f t="shared" si="32"/>
        <v>44256</v>
      </c>
      <c r="I566">
        <f>MONTH(Table1[[#This Row],[Date]])</f>
        <v>3</v>
      </c>
      <c r="J566" t="str">
        <f t="shared" si="33"/>
        <v>Q1</v>
      </c>
      <c r="K566" t="str">
        <f t="shared" si="34"/>
        <v>Mar-2021</v>
      </c>
      <c r="L566" t="str">
        <f t="shared" si="35"/>
        <v>Medium</v>
      </c>
    </row>
    <row r="567" spans="1:12" x14ac:dyDescent="0.3">
      <c r="A567">
        <v>2021</v>
      </c>
      <c r="B567" s="2" t="s">
        <v>19</v>
      </c>
      <c r="C567" t="s">
        <v>17</v>
      </c>
      <c r="D567" t="s">
        <v>14</v>
      </c>
      <c r="E567">
        <v>6.84</v>
      </c>
      <c r="F567">
        <v>157.4</v>
      </c>
      <c r="G567">
        <v>3.55</v>
      </c>
      <c r="H567" s="3">
        <f t="shared" si="32"/>
        <v>44256</v>
      </c>
      <c r="I567">
        <f>MONTH(Table1[[#This Row],[Date]])</f>
        <v>3</v>
      </c>
      <c r="J567" t="str">
        <f t="shared" si="33"/>
        <v>Q1</v>
      </c>
      <c r="K567" t="str">
        <f t="shared" si="34"/>
        <v>Mar-2021</v>
      </c>
      <c r="L567" t="str">
        <f t="shared" si="35"/>
        <v>Medium</v>
      </c>
    </row>
    <row r="568" spans="1:12" x14ac:dyDescent="0.3">
      <c r="A568">
        <v>2021</v>
      </c>
      <c r="B568" s="2" t="s">
        <v>19</v>
      </c>
      <c r="C568" t="s">
        <v>17</v>
      </c>
      <c r="D568" t="s">
        <v>15</v>
      </c>
      <c r="E568">
        <v>28.32</v>
      </c>
      <c r="F568">
        <v>159.4</v>
      </c>
      <c r="G568">
        <v>3.63</v>
      </c>
      <c r="H568" s="3">
        <f t="shared" si="32"/>
        <v>44256</v>
      </c>
      <c r="I568">
        <f>MONTH(Table1[[#This Row],[Date]])</f>
        <v>3</v>
      </c>
      <c r="J568" t="str">
        <f t="shared" si="33"/>
        <v>Q1</v>
      </c>
      <c r="K568" t="str">
        <f t="shared" si="34"/>
        <v>Mar-2021</v>
      </c>
      <c r="L568" t="str">
        <f t="shared" si="35"/>
        <v>Medium</v>
      </c>
    </row>
    <row r="569" spans="1:12" x14ac:dyDescent="0.3">
      <c r="A569">
        <v>2021</v>
      </c>
      <c r="B569" s="2" t="s">
        <v>20</v>
      </c>
      <c r="C569" t="s">
        <v>8</v>
      </c>
      <c r="D569" t="s">
        <v>9</v>
      </c>
      <c r="E569">
        <v>100</v>
      </c>
      <c r="F569">
        <v>146.6</v>
      </c>
      <c r="G569">
        <v>3.3</v>
      </c>
      <c r="H569" s="3">
        <f t="shared" si="32"/>
        <v>44287</v>
      </c>
      <c r="I569">
        <f>MONTH(Table1[[#This Row],[Date]])</f>
        <v>4</v>
      </c>
      <c r="J569" t="str">
        <f t="shared" si="33"/>
        <v>Q2</v>
      </c>
      <c r="K569" t="str">
        <f t="shared" si="34"/>
        <v>Apr-2021</v>
      </c>
      <c r="L569" t="str">
        <f t="shared" si="35"/>
        <v>Medium</v>
      </c>
    </row>
    <row r="570" spans="1:12" x14ac:dyDescent="0.3">
      <c r="A570">
        <v>2021</v>
      </c>
      <c r="B570" s="2" t="s">
        <v>20</v>
      </c>
      <c r="C570" t="s">
        <v>8</v>
      </c>
      <c r="D570" t="s">
        <v>10</v>
      </c>
      <c r="E570">
        <v>45.86</v>
      </c>
      <c r="F570">
        <v>148.6</v>
      </c>
      <c r="G570">
        <v>3.38</v>
      </c>
      <c r="H570" s="3">
        <f t="shared" si="32"/>
        <v>44287</v>
      </c>
      <c r="I570">
        <f>MONTH(Table1[[#This Row],[Date]])</f>
        <v>4</v>
      </c>
      <c r="J570" t="str">
        <f t="shared" si="33"/>
        <v>Q2</v>
      </c>
      <c r="K570" t="str">
        <f t="shared" si="34"/>
        <v>Apr-2021</v>
      </c>
      <c r="L570" t="str">
        <f t="shared" si="35"/>
        <v>Medium</v>
      </c>
    </row>
    <row r="571" spans="1:12" x14ac:dyDescent="0.3">
      <c r="A571">
        <v>2021</v>
      </c>
      <c r="B571" s="2" t="s">
        <v>20</v>
      </c>
      <c r="C571" t="s">
        <v>8</v>
      </c>
      <c r="D571" t="s">
        <v>11</v>
      </c>
      <c r="E571">
        <v>2.38</v>
      </c>
      <c r="F571">
        <v>150.6</v>
      </c>
      <c r="G571">
        <v>3.46</v>
      </c>
      <c r="H571" s="3">
        <f t="shared" si="32"/>
        <v>44287</v>
      </c>
      <c r="I571">
        <f>MONTH(Table1[[#This Row],[Date]])</f>
        <v>4</v>
      </c>
      <c r="J571" t="str">
        <f t="shared" si="33"/>
        <v>Q2</v>
      </c>
      <c r="K571" t="str">
        <f t="shared" si="34"/>
        <v>Apr-2021</v>
      </c>
      <c r="L571" t="str">
        <f t="shared" si="35"/>
        <v>Medium</v>
      </c>
    </row>
    <row r="572" spans="1:12" x14ac:dyDescent="0.3">
      <c r="A572">
        <v>2021</v>
      </c>
      <c r="B572" s="2" t="s">
        <v>20</v>
      </c>
      <c r="C572" t="s">
        <v>8</v>
      </c>
      <c r="D572" t="s">
        <v>12</v>
      </c>
      <c r="E572">
        <v>6.53</v>
      </c>
      <c r="F572">
        <v>152.6</v>
      </c>
      <c r="G572">
        <v>3.54</v>
      </c>
      <c r="H572" s="3">
        <f t="shared" si="32"/>
        <v>44287</v>
      </c>
      <c r="I572">
        <f>MONTH(Table1[[#This Row],[Date]])</f>
        <v>4</v>
      </c>
      <c r="J572" t="str">
        <f t="shared" si="33"/>
        <v>Q2</v>
      </c>
      <c r="K572" t="str">
        <f t="shared" si="34"/>
        <v>Apr-2021</v>
      </c>
      <c r="L572" t="str">
        <f t="shared" si="35"/>
        <v>Medium</v>
      </c>
    </row>
    <row r="573" spans="1:12" x14ac:dyDescent="0.3">
      <c r="A573">
        <v>2021</v>
      </c>
      <c r="B573" s="2" t="s">
        <v>20</v>
      </c>
      <c r="C573" t="s">
        <v>8</v>
      </c>
      <c r="D573" t="s">
        <v>13</v>
      </c>
      <c r="E573">
        <v>10.07</v>
      </c>
      <c r="F573">
        <v>154.6</v>
      </c>
      <c r="G573">
        <v>3.62</v>
      </c>
      <c r="H573" s="3">
        <f t="shared" si="32"/>
        <v>44287</v>
      </c>
      <c r="I573">
        <f>MONTH(Table1[[#This Row],[Date]])</f>
        <v>4</v>
      </c>
      <c r="J573" t="str">
        <f t="shared" si="33"/>
        <v>Q2</v>
      </c>
      <c r="K573" t="str">
        <f t="shared" si="34"/>
        <v>Apr-2021</v>
      </c>
      <c r="L573" t="str">
        <f t="shared" si="35"/>
        <v>Medium</v>
      </c>
    </row>
    <row r="574" spans="1:12" x14ac:dyDescent="0.3">
      <c r="A574">
        <v>2021</v>
      </c>
      <c r="B574" s="2" t="s">
        <v>20</v>
      </c>
      <c r="C574" t="s">
        <v>8</v>
      </c>
      <c r="D574" t="s">
        <v>14</v>
      </c>
      <c r="E574">
        <v>6.84</v>
      </c>
      <c r="F574">
        <v>156.6</v>
      </c>
      <c r="G574">
        <v>3.7</v>
      </c>
      <c r="H574" s="3">
        <f t="shared" si="32"/>
        <v>44287</v>
      </c>
      <c r="I574">
        <f>MONTH(Table1[[#This Row],[Date]])</f>
        <v>4</v>
      </c>
      <c r="J574" t="str">
        <f t="shared" si="33"/>
        <v>Q2</v>
      </c>
      <c r="K574" t="str">
        <f t="shared" si="34"/>
        <v>Apr-2021</v>
      </c>
      <c r="L574" t="str">
        <f t="shared" si="35"/>
        <v>Medium</v>
      </c>
    </row>
    <row r="575" spans="1:12" x14ac:dyDescent="0.3">
      <c r="A575">
        <v>2021</v>
      </c>
      <c r="B575" s="2" t="s">
        <v>20</v>
      </c>
      <c r="C575" t="s">
        <v>8</v>
      </c>
      <c r="D575" t="s">
        <v>15</v>
      </c>
      <c r="E575">
        <v>28.32</v>
      </c>
      <c r="F575">
        <v>158.6</v>
      </c>
      <c r="G575">
        <v>3.78</v>
      </c>
      <c r="H575" s="3">
        <f t="shared" si="32"/>
        <v>44287</v>
      </c>
      <c r="I575">
        <f>MONTH(Table1[[#This Row],[Date]])</f>
        <v>4</v>
      </c>
      <c r="J575" t="str">
        <f t="shared" si="33"/>
        <v>Q2</v>
      </c>
      <c r="K575" t="str">
        <f t="shared" si="34"/>
        <v>Apr-2021</v>
      </c>
      <c r="L575" t="str">
        <f t="shared" si="35"/>
        <v>Medium</v>
      </c>
    </row>
    <row r="576" spans="1:12" x14ac:dyDescent="0.3">
      <c r="A576">
        <v>2021</v>
      </c>
      <c r="B576" s="2" t="s">
        <v>20</v>
      </c>
      <c r="C576" t="s">
        <v>16</v>
      </c>
      <c r="D576" t="s">
        <v>9</v>
      </c>
      <c r="E576">
        <v>100</v>
      </c>
      <c r="F576">
        <v>147.19999999999999</v>
      </c>
      <c r="G576">
        <v>3.3</v>
      </c>
      <c r="H576" s="3">
        <f t="shared" si="32"/>
        <v>44287</v>
      </c>
      <c r="I576">
        <f>MONTH(Table1[[#This Row],[Date]])</f>
        <v>4</v>
      </c>
      <c r="J576" t="str">
        <f t="shared" si="33"/>
        <v>Q2</v>
      </c>
      <c r="K576" t="str">
        <f t="shared" si="34"/>
        <v>Apr-2021</v>
      </c>
      <c r="L576" t="str">
        <f t="shared" si="35"/>
        <v>Medium</v>
      </c>
    </row>
    <row r="577" spans="1:12" x14ac:dyDescent="0.3">
      <c r="A577">
        <v>2021</v>
      </c>
      <c r="B577" s="2" t="s">
        <v>20</v>
      </c>
      <c r="C577" t="s">
        <v>16</v>
      </c>
      <c r="D577" t="s">
        <v>10</v>
      </c>
      <c r="E577">
        <v>45.86</v>
      </c>
      <c r="F577">
        <v>149.19999999999999</v>
      </c>
      <c r="G577">
        <v>3.38</v>
      </c>
      <c r="H577" s="3">
        <f t="shared" si="32"/>
        <v>44287</v>
      </c>
      <c r="I577">
        <f>MONTH(Table1[[#This Row],[Date]])</f>
        <v>4</v>
      </c>
      <c r="J577" t="str">
        <f t="shared" si="33"/>
        <v>Q2</v>
      </c>
      <c r="K577" t="str">
        <f t="shared" si="34"/>
        <v>Apr-2021</v>
      </c>
      <c r="L577" t="str">
        <f t="shared" si="35"/>
        <v>Medium</v>
      </c>
    </row>
    <row r="578" spans="1:12" x14ac:dyDescent="0.3">
      <c r="A578">
        <v>2021</v>
      </c>
      <c r="B578" s="2" t="s">
        <v>20</v>
      </c>
      <c r="C578" t="s">
        <v>16</v>
      </c>
      <c r="D578" t="s">
        <v>11</v>
      </c>
      <c r="E578">
        <v>2.38</v>
      </c>
      <c r="F578">
        <v>151.19999999999999</v>
      </c>
      <c r="G578">
        <v>3.46</v>
      </c>
      <c r="H578" s="3">
        <f t="shared" ref="H578:H641" si="36">DATE(A578,MONTH(DATEVALUE(B578&amp;" 1")),1)</f>
        <v>44287</v>
      </c>
      <c r="I578">
        <f>MONTH(Table1[[#This Row],[Date]])</f>
        <v>4</v>
      </c>
      <c r="J578" t="str">
        <f t="shared" ref="J578:J641" si="37">"Q"&amp;ROUNDUP(MONTH(H578)/3,0)</f>
        <v>Q2</v>
      </c>
      <c r="K578" t="str">
        <f t="shared" ref="K578:K641" si="38">TEXT(H578,"mmm-yyyy")</f>
        <v>Apr-2021</v>
      </c>
      <c r="L578" t="str">
        <f t="shared" ref="L578:L641" si="39">IF(G578&lt;3,"Low",IF(G578&lt;4,"Medium","High"))</f>
        <v>Medium</v>
      </c>
    </row>
    <row r="579" spans="1:12" x14ac:dyDescent="0.3">
      <c r="A579">
        <v>2021</v>
      </c>
      <c r="B579" s="2" t="s">
        <v>20</v>
      </c>
      <c r="C579" t="s">
        <v>16</v>
      </c>
      <c r="D579" t="s">
        <v>12</v>
      </c>
      <c r="E579">
        <v>6.53</v>
      </c>
      <c r="F579">
        <v>153.19999999999999</v>
      </c>
      <c r="G579">
        <v>3.54</v>
      </c>
      <c r="H579" s="3">
        <f t="shared" si="36"/>
        <v>44287</v>
      </c>
      <c r="I579">
        <f>MONTH(Table1[[#This Row],[Date]])</f>
        <v>4</v>
      </c>
      <c r="J579" t="str">
        <f t="shared" si="37"/>
        <v>Q2</v>
      </c>
      <c r="K579" t="str">
        <f t="shared" si="38"/>
        <v>Apr-2021</v>
      </c>
      <c r="L579" t="str">
        <f t="shared" si="39"/>
        <v>Medium</v>
      </c>
    </row>
    <row r="580" spans="1:12" x14ac:dyDescent="0.3">
      <c r="A580">
        <v>2021</v>
      </c>
      <c r="B580" s="2" t="s">
        <v>20</v>
      </c>
      <c r="C580" t="s">
        <v>16</v>
      </c>
      <c r="D580" t="s">
        <v>13</v>
      </c>
      <c r="E580">
        <v>10.07</v>
      </c>
      <c r="F580">
        <v>155.19999999999999</v>
      </c>
      <c r="G580">
        <v>3.62</v>
      </c>
      <c r="H580" s="3">
        <f t="shared" si="36"/>
        <v>44287</v>
      </c>
      <c r="I580">
        <f>MONTH(Table1[[#This Row],[Date]])</f>
        <v>4</v>
      </c>
      <c r="J580" t="str">
        <f t="shared" si="37"/>
        <v>Q2</v>
      </c>
      <c r="K580" t="str">
        <f t="shared" si="38"/>
        <v>Apr-2021</v>
      </c>
      <c r="L580" t="str">
        <f t="shared" si="39"/>
        <v>Medium</v>
      </c>
    </row>
    <row r="581" spans="1:12" x14ac:dyDescent="0.3">
      <c r="A581">
        <v>2021</v>
      </c>
      <c r="B581" s="2" t="s">
        <v>20</v>
      </c>
      <c r="C581" t="s">
        <v>16</v>
      </c>
      <c r="D581" t="s">
        <v>14</v>
      </c>
      <c r="E581">
        <v>6.84</v>
      </c>
      <c r="F581">
        <v>157.19999999999999</v>
      </c>
      <c r="G581">
        <v>3.7</v>
      </c>
      <c r="H581" s="3">
        <f t="shared" si="36"/>
        <v>44287</v>
      </c>
      <c r="I581">
        <f>MONTH(Table1[[#This Row],[Date]])</f>
        <v>4</v>
      </c>
      <c r="J581" t="str">
        <f t="shared" si="37"/>
        <v>Q2</v>
      </c>
      <c r="K581" t="str">
        <f t="shared" si="38"/>
        <v>Apr-2021</v>
      </c>
      <c r="L581" t="str">
        <f t="shared" si="39"/>
        <v>Medium</v>
      </c>
    </row>
    <row r="582" spans="1:12" x14ac:dyDescent="0.3">
      <c r="A582">
        <v>2021</v>
      </c>
      <c r="B582" s="2" t="s">
        <v>20</v>
      </c>
      <c r="C582" t="s">
        <v>16</v>
      </c>
      <c r="D582" t="s">
        <v>15</v>
      </c>
      <c r="E582">
        <v>28.32</v>
      </c>
      <c r="F582">
        <v>159.19999999999999</v>
      </c>
      <c r="G582">
        <v>3.78</v>
      </c>
      <c r="H582" s="3">
        <f t="shared" si="36"/>
        <v>44287</v>
      </c>
      <c r="I582">
        <f>MONTH(Table1[[#This Row],[Date]])</f>
        <v>4</v>
      </c>
      <c r="J582" t="str">
        <f t="shared" si="37"/>
        <v>Q2</v>
      </c>
      <c r="K582" t="str">
        <f t="shared" si="38"/>
        <v>Apr-2021</v>
      </c>
      <c r="L582" t="str">
        <f t="shared" si="39"/>
        <v>Medium</v>
      </c>
    </row>
    <row r="583" spans="1:12" x14ac:dyDescent="0.3">
      <c r="A583">
        <v>2021</v>
      </c>
      <c r="B583" s="2" t="s">
        <v>20</v>
      </c>
      <c r="C583" t="s">
        <v>17</v>
      </c>
      <c r="D583" t="s">
        <v>9</v>
      </c>
      <c r="E583">
        <v>100</v>
      </c>
      <c r="F583">
        <v>147.80000000000001</v>
      </c>
      <c r="G583">
        <v>3.3</v>
      </c>
      <c r="H583" s="3">
        <f t="shared" si="36"/>
        <v>44287</v>
      </c>
      <c r="I583">
        <f>MONTH(Table1[[#This Row],[Date]])</f>
        <v>4</v>
      </c>
      <c r="J583" t="str">
        <f t="shared" si="37"/>
        <v>Q2</v>
      </c>
      <c r="K583" t="str">
        <f t="shared" si="38"/>
        <v>Apr-2021</v>
      </c>
      <c r="L583" t="str">
        <f t="shared" si="39"/>
        <v>Medium</v>
      </c>
    </row>
    <row r="584" spans="1:12" x14ac:dyDescent="0.3">
      <c r="A584">
        <v>2021</v>
      </c>
      <c r="B584" s="2" t="s">
        <v>20</v>
      </c>
      <c r="C584" t="s">
        <v>17</v>
      </c>
      <c r="D584" t="s">
        <v>10</v>
      </c>
      <c r="E584">
        <v>45.86</v>
      </c>
      <c r="F584">
        <v>149.80000000000001</v>
      </c>
      <c r="G584">
        <v>3.38</v>
      </c>
      <c r="H584" s="3">
        <f t="shared" si="36"/>
        <v>44287</v>
      </c>
      <c r="I584">
        <f>MONTH(Table1[[#This Row],[Date]])</f>
        <v>4</v>
      </c>
      <c r="J584" t="str">
        <f t="shared" si="37"/>
        <v>Q2</v>
      </c>
      <c r="K584" t="str">
        <f t="shared" si="38"/>
        <v>Apr-2021</v>
      </c>
      <c r="L584" t="str">
        <f t="shared" si="39"/>
        <v>Medium</v>
      </c>
    </row>
    <row r="585" spans="1:12" x14ac:dyDescent="0.3">
      <c r="A585">
        <v>2021</v>
      </c>
      <c r="B585" s="2" t="s">
        <v>20</v>
      </c>
      <c r="C585" t="s">
        <v>17</v>
      </c>
      <c r="D585" t="s">
        <v>11</v>
      </c>
      <c r="E585">
        <v>2.38</v>
      </c>
      <c r="F585">
        <v>151.80000000000001</v>
      </c>
      <c r="G585">
        <v>3.46</v>
      </c>
      <c r="H585" s="3">
        <f t="shared" si="36"/>
        <v>44287</v>
      </c>
      <c r="I585">
        <f>MONTH(Table1[[#This Row],[Date]])</f>
        <v>4</v>
      </c>
      <c r="J585" t="str">
        <f t="shared" si="37"/>
        <v>Q2</v>
      </c>
      <c r="K585" t="str">
        <f t="shared" si="38"/>
        <v>Apr-2021</v>
      </c>
      <c r="L585" t="str">
        <f t="shared" si="39"/>
        <v>Medium</v>
      </c>
    </row>
    <row r="586" spans="1:12" x14ac:dyDescent="0.3">
      <c r="A586">
        <v>2021</v>
      </c>
      <c r="B586" s="2" t="s">
        <v>20</v>
      </c>
      <c r="C586" t="s">
        <v>17</v>
      </c>
      <c r="D586" t="s">
        <v>12</v>
      </c>
      <c r="E586">
        <v>6.53</v>
      </c>
      <c r="F586">
        <v>153.80000000000001</v>
      </c>
      <c r="G586">
        <v>3.54</v>
      </c>
      <c r="H586" s="3">
        <f t="shared" si="36"/>
        <v>44287</v>
      </c>
      <c r="I586">
        <f>MONTH(Table1[[#This Row],[Date]])</f>
        <v>4</v>
      </c>
      <c r="J586" t="str">
        <f t="shared" si="37"/>
        <v>Q2</v>
      </c>
      <c r="K586" t="str">
        <f t="shared" si="38"/>
        <v>Apr-2021</v>
      </c>
      <c r="L586" t="str">
        <f t="shared" si="39"/>
        <v>Medium</v>
      </c>
    </row>
    <row r="587" spans="1:12" x14ac:dyDescent="0.3">
      <c r="A587">
        <v>2021</v>
      </c>
      <c r="B587" s="2" t="s">
        <v>20</v>
      </c>
      <c r="C587" t="s">
        <v>17</v>
      </c>
      <c r="D587" t="s">
        <v>13</v>
      </c>
      <c r="E587">
        <v>10.07</v>
      </c>
      <c r="F587">
        <v>155.80000000000001</v>
      </c>
      <c r="G587">
        <v>3.62</v>
      </c>
      <c r="H587" s="3">
        <f t="shared" si="36"/>
        <v>44287</v>
      </c>
      <c r="I587">
        <f>MONTH(Table1[[#This Row],[Date]])</f>
        <v>4</v>
      </c>
      <c r="J587" t="str">
        <f t="shared" si="37"/>
        <v>Q2</v>
      </c>
      <c r="K587" t="str">
        <f t="shared" si="38"/>
        <v>Apr-2021</v>
      </c>
      <c r="L587" t="str">
        <f t="shared" si="39"/>
        <v>Medium</v>
      </c>
    </row>
    <row r="588" spans="1:12" x14ac:dyDescent="0.3">
      <c r="A588">
        <v>2021</v>
      </c>
      <c r="B588" s="2" t="s">
        <v>20</v>
      </c>
      <c r="C588" t="s">
        <v>17</v>
      </c>
      <c r="D588" t="s">
        <v>14</v>
      </c>
      <c r="E588">
        <v>6.84</v>
      </c>
      <c r="F588">
        <v>157.80000000000001</v>
      </c>
      <c r="G588">
        <v>3.7</v>
      </c>
      <c r="H588" s="3">
        <f t="shared" si="36"/>
        <v>44287</v>
      </c>
      <c r="I588">
        <f>MONTH(Table1[[#This Row],[Date]])</f>
        <v>4</v>
      </c>
      <c r="J588" t="str">
        <f t="shared" si="37"/>
        <v>Q2</v>
      </c>
      <c r="K588" t="str">
        <f t="shared" si="38"/>
        <v>Apr-2021</v>
      </c>
      <c r="L588" t="str">
        <f t="shared" si="39"/>
        <v>Medium</v>
      </c>
    </row>
    <row r="589" spans="1:12" x14ac:dyDescent="0.3">
      <c r="A589">
        <v>2021</v>
      </c>
      <c r="B589" s="2" t="s">
        <v>20</v>
      </c>
      <c r="C589" t="s">
        <v>17</v>
      </c>
      <c r="D589" t="s">
        <v>15</v>
      </c>
      <c r="E589">
        <v>28.32</v>
      </c>
      <c r="F589">
        <v>159.80000000000001</v>
      </c>
      <c r="G589">
        <v>3.78</v>
      </c>
      <c r="H589" s="3">
        <f t="shared" si="36"/>
        <v>44287</v>
      </c>
      <c r="I589">
        <f>MONTH(Table1[[#This Row],[Date]])</f>
        <v>4</v>
      </c>
      <c r="J589" t="str">
        <f t="shared" si="37"/>
        <v>Q2</v>
      </c>
      <c r="K589" t="str">
        <f t="shared" si="38"/>
        <v>Apr-2021</v>
      </c>
      <c r="L589" t="str">
        <f t="shared" si="39"/>
        <v>Medium</v>
      </c>
    </row>
    <row r="590" spans="1:12" x14ac:dyDescent="0.3">
      <c r="A590">
        <v>2021</v>
      </c>
      <c r="B590" s="2" t="s">
        <v>21</v>
      </c>
      <c r="C590" t="s">
        <v>8</v>
      </c>
      <c r="D590" t="s">
        <v>9</v>
      </c>
      <c r="E590">
        <v>100</v>
      </c>
      <c r="F590">
        <v>147</v>
      </c>
      <c r="G590">
        <v>3.45</v>
      </c>
      <c r="H590" s="3">
        <f t="shared" si="36"/>
        <v>44317</v>
      </c>
      <c r="I590">
        <f>MONTH(Table1[[#This Row],[Date]])</f>
        <v>5</v>
      </c>
      <c r="J590" t="str">
        <f t="shared" si="37"/>
        <v>Q2</v>
      </c>
      <c r="K590" t="str">
        <f t="shared" si="38"/>
        <v>May-2021</v>
      </c>
      <c r="L590" t="str">
        <f t="shared" si="39"/>
        <v>Medium</v>
      </c>
    </row>
    <row r="591" spans="1:12" x14ac:dyDescent="0.3">
      <c r="A591">
        <v>2021</v>
      </c>
      <c r="B591" s="2" t="s">
        <v>21</v>
      </c>
      <c r="C591" t="s">
        <v>8</v>
      </c>
      <c r="D591" t="s">
        <v>10</v>
      </c>
      <c r="E591">
        <v>45.86</v>
      </c>
      <c r="F591">
        <v>149</v>
      </c>
      <c r="G591">
        <v>3.53</v>
      </c>
      <c r="H591" s="3">
        <f t="shared" si="36"/>
        <v>44317</v>
      </c>
      <c r="I591">
        <f>MONTH(Table1[[#This Row],[Date]])</f>
        <v>5</v>
      </c>
      <c r="J591" t="str">
        <f t="shared" si="37"/>
        <v>Q2</v>
      </c>
      <c r="K591" t="str">
        <f t="shared" si="38"/>
        <v>May-2021</v>
      </c>
      <c r="L591" t="str">
        <f t="shared" si="39"/>
        <v>Medium</v>
      </c>
    </row>
    <row r="592" spans="1:12" x14ac:dyDescent="0.3">
      <c r="A592">
        <v>2021</v>
      </c>
      <c r="B592" s="2" t="s">
        <v>21</v>
      </c>
      <c r="C592" t="s">
        <v>8</v>
      </c>
      <c r="D592" t="s">
        <v>11</v>
      </c>
      <c r="E592">
        <v>2.38</v>
      </c>
      <c r="F592">
        <v>151</v>
      </c>
      <c r="G592">
        <v>3.61</v>
      </c>
      <c r="H592" s="3">
        <f t="shared" si="36"/>
        <v>44317</v>
      </c>
      <c r="I592">
        <f>MONTH(Table1[[#This Row],[Date]])</f>
        <v>5</v>
      </c>
      <c r="J592" t="str">
        <f t="shared" si="37"/>
        <v>Q2</v>
      </c>
      <c r="K592" t="str">
        <f t="shared" si="38"/>
        <v>May-2021</v>
      </c>
      <c r="L592" t="str">
        <f t="shared" si="39"/>
        <v>Medium</v>
      </c>
    </row>
    <row r="593" spans="1:12" x14ac:dyDescent="0.3">
      <c r="A593">
        <v>2021</v>
      </c>
      <c r="B593" s="2" t="s">
        <v>21</v>
      </c>
      <c r="C593" t="s">
        <v>8</v>
      </c>
      <c r="D593" t="s">
        <v>12</v>
      </c>
      <c r="E593">
        <v>6.53</v>
      </c>
      <c r="F593">
        <v>153</v>
      </c>
      <c r="G593">
        <v>3.69</v>
      </c>
      <c r="H593" s="3">
        <f t="shared" si="36"/>
        <v>44317</v>
      </c>
      <c r="I593">
        <f>MONTH(Table1[[#This Row],[Date]])</f>
        <v>5</v>
      </c>
      <c r="J593" t="str">
        <f t="shared" si="37"/>
        <v>Q2</v>
      </c>
      <c r="K593" t="str">
        <f t="shared" si="38"/>
        <v>May-2021</v>
      </c>
      <c r="L593" t="str">
        <f t="shared" si="39"/>
        <v>Medium</v>
      </c>
    </row>
    <row r="594" spans="1:12" x14ac:dyDescent="0.3">
      <c r="A594">
        <v>2021</v>
      </c>
      <c r="B594" s="2" t="s">
        <v>21</v>
      </c>
      <c r="C594" t="s">
        <v>8</v>
      </c>
      <c r="D594" t="s">
        <v>13</v>
      </c>
      <c r="E594">
        <v>10.07</v>
      </c>
      <c r="F594">
        <v>155</v>
      </c>
      <c r="G594">
        <v>3.77</v>
      </c>
      <c r="H594" s="3">
        <f t="shared" si="36"/>
        <v>44317</v>
      </c>
      <c r="I594">
        <f>MONTH(Table1[[#This Row],[Date]])</f>
        <v>5</v>
      </c>
      <c r="J594" t="str">
        <f t="shared" si="37"/>
        <v>Q2</v>
      </c>
      <c r="K594" t="str">
        <f t="shared" si="38"/>
        <v>May-2021</v>
      </c>
      <c r="L594" t="str">
        <f t="shared" si="39"/>
        <v>Medium</v>
      </c>
    </row>
    <row r="595" spans="1:12" x14ac:dyDescent="0.3">
      <c r="A595">
        <v>2021</v>
      </c>
      <c r="B595" s="2" t="s">
        <v>21</v>
      </c>
      <c r="C595" t="s">
        <v>8</v>
      </c>
      <c r="D595" t="s">
        <v>14</v>
      </c>
      <c r="E595">
        <v>6.84</v>
      </c>
      <c r="F595">
        <v>157</v>
      </c>
      <c r="G595">
        <v>3.85</v>
      </c>
      <c r="H595" s="3">
        <f t="shared" si="36"/>
        <v>44317</v>
      </c>
      <c r="I595">
        <f>MONTH(Table1[[#This Row],[Date]])</f>
        <v>5</v>
      </c>
      <c r="J595" t="str">
        <f t="shared" si="37"/>
        <v>Q2</v>
      </c>
      <c r="K595" t="str">
        <f t="shared" si="38"/>
        <v>May-2021</v>
      </c>
      <c r="L595" t="str">
        <f t="shared" si="39"/>
        <v>Medium</v>
      </c>
    </row>
    <row r="596" spans="1:12" x14ac:dyDescent="0.3">
      <c r="A596">
        <v>2021</v>
      </c>
      <c r="B596" s="2" t="s">
        <v>21</v>
      </c>
      <c r="C596" t="s">
        <v>8</v>
      </c>
      <c r="D596" t="s">
        <v>15</v>
      </c>
      <c r="E596">
        <v>28.32</v>
      </c>
      <c r="F596">
        <v>159</v>
      </c>
      <c r="G596">
        <v>3.93</v>
      </c>
      <c r="H596" s="3">
        <f t="shared" si="36"/>
        <v>44317</v>
      </c>
      <c r="I596">
        <f>MONTH(Table1[[#This Row],[Date]])</f>
        <v>5</v>
      </c>
      <c r="J596" t="str">
        <f t="shared" si="37"/>
        <v>Q2</v>
      </c>
      <c r="K596" t="str">
        <f t="shared" si="38"/>
        <v>May-2021</v>
      </c>
      <c r="L596" t="str">
        <f t="shared" si="39"/>
        <v>Medium</v>
      </c>
    </row>
    <row r="597" spans="1:12" x14ac:dyDescent="0.3">
      <c r="A597">
        <v>2021</v>
      </c>
      <c r="B597" s="2" t="s">
        <v>21</v>
      </c>
      <c r="C597" t="s">
        <v>16</v>
      </c>
      <c r="D597" t="s">
        <v>9</v>
      </c>
      <c r="E597">
        <v>100</v>
      </c>
      <c r="F597">
        <v>147.6</v>
      </c>
      <c r="G597">
        <v>3.45</v>
      </c>
      <c r="H597" s="3">
        <f t="shared" si="36"/>
        <v>44317</v>
      </c>
      <c r="I597">
        <f>MONTH(Table1[[#This Row],[Date]])</f>
        <v>5</v>
      </c>
      <c r="J597" t="str">
        <f t="shared" si="37"/>
        <v>Q2</v>
      </c>
      <c r="K597" t="str">
        <f t="shared" si="38"/>
        <v>May-2021</v>
      </c>
      <c r="L597" t="str">
        <f t="shared" si="39"/>
        <v>Medium</v>
      </c>
    </row>
    <row r="598" spans="1:12" x14ac:dyDescent="0.3">
      <c r="A598">
        <v>2021</v>
      </c>
      <c r="B598" s="2" t="s">
        <v>21</v>
      </c>
      <c r="C598" t="s">
        <v>16</v>
      </c>
      <c r="D598" t="s">
        <v>10</v>
      </c>
      <c r="E598">
        <v>45.86</v>
      </c>
      <c r="F598">
        <v>149.6</v>
      </c>
      <c r="G598">
        <v>3.53</v>
      </c>
      <c r="H598" s="3">
        <f t="shared" si="36"/>
        <v>44317</v>
      </c>
      <c r="I598">
        <f>MONTH(Table1[[#This Row],[Date]])</f>
        <v>5</v>
      </c>
      <c r="J598" t="str">
        <f t="shared" si="37"/>
        <v>Q2</v>
      </c>
      <c r="K598" t="str">
        <f t="shared" si="38"/>
        <v>May-2021</v>
      </c>
      <c r="L598" t="str">
        <f t="shared" si="39"/>
        <v>Medium</v>
      </c>
    </row>
    <row r="599" spans="1:12" x14ac:dyDescent="0.3">
      <c r="A599">
        <v>2021</v>
      </c>
      <c r="B599" s="2" t="s">
        <v>21</v>
      </c>
      <c r="C599" t="s">
        <v>16</v>
      </c>
      <c r="D599" t="s">
        <v>11</v>
      </c>
      <c r="E599">
        <v>2.38</v>
      </c>
      <c r="F599">
        <v>151.6</v>
      </c>
      <c r="G599">
        <v>3.61</v>
      </c>
      <c r="H599" s="3">
        <f t="shared" si="36"/>
        <v>44317</v>
      </c>
      <c r="I599">
        <f>MONTH(Table1[[#This Row],[Date]])</f>
        <v>5</v>
      </c>
      <c r="J599" t="str">
        <f t="shared" si="37"/>
        <v>Q2</v>
      </c>
      <c r="K599" t="str">
        <f t="shared" si="38"/>
        <v>May-2021</v>
      </c>
      <c r="L599" t="str">
        <f t="shared" si="39"/>
        <v>Medium</v>
      </c>
    </row>
    <row r="600" spans="1:12" x14ac:dyDescent="0.3">
      <c r="A600">
        <v>2021</v>
      </c>
      <c r="B600" s="2" t="s">
        <v>21</v>
      </c>
      <c r="C600" t="s">
        <v>16</v>
      </c>
      <c r="D600" t="s">
        <v>12</v>
      </c>
      <c r="E600">
        <v>6.53</v>
      </c>
      <c r="F600">
        <v>153.6</v>
      </c>
      <c r="G600">
        <v>3.69</v>
      </c>
      <c r="H600" s="3">
        <f t="shared" si="36"/>
        <v>44317</v>
      </c>
      <c r="I600">
        <f>MONTH(Table1[[#This Row],[Date]])</f>
        <v>5</v>
      </c>
      <c r="J600" t="str">
        <f t="shared" si="37"/>
        <v>Q2</v>
      </c>
      <c r="K600" t="str">
        <f t="shared" si="38"/>
        <v>May-2021</v>
      </c>
      <c r="L600" t="str">
        <f t="shared" si="39"/>
        <v>Medium</v>
      </c>
    </row>
    <row r="601" spans="1:12" x14ac:dyDescent="0.3">
      <c r="A601">
        <v>2021</v>
      </c>
      <c r="B601" s="2" t="s">
        <v>21</v>
      </c>
      <c r="C601" t="s">
        <v>16</v>
      </c>
      <c r="D601" t="s">
        <v>13</v>
      </c>
      <c r="E601">
        <v>10.07</v>
      </c>
      <c r="F601">
        <v>155.6</v>
      </c>
      <c r="G601">
        <v>3.77</v>
      </c>
      <c r="H601" s="3">
        <f t="shared" si="36"/>
        <v>44317</v>
      </c>
      <c r="I601">
        <f>MONTH(Table1[[#This Row],[Date]])</f>
        <v>5</v>
      </c>
      <c r="J601" t="str">
        <f t="shared" si="37"/>
        <v>Q2</v>
      </c>
      <c r="K601" t="str">
        <f t="shared" si="38"/>
        <v>May-2021</v>
      </c>
      <c r="L601" t="str">
        <f t="shared" si="39"/>
        <v>Medium</v>
      </c>
    </row>
    <row r="602" spans="1:12" x14ac:dyDescent="0.3">
      <c r="A602">
        <v>2021</v>
      </c>
      <c r="B602" s="2" t="s">
        <v>21</v>
      </c>
      <c r="C602" t="s">
        <v>16</v>
      </c>
      <c r="D602" t="s">
        <v>14</v>
      </c>
      <c r="E602">
        <v>6.84</v>
      </c>
      <c r="F602">
        <v>157.6</v>
      </c>
      <c r="G602">
        <v>3.85</v>
      </c>
      <c r="H602" s="3">
        <f t="shared" si="36"/>
        <v>44317</v>
      </c>
      <c r="I602">
        <f>MONTH(Table1[[#This Row],[Date]])</f>
        <v>5</v>
      </c>
      <c r="J602" t="str">
        <f t="shared" si="37"/>
        <v>Q2</v>
      </c>
      <c r="K602" t="str">
        <f t="shared" si="38"/>
        <v>May-2021</v>
      </c>
      <c r="L602" t="str">
        <f t="shared" si="39"/>
        <v>Medium</v>
      </c>
    </row>
    <row r="603" spans="1:12" x14ac:dyDescent="0.3">
      <c r="A603">
        <v>2021</v>
      </c>
      <c r="B603" s="2" t="s">
        <v>21</v>
      </c>
      <c r="C603" t="s">
        <v>16</v>
      </c>
      <c r="D603" t="s">
        <v>15</v>
      </c>
      <c r="E603">
        <v>28.32</v>
      </c>
      <c r="F603">
        <v>159.6</v>
      </c>
      <c r="G603">
        <v>3.93</v>
      </c>
      <c r="H603" s="3">
        <f t="shared" si="36"/>
        <v>44317</v>
      </c>
      <c r="I603">
        <f>MONTH(Table1[[#This Row],[Date]])</f>
        <v>5</v>
      </c>
      <c r="J603" t="str">
        <f t="shared" si="37"/>
        <v>Q2</v>
      </c>
      <c r="K603" t="str">
        <f t="shared" si="38"/>
        <v>May-2021</v>
      </c>
      <c r="L603" t="str">
        <f t="shared" si="39"/>
        <v>Medium</v>
      </c>
    </row>
    <row r="604" spans="1:12" x14ac:dyDescent="0.3">
      <c r="A604">
        <v>2021</v>
      </c>
      <c r="B604" s="2" t="s">
        <v>21</v>
      </c>
      <c r="C604" t="s">
        <v>17</v>
      </c>
      <c r="D604" t="s">
        <v>9</v>
      </c>
      <c r="E604">
        <v>100</v>
      </c>
      <c r="F604">
        <v>148.19999999999999</v>
      </c>
      <c r="G604">
        <v>3.45</v>
      </c>
      <c r="H604" s="3">
        <f t="shared" si="36"/>
        <v>44317</v>
      </c>
      <c r="I604">
        <f>MONTH(Table1[[#This Row],[Date]])</f>
        <v>5</v>
      </c>
      <c r="J604" t="str">
        <f t="shared" si="37"/>
        <v>Q2</v>
      </c>
      <c r="K604" t="str">
        <f t="shared" si="38"/>
        <v>May-2021</v>
      </c>
      <c r="L604" t="str">
        <f t="shared" si="39"/>
        <v>Medium</v>
      </c>
    </row>
    <row r="605" spans="1:12" x14ac:dyDescent="0.3">
      <c r="A605">
        <v>2021</v>
      </c>
      <c r="B605" s="2" t="s">
        <v>21</v>
      </c>
      <c r="C605" t="s">
        <v>17</v>
      </c>
      <c r="D605" t="s">
        <v>10</v>
      </c>
      <c r="E605">
        <v>45.86</v>
      </c>
      <c r="F605">
        <v>150.19999999999999</v>
      </c>
      <c r="G605">
        <v>3.53</v>
      </c>
      <c r="H605" s="3">
        <f t="shared" si="36"/>
        <v>44317</v>
      </c>
      <c r="I605">
        <f>MONTH(Table1[[#This Row],[Date]])</f>
        <v>5</v>
      </c>
      <c r="J605" t="str">
        <f t="shared" si="37"/>
        <v>Q2</v>
      </c>
      <c r="K605" t="str">
        <f t="shared" si="38"/>
        <v>May-2021</v>
      </c>
      <c r="L605" t="str">
        <f t="shared" si="39"/>
        <v>Medium</v>
      </c>
    </row>
    <row r="606" spans="1:12" x14ac:dyDescent="0.3">
      <c r="A606">
        <v>2021</v>
      </c>
      <c r="B606" s="2" t="s">
        <v>21</v>
      </c>
      <c r="C606" t="s">
        <v>17</v>
      </c>
      <c r="D606" t="s">
        <v>11</v>
      </c>
      <c r="E606">
        <v>2.38</v>
      </c>
      <c r="F606">
        <v>152.19999999999999</v>
      </c>
      <c r="G606">
        <v>3.61</v>
      </c>
      <c r="H606" s="3">
        <f t="shared" si="36"/>
        <v>44317</v>
      </c>
      <c r="I606">
        <f>MONTH(Table1[[#This Row],[Date]])</f>
        <v>5</v>
      </c>
      <c r="J606" t="str">
        <f t="shared" si="37"/>
        <v>Q2</v>
      </c>
      <c r="K606" t="str">
        <f t="shared" si="38"/>
        <v>May-2021</v>
      </c>
      <c r="L606" t="str">
        <f t="shared" si="39"/>
        <v>Medium</v>
      </c>
    </row>
    <row r="607" spans="1:12" x14ac:dyDescent="0.3">
      <c r="A607">
        <v>2021</v>
      </c>
      <c r="B607" s="2" t="s">
        <v>21</v>
      </c>
      <c r="C607" t="s">
        <v>17</v>
      </c>
      <c r="D607" t="s">
        <v>12</v>
      </c>
      <c r="E607">
        <v>6.53</v>
      </c>
      <c r="F607">
        <v>154.19999999999999</v>
      </c>
      <c r="G607">
        <v>3.69</v>
      </c>
      <c r="H607" s="3">
        <f t="shared" si="36"/>
        <v>44317</v>
      </c>
      <c r="I607">
        <f>MONTH(Table1[[#This Row],[Date]])</f>
        <v>5</v>
      </c>
      <c r="J607" t="str">
        <f t="shared" si="37"/>
        <v>Q2</v>
      </c>
      <c r="K607" t="str">
        <f t="shared" si="38"/>
        <v>May-2021</v>
      </c>
      <c r="L607" t="str">
        <f t="shared" si="39"/>
        <v>Medium</v>
      </c>
    </row>
    <row r="608" spans="1:12" x14ac:dyDescent="0.3">
      <c r="A608">
        <v>2021</v>
      </c>
      <c r="B608" s="2" t="s">
        <v>21</v>
      </c>
      <c r="C608" t="s">
        <v>17</v>
      </c>
      <c r="D608" t="s">
        <v>13</v>
      </c>
      <c r="E608">
        <v>10.07</v>
      </c>
      <c r="F608">
        <v>156.19999999999999</v>
      </c>
      <c r="G608">
        <v>3.77</v>
      </c>
      <c r="H608" s="3">
        <f t="shared" si="36"/>
        <v>44317</v>
      </c>
      <c r="I608">
        <f>MONTH(Table1[[#This Row],[Date]])</f>
        <v>5</v>
      </c>
      <c r="J608" t="str">
        <f t="shared" si="37"/>
        <v>Q2</v>
      </c>
      <c r="K608" t="str">
        <f t="shared" si="38"/>
        <v>May-2021</v>
      </c>
      <c r="L608" t="str">
        <f t="shared" si="39"/>
        <v>Medium</v>
      </c>
    </row>
    <row r="609" spans="1:12" x14ac:dyDescent="0.3">
      <c r="A609">
        <v>2021</v>
      </c>
      <c r="B609" s="2" t="s">
        <v>21</v>
      </c>
      <c r="C609" t="s">
        <v>17</v>
      </c>
      <c r="D609" t="s">
        <v>14</v>
      </c>
      <c r="E609">
        <v>6.84</v>
      </c>
      <c r="F609">
        <v>158.19999999999999</v>
      </c>
      <c r="G609">
        <v>3.85</v>
      </c>
      <c r="H609" s="3">
        <f t="shared" si="36"/>
        <v>44317</v>
      </c>
      <c r="I609">
        <f>MONTH(Table1[[#This Row],[Date]])</f>
        <v>5</v>
      </c>
      <c r="J609" t="str">
        <f t="shared" si="37"/>
        <v>Q2</v>
      </c>
      <c r="K609" t="str">
        <f t="shared" si="38"/>
        <v>May-2021</v>
      </c>
      <c r="L609" t="str">
        <f t="shared" si="39"/>
        <v>Medium</v>
      </c>
    </row>
    <row r="610" spans="1:12" x14ac:dyDescent="0.3">
      <c r="A610">
        <v>2021</v>
      </c>
      <c r="B610" s="2" t="s">
        <v>21</v>
      </c>
      <c r="C610" t="s">
        <v>17</v>
      </c>
      <c r="D610" t="s">
        <v>15</v>
      </c>
      <c r="E610">
        <v>28.32</v>
      </c>
      <c r="F610">
        <v>160.19999999999999</v>
      </c>
      <c r="G610">
        <v>3.93</v>
      </c>
      <c r="H610" s="3">
        <f t="shared" si="36"/>
        <v>44317</v>
      </c>
      <c r="I610">
        <f>MONTH(Table1[[#This Row],[Date]])</f>
        <v>5</v>
      </c>
      <c r="J610" t="str">
        <f t="shared" si="37"/>
        <v>Q2</v>
      </c>
      <c r="K610" t="str">
        <f t="shared" si="38"/>
        <v>May-2021</v>
      </c>
      <c r="L610" t="str">
        <f t="shared" si="39"/>
        <v>Medium</v>
      </c>
    </row>
    <row r="611" spans="1:12" x14ac:dyDescent="0.3">
      <c r="A611">
        <v>2021</v>
      </c>
      <c r="B611" s="2" t="s">
        <v>22</v>
      </c>
      <c r="C611" t="s">
        <v>8</v>
      </c>
      <c r="D611" t="s">
        <v>9</v>
      </c>
      <c r="E611">
        <v>100</v>
      </c>
      <c r="F611">
        <v>147.4</v>
      </c>
      <c r="G611">
        <v>2.7</v>
      </c>
      <c r="H611" s="3">
        <f t="shared" si="36"/>
        <v>44348</v>
      </c>
      <c r="I611">
        <f>MONTH(Table1[[#This Row],[Date]])</f>
        <v>6</v>
      </c>
      <c r="J611" t="str">
        <f t="shared" si="37"/>
        <v>Q2</v>
      </c>
      <c r="K611" t="str">
        <f t="shared" si="38"/>
        <v>Jun-2021</v>
      </c>
      <c r="L611" t="str">
        <f t="shared" si="39"/>
        <v>Low</v>
      </c>
    </row>
    <row r="612" spans="1:12" x14ac:dyDescent="0.3">
      <c r="A612">
        <v>2021</v>
      </c>
      <c r="B612" s="2" t="s">
        <v>22</v>
      </c>
      <c r="C612" t="s">
        <v>8</v>
      </c>
      <c r="D612" t="s">
        <v>10</v>
      </c>
      <c r="E612">
        <v>45.86</v>
      </c>
      <c r="F612">
        <v>149.4</v>
      </c>
      <c r="G612">
        <v>2.78</v>
      </c>
      <c r="H612" s="3">
        <f t="shared" si="36"/>
        <v>44348</v>
      </c>
      <c r="I612">
        <f>MONTH(Table1[[#This Row],[Date]])</f>
        <v>6</v>
      </c>
      <c r="J612" t="str">
        <f t="shared" si="37"/>
        <v>Q2</v>
      </c>
      <c r="K612" t="str">
        <f t="shared" si="38"/>
        <v>Jun-2021</v>
      </c>
      <c r="L612" t="str">
        <f t="shared" si="39"/>
        <v>Low</v>
      </c>
    </row>
    <row r="613" spans="1:12" x14ac:dyDescent="0.3">
      <c r="A613">
        <v>2021</v>
      </c>
      <c r="B613" s="2" t="s">
        <v>22</v>
      </c>
      <c r="C613" t="s">
        <v>8</v>
      </c>
      <c r="D613" t="s">
        <v>11</v>
      </c>
      <c r="E613">
        <v>2.38</v>
      </c>
      <c r="F613">
        <v>151.4</v>
      </c>
      <c r="G613">
        <v>2.86</v>
      </c>
      <c r="H613" s="3">
        <f t="shared" si="36"/>
        <v>44348</v>
      </c>
      <c r="I613">
        <f>MONTH(Table1[[#This Row],[Date]])</f>
        <v>6</v>
      </c>
      <c r="J613" t="str">
        <f t="shared" si="37"/>
        <v>Q2</v>
      </c>
      <c r="K613" t="str">
        <f t="shared" si="38"/>
        <v>Jun-2021</v>
      </c>
      <c r="L613" t="str">
        <f t="shared" si="39"/>
        <v>Low</v>
      </c>
    </row>
    <row r="614" spans="1:12" x14ac:dyDescent="0.3">
      <c r="A614">
        <v>2021</v>
      </c>
      <c r="B614" s="2" t="s">
        <v>22</v>
      </c>
      <c r="C614" t="s">
        <v>8</v>
      </c>
      <c r="D614" t="s">
        <v>12</v>
      </c>
      <c r="E614">
        <v>6.53</v>
      </c>
      <c r="F614">
        <v>153.4</v>
      </c>
      <c r="G614">
        <v>2.94</v>
      </c>
      <c r="H614" s="3">
        <f t="shared" si="36"/>
        <v>44348</v>
      </c>
      <c r="I614">
        <f>MONTH(Table1[[#This Row],[Date]])</f>
        <v>6</v>
      </c>
      <c r="J614" t="str">
        <f t="shared" si="37"/>
        <v>Q2</v>
      </c>
      <c r="K614" t="str">
        <f t="shared" si="38"/>
        <v>Jun-2021</v>
      </c>
      <c r="L614" t="str">
        <f t="shared" si="39"/>
        <v>Low</v>
      </c>
    </row>
    <row r="615" spans="1:12" x14ac:dyDescent="0.3">
      <c r="A615">
        <v>2021</v>
      </c>
      <c r="B615" s="2" t="s">
        <v>22</v>
      </c>
      <c r="C615" t="s">
        <v>8</v>
      </c>
      <c r="D615" t="s">
        <v>13</v>
      </c>
      <c r="E615">
        <v>10.07</v>
      </c>
      <c r="F615">
        <v>155.4</v>
      </c>
      <c r="G615">
        <v>3.02</v>
      </c>
      <c r="H615" s="3">
        <f t="shared" si="36"/>
        <v>44348</v>
      </c>
      <c r="I615">
        <f>MONTH(Table1[[#This Row],[Date]])</f>
        <v>6</v>
      </c>
      <c r="J615" t="str">
        <f t="shared" si="37"/>
        <v>Q2</v>
      </c>
      <c r="K615" t="str">
        <f t="shared" si="38"/>
        <v>Jun-2021</v>
      </c>
      <c r="L615" t="str">
        <f t="shared" si="39"/>
        <v>Medium</v>
      </c>
    </row>
    <row r="616" spans="1:12" x14ac:dyDescent="0.3">
      <c r="A616">
        <v>2021</v>
      </c>
      <c r="B616" s="2" t="s">
        <v>22</v>
      </c>
      <c r="C616" t="s">
        <v>8</v>
      </c>
      <c r="D616" t="s">
        <v>14</v>
      </c>
      <c r="E616">
        <v>6.84</v>
      </c>
      <c r="F616">
        <v>157.4</v>
      </c>
      <c r="G616">
        <v>3.1</v>
      </c>
      <c r="H616" s="3">
        <f t="shared" si="36"/>
        <v>44348</v>
      </c>
      <c r="I616">
        <f>MONTH(Table1[[#This Row],[Date]])</f>
        <v>6</v>
      </c>
      <c r="J616" t="str">
        <f t="shared" si="37"/>
        <v>Q2</v>
      </c>
      <c r="K616" t="str">
        <f t="shared" si="38"/>
        <v>Jun-2021</v>
      </c>
      <c r="L616" t="str">
        <f t="shared" si="39"/>
        <v>Medium</v>
      </c>
    </row>
    <row r="617" spans="1:12" x14ac:dyDescent="0.3">
      <c r="A617">
        <v>2021</v>
      </c>
      <c r="B617" s="2" t="s">
        <v>22</v>
      </c>
      <c r="C617" t="s">
        <v>8</v>
      </c>
      <c r="D617" t="s">
        <v>15</v>
      </c>
      <c r="E617">
        <v>28.32</v>
      </c>
      <c r="F617">
        <v>159.4</v>
      </c>
      <c r="G617">
        <v>3.18</v>
      </c>
      <c r="H617" s="3">
        <f t="shared" si="36"/>
        <v>44348</v>
      </c>
      <c r="I617">
        <f>MONTH(Table1[[#This Row],[Date]])</f>
        <v>6</v>
      </c>
      <c r="J617" t="str">
        <f t="shared" si="37"/>
        <v>Q2</v>
      </c>
      <c r="K617" t="str">
        <f t="shared" si="38"/>
        <v>Jun-2021</v>
      </c>
      <c r="L617" t="str">
        <f t="shared" si="39"/>
        <v>Medium</v>
      </c>
    </row>
    <row r="618" spans="1:12" x14ac:dyDescent="0.3">
      <c r="A618">
        <v>2021</v>
      </c>
      <c r="B618" s="2" t="s">
        <v>22</v>
      </c>
      <c r="C618" t="s">
        <v>16</v>
      </c>
      <c r="D618" t="s">
        <v>9</v>
      </c>
      <c r="E618">
        <v>100</v>
      </c>
      <c r="F618">
        <v>148</v>
      </c>
      <c r="G618">
        <v>2.7</v>
      </c>
      <c r="H618" s="3">
        <f t="shared" si="36"/>
        <v>44348</v>
      </c>
      <c r="I618">
        <f>MONTH(Table1[[#This Row],[Date]])</f>
        <v>6</v>
      </c>
      <c r="J618" t="str">
        <f t="shared" si="37"/>
        <v>Q2</v>
      </c>
      <c r="K618" t="str">
        <f t="shared" si="38"/>
        <v>Jun-2021</v>
      </c>
      <c r="L618" t="str">
        <f t="shared" si="39"/>
        <v>Low</v>
      </c>
    </row>
    <row r="619" spans="1:12" x14ac:dyDescent="0.3">
      <c r="A619">
        <v>2021</v>
      </c>
      <c r="B619" s="2" t="s">
        <v>22</v>
      </c>
      <c r="C619" t="s">
        <v>16</v>
      </c>
      <c r="D619" t="s">
        <v>10</v>
      </c>
      <c r="E619">
        <v>45.86</v>
      </c>
      <c r="F619">
        <v>150</v>
      </c>
      <c r="G619">
        <v>2.78</v>
      </c>
      <c r="H619" s="3">
        <f t="shared" si="36"/>
        <v>44348</v>
      </c>
      <c r="I619">
        <f>MONTH(Table1[[#This Row],[Date]])</f>
        <v>6</v>
      </c>
      <c r="J619" t="str">
        <f t="shared" si="37"/>
        <v>Q2</v>
      </c>
      <c r="K619" t="str">
        <f t="shared" si="38"/>
        <v>Jun-2021</v>
      </c>
      <c r="L619" t="str">
        <f t="shared" si="39"/>
        <v>Low</v>
      </c>
    </row>
    <row r="620" spans="1:12" x14ac:dyDescent="0.3">
      <c r="A620">
        <v>2021</v>
      </c>
      <c r="B620" s="2" t="s">
        <v>22</v>
      </c>
      <c r="C620" t="s">
        <v>16</v>
      </c>
      <c r="D620" t="s">
        <v>11</v>
      </c>
      <c r="E620">
        <v>2.38</v>
      </c>
      <c r="F620">
        <v>152</v>
      </c>
      <c r="G620">
        <v>2.86</v>
      </c>
      <c r="H620" s="3">
        <f t="shared" si="36"/>
        <v>44348</v>
      </c>
      <c r="I620">
        <f>MONTH(Table1[[#This Row],[Date]])</f>
        <v>6</v>
      </c>
      <c r="J620" t="str">
        <f t="shared" si="37"/>
        <v>Q2</v>
      </c>
      <c r="K620" t="str">
        <f t="shared" si="38"/>
        <v>Jun-2021</v>
      </c>
      <c r="L620" t="str">
        <f t="shared" si="39"/>
        <v>Low</v>
      </c>
    </row>
    <row r="621" spans="1:12" x14ac:dyDescent="0.3">
      <c r="A621">
        <v>2021</v>
      </c>
      <c r="B621" s="2" t="s">
        <v>22</v>
      </c>
      <c r="C621" t="s">
        <v>16</v>
      </c>
      <c r="D621" t="s">
        <v>12</v>
      </c>
      <c r="E621">
        <v>6.53</v>
      </c>
      <c r="F621">
        <v>154</v>
      </c>
      <c r="G621">
        <v>2.94</v>
      </c>
      <c r="H621" s="3">
        <f t="shared" si="36"/>
        <v>44348</v>
      </c>
      <c r="I621">
        <f>MONTH(Table1[[#This Row],[Date]])</f>
        <v>6</v>
      </c>
      <c r="J621" t="str">
        <f t="shared" si="37"/>
        <v>Q2</v>
      </c>
      <c r="K621" t="str">
        <f t="shared" si="38"/>
        <v>Jun-2021</v>
      </c>
      <c r="L621" t="str">
        <f t="shared" si="39"/>
        <v>Low</v>
      </c>
    </row>
    <row r="622" spans="1:12" x14ac:dyDescent="0.3">
      <c r="A622">
        <v>2021</v>
      </c>
      <c r="B622" s="2" t="s">
        <v>22</v>
      </c>
      <c r="C622" t="s">
        <v>16</v>
      </c>
      <c r="D622" t="s">
        <v>13</v>
      </c>
      <c r="E622">
        <v>10.07</v>
      </c>
      <c r="F622">
        <v>156</v>
      </c>
      <c r="G622">
        <v>3.02</v>
      </c>
      <c r="H622" s="3">
        <f t="shared" si="36"/>
        <v>44348</v>
      </c>
      <c r="I622">
        <f>MONTH(Table1[[#This Row],[Date]])</f>
        <v>6</v>
      </c>
      <c r="J622" t="str">
        <f t="shared" si="37"/>
        <v>Q2</v>
      </c>
      <c r="K622" t="str">
        <f t="shared" si="38"/>
        <v>Jun-2021</v>
      </c>
      <c r="L622" t="str">
        <f t="shared" si="39"/>
        <v>Medium</v>
      </c>
    </row>
    <row r="623" spans="1:12" x14ac:dyDescent="0.3">
      <c r="A623">
        <v>2021</v>
      </c>
      <c r="B623" s="2" t="s">
        <v>22</v>
      </c>
      <c r="C623" t="s">
        <v>16</v>
      </c>
      <c r="D623" t="s">
        <v>14</v>
      </c>
      <c r="E623">
        <v>6.84</v>
      </c>
      <c r="F623">
        <v>158</v>
      </c>
      <c r="G623">
        <v>3.1</v>
      </c>
      <c r="H623" s="3">
        <f t="shared" si="36"/>
        <v>44348</v>
      </c>
      <c r="I623">
        <f>MONTH(Table1[[#This Row],[Date]])</f>
        <v>6</v>
      </c>
      <c r="J623" t="str">
        <f t="shared" si="37"/>
        <v>Q2</v>
      </c>
      <c r="K623" t="str">
        <f t="shared" si="38"/>
        <v>Jun-2021</v>
      </c>
      <c r="L623" t="str">
        <f t="shared" si="39"/>
        <v>Medium</v>
      </c>
    </row>
    <row r="624" spans="1:12" x14ac:dyDescent="0.3">
      <c r="A624">
        <v>2021</v>
      </c>
      <c r="B624" s="2" t="s">
        <v>22</v>
      </c>
      <c r="C624" t="s">
        <v>16</v>
      </c>
      <c r="D624" t="s">
        <v>15</v>
      </c>
      <c r="E624">
        <v>28.32</v>
      </c>
      <c r="F624">
        <v>160</v>
      </c>
      <c r="G624">
        <v>3.18</v>
      </c>
      <c r="H624" s="3">
        <f t="shared" si="36"/>
        <v>44348</v>
      </c>
      <c r="I624">
        <f>MONTH(Table1[[#This Row],[Date]])</f>
        <v>6</v>
      </c>
      <c r="J624" t="str">
        <f t="shared" si="37"/>
        <v>Q2</v>
      </c>
      <c r="K624" t="str">
        <f t="shared" si="38"/>
        <v>Jun-2021</v>
      </c>
      <c r="L624" t="str">
        <f t="shared" si="39"/>
        <v>Medium</v>
      </c>
    </row>
    <row r="625" spans="1:12" x14ac:dyDescent="0.3">
      <c r="A625">
        <v>2021</v>
      </c>
      <c r="B625" s="2" t="s">
        <v>22</v>
      </c>
      <c r="C625" t="s">
        <v>17</v>
      </c>
      <c r="D625" t="s">
        <v>9</v>
      </c>
      <c r="E625">
        <v>100</v>
      </c>
      <c r="F625">
        <v>148.6</v>
      </c>
      <c r="G625">
        <v>2.7</v>
      </c>
      <c r="H625" s="3">
        <f t="shared" si="36"/>
        <v>44348</v>
      </c>
      <c r="I625">
        <f>MONTH(Table1[[#This Row],[Date]])</f>
        <v>6</v>
      </c>
      <c r="J625" t="str">
        <f t="shared" si="37"/>
        <v>Q2</v>
      </c>
      <c r="K625" t="str">
        <f t="shared" si="38"/>
        <v>Jun-2021</v>
      </c>
      <c r="L625" t="str">
        <f t="shared" si="39"/>
        <v>Low</v>
      </c>
    </row>
    <row r="626" spans="1:12" x14ac:dyDescent="0.3">
      <c r="A626">
        <v>2021</v>
      </c>
      <c r="B626" s="2" t="s">
        <v>22</v>
      </c>
      <c r="C626" t="s">
        <v>17</v>
      </c>
      <c r="D626" t="s">
        <v>10</v>
      </c>
      <c r="E626">
        <v>45.86</v>
      </c>
      <c r="F626">
        <v>150.6</v>
      </c>
      <c r="G626">
        <v>2.78</v>
      </c>
      <c r="H626" s="3">
        <f t="shared" si="36"/>
        <v>44348</v>
      </c>
      <c r="I626">
        <f>MONTH(Table1[[#This Row],[Date]])</f>
        <v>6</v>
      </c>
      <c r="J626" t="str">
        <f t="shared" si="37"/>
        <v>Q2</v>
      </c>
      <c r="K626" t="str">
        <f t="shared" si="38"/>
        <v>Jun-2021</v>
      </c>
      <c r="L626" t="str">
        <f t="shared" si="39"/>
        <v>Low</v>
      </c>
    </row>
    <row r="627" spans="1:12" x14ac:dyDescent="0.3">
      <c r="A627">
        <v>2021</v>
      </c>
      <c r="B627" s="2" t="s">
        <v>22</v>
      </c>
      <c r="C627" t="s">
        <v>17</v>
      </c>
      <c r="D627" t="s">
        <v>11</v>
      </c>
      <c r="E627">
        <v>2.38</v>
      </c>
      <c r="F627">
        <v>152.6</v>
      </c>
      <c r="G627">
        <v>2.86</v>
      </c>
      <c r="H627" s="3">
        <f t="shared" si="36"/>
        <v>44348</v>
      </c>
      <c r="I627">
        <f>MONTH(Table1[[#This Row],[Date]])</f>
        <v>6</v>
      </c>
      <c r="J627" t="str">
        <f t="shared" si="37"/>
        <v>Q2</v>
      </c>
      <c r="K627" t="str">
        <f t="shared" si="38"/>
        <v>Jun-2021</v>
      </c>
      <c r="L627" t="str">
        <f t="shared" si="39"/>
        <v>Low</v>
      </c>
    </row>
    <row r="628" spans="1:12" x14ac:dyDescent="0.3">
      <c r="A628">
        <v>2021</v>
      </c>
      <c r="B628" s="2" t="s">
        <v>22</v>
      </c>
      <c r="C628" t="s">
        <v>17</v>
      </c>
      <c r="D628" t="s">
        <v>12</v>
      </c>
      <c r="E628">
        <v>6.53</v>
      </c>
      <c r="F628">
        <v>154.6</v>
      </c>
      <c r="G628">
        <v>2.94</v>
      </c>
      <c r="H628" s="3">
        <f t="shared" si="36"/>
        <v>44348</v>
      </c>
      <c r="I628">
        <f>MONTH(Table1[[#This Row],[Date]])</f>
        <v>6</v>
      </c>
      <c r="J628" t="str">
        <f t="shared" si="37"/>
        <v>Q2</v>
      </c>
      <c r="K628" t="str">
        <f t="shared" si="38"/>
        <v>Jun-2021</v>
      </c>
      <c r="L628" t="str">
        <f t="shared" si="39"/>
        <v>Low</v>
      </c>
    </row>
    <row r="629" spans="1:12" x14ac:dyDescent="0.3">
      <c r="A629">
        <v>2021</v>
      </c>
      <c r="B629" s="2" t="s">
        <v>22</v>
      </c>
      <c r="C629" t="s">
        <v>17</v>
      </c>
      <c r="D629" t="s">
        <v>13</v>
      </c>
      <c r="E629">
        <v>10.07</v>
      </c>
      <c r="F629">
        <v>156.6</v>
      </c>
      <c r="G629">
        <v>3.02</v>
      </c>
      <c r="H629" s="3">
        <f t="shared" si="36"/>
        <v>44348</v>
      </c>
      <c r="I629">
        <f>MONTH(Table1[[#This Row],[Date]])</f>
        <v>6</v>
      </c>
      <c r="J629" t="str">
        <f t="shared" si="37"/>
        <v>Q2</v>
      </c>
      <c r="K629" t="str">
        <f t="shared" si="38"/>
        <v>Jun-2021</v>
      </c>
      <c r="L629" t="str">
        <f t="shared" si="39"/>
        <v>Medium</v>
      </c>
    </row>
    <row r="630" spans="1:12" x14ac:dyDescent="0.3">
      <c r="A630">
        <v>2021</v>
      </c>
      <c r="B630" s="2" t="s">
        <v>22</v>
      </c>
      <c r="C630" t="s">
        <v>17</v>
      </c>
      <c r="D630" t="s">
        <v>14</v>
      </c>
      <c r="E630">
        <v>6.84</v>
      </c>
      <c r="F630">
        <v>158.6</v>
      </c>
      <c r="G630">
        <v>3.1</v>
      </c>
      <c r="H630" s="3">
        <f t="shared" si="36"/>
        <v>44348</v>
      </c>
      <c r="I630">
        <f>MONTH(Table1[[#This Row],[Date]])</f>
        <v>6</v>
      </c>
      <c r="J630" t="str">
        <f t="shared" si="37"/>
        <v>Q2</v>
      </c>
      <c r="K630" t="str">
        <f t="shared" si="38"/>
        <v>Jun-2021</v>
      </c>
      <c r="L630" t="str">
        <f t="shared" si="39"/>
        <v>Medium</v>
      </c>
    </row>
    <row r="631" spans="1:12" x14ac:dyDescent="0.3">
      <c r="A631">
        <v>2021</v>
      </c>
      <c r="B631" s="2" t="s">
        <v>22</v>
      </c>
      <c r="C631" t="s">
        <v>17</v>
      </c>
      <c r="D631" t="s">
        <v>15</v>
      </c>
      <c r="E631">
        <v>28.32</v>
      </c>
      <c r="F631">
        <v>160.6</v>
      </c>
      <c r="G631">
        <v>3.18</v>
      </c>
      <c r="H631" s="3">
        <f t="shared" si="36"/>
        <v>44348</v>
      </c>
      <c r="I631">
        <f>MONTH(Table1[[#This Row],[Date]])</f>
        <v>6</v>
      </c>
      <c r="J631" t="str">
        <f t="shared" si="37"/>
        <v>Q2</v>
      </c>
      <c r="K631" t="str">
        <f t="shared" si="38"/>
        <v>Jun-2021</v>
      </c>
      <c r="L631" t="str">
        <f t="shared" si="39"/>
        <v>Medium</v>
      </c>
    </row>
    <row r="632" spans="1:12" x14ac:dyDescent="0.3">
      <c r="A632">
        <v>2021</v>
      </c>
      <c r="B632" s="2" t="s">
        <v>23</v>
      </c>
      <c r="C632" t="s">
        <v>8</v>
      </c>
      <c r="D632" t="s">
        <v>9</v>
      </c>
      <c r="E632">
        <v>100</v>
      </c>
      <c r="F632">
        <v>147.80000000000001</v>
      </c>
      <c r="G632">
        <v>2.85</v>
      </c>
      <c r="H632" s="3">
        <f t="shared" si="36"/>
        <v>44378</v>
      </c>
      <c r="I632">
        <f>MONTH(Table1[[#This Row],[Date]])</f>
        <v>7</v>
      </c>
      <c r="J632" t="str">
        <f t="shared" si="37"/>
        <v>Q3</v>
      </c>
      <c r="K632" t="str">
        <f t="shared" si="38"/>
        <v>Jul-2021</v>
      </c>
      <c r="L632" t="str">
        <f t="shared" si="39"/>
        <v>Low</v>
      </c>
    </row>
    <row r="633" spans="1:12" x14ac:dyDescent="0.3">
      <c r="A633">
        <v>2021</v>
      </c>
      <c r="B633" s="2" t="s">
        <v>23</v>
      </c>
      <c r="C633" t="s">
        <v>8</v>
      </c>
      <c r="D633" t="s">
        <v>10</v>
      </c>
      <c r="E633">
        <v>45.86</v>
      </c>
      <c r="F633">
        <v>149.80000000000001</v>
      </c>
      <c r="G633">
        <v>2.93</v>
      </c>
      <c r="H633" s="3">
        <f t="shared" si="36"/>
        <v>44378</v>
      </c>
      <c r="I633">
        <f>MONTH(Table1[[#This Row],[Date]])</f>
        <v>7</v>
      </c>
      <c r="J633" t="str">
        <f t="shared" si="37"/>
        <v>Q3</v>
      </c>
      <c r="K633" t="str">
        <f t="shared" si="38"/>
        <v>Jul-2021</v>
      </c>
      <c r="L633" t="str">
        <f t="shared" si="39"/>
        <v>Low</v>
      </c>
    </row>
    <row r="634" spans="1:12" x14ac:dyDescent="0.3">
      <c r="A634">
        <v>2021</v>
      </c>
      <c r="B634" s="2" t="s">
        <v>23</v>
      </c>
      <c r="C634" t="s">
        <v>8</v>
      </c>
      <c r="D634" t="s">
        <v>11</v>
      </c>
      <c r="E634">
        <v>2.38</v>
      </c>
      <c r="F634">
        <v>151.80000000000001</v>
      </c>
      <c r="G634">
        <v>3.01</v>
      </c>
      <c r="H634" s="3">
        <f t="shared" si="36"/>
        <v>44378</v>
      </c>
      <c r="I634">
        <f>MONTH(Table1[[#This Row],[Date]])</f>
        <v>7</v>
      </c>
      <c r="J634" t="str">
        <f t="shared" si="37"/>
        <v>Q3</v>
      </c>
      <c r="K634" t="str">
        <f t="shared" si="38"/>
        <v>Jul-2021</v>
      </c>
      <c r="L634" t="str">
        <f t="shared" si="39"/>
        <v>Medium</v>
      </c>
    </row>
    <row r="635" spans="1:12" x14ac:dyDescent="0.3">
      <c r="A635">
        <v>2021</v>
      </c>
      <c r="B635" s="2" t="s">
        <v>23</v>
      </c>
      <c r="C635" t="s">
        <v>8</v>
      </c>
      <c r="D635" t="s">
        <v>12</v>
      </c>
      <c r="E635">
        <v>6.53</v>
      </c>
      <c r="F635">
        <v>153.80000000000001</v>
      </c>
      <c r="G635">
        <v>3.09</v>
      </c>
      <c r="H635" s="3">
        <f t="shared" si="36"/>
        <v>44378</v>
      </c>
      <c r="I635">
        <f>MONTH(Table1[[#This Row],[Date]])</f>
        <v>7</v>
      </c>
      <c r="J635" t="str">
        <f t="shared" si="37"/>
        <v>Q3</v>
      </c>
      <c r="K635" t="str">
        <f t="shared" si="38"/>
        <v>Jul-2021</v>
      </c>
      <c r="L635" t="str">
        <f t="shared" si="39"/>
        <v>Medium</v>
      </c>
    </row>
    <row r="636" spans="1:12" x14ac:dyDescent="0.3">
      <c r="A636">
        <v>2021</v>
      </c>
      <c r="B636" s="2" t="s">
        <v>23</v>
      </c>
      <c r="C636" t="s">
        <v>8</v>
      </c>
      <c r="D636" t="s">
        <v>13</v>
      </c>
      <c r="E636">
        <v>10.07</v>
      </c>
      <c r="F636">
        <v>155.80000000000001</v>
      </c>
      <c r="G636">
        <v>3.17</v>
      </c>
      <c r="H636" s="3">
        <f t="shared" si="36"/>
        <v>44378</v>
      </c>
      <c r="I636">
        <f>MONTH(Table1[[#This Row],[Date]])</f>
        <v>7</v>
      </c>
      <c r="J636" t="str">
        <f t="shared" si="37"/>
        <v>Q3</v>
      </c>
      <c r="K636" t="str">
        <f t="shared" si="38"/>
        <v>Jul-2021</v>
      </c>
      <c r="L636" t="str">
        <f t="shared" si="39"/>
        <v>Medium</v>
      </c>
    </row>
    <row r="637" spans="1:12" x14ac:dyDescent="0.3">
      <c r="A637">
        <v>2021</v>
      </c>
      <c r="B637" s="2" t="s">
        <v>23</v>
      </c>
      <c r="C637" t="s">
        <v>8</v>
      </c>
      <c r="D637" t="s">
        <v>14</v>
      </c>
      <c r="E637">
        <v>6.84</v>
      </c>
      <c r="F637">
        <v>157.80000000000001</v>
      </c>
      <c r="G637">
        <v>3.25</v>
      </c>
      <c r="H637" s="3">
        <f t="shared" si="36"/>
        <v>44378</v>
      </c>
      <c r="I637">
        <f>MONTH(Table1[[#This Row],[Date]])</f>
        <v>7</v>
      </c>
      <c r="J637" t="str">
        <f t="shared" si="37"/>
        <v>Q3</v>
      </c>
      <c r="K637" t="str">
        <f t="shared" si="38"/>
        <v>Jul-2021</v>
      </c>
      <c r="L637" t="str">
        <f t="shared" si="39"/>
        <v>Medium</v>
      </c>
    </row>
    <row r="638" spans="1:12" x14ac:dyDescent="0.3">
      <c r="A638">
        <v>2021</v>
      </c>
      <c r="B638" s="2" t="s">
        <v>23</v>
      </c>
      <c r="C638" t="s">
        <v>8</v>
      </c>
      <c r="D638" t="s">
        <v>15</v>
      </c>
      <c r="E638">
        <v>28.32</v>
      </c>
      <c r="F638">
        <v>159.80000000000001</v>
      </c>
      <c r="G638">
        <v>3.33</v>
      </c>
      <c r="H638" s="3">
        <f t="shared" si="36"/>
        <v>44378</v>
      </c>
      <c r="I638">
        <f>MONTH(Table1[[#This Row],[Date]])</f>
        <v>7</v>
      </c>
      <c r="J638" t="str">
        <f t="shared" si="37"/>
        <v>Q3</v>
      </c>
      <c r="K638" t="str">
        <f t="shared" si="38"/>
        <v>Jul-2021</v>
      </c>
      <c r="L638" t="str">
        <f t="shared" si="39"/>
        <v>Medium</v>
      </c>
    </row>
    <row r="639" spans="1:12" x14ac:dyDescent="0.3">
      <c r="A639">
        <v>2021</v>
      </c>
      <c r="B639" s="2" t="s">
        <v>23</v>
      </c>
      <c r="C639" t="s">
        <v>16</v>
      </c>
      <c r="D639" t="s">
        <v>9</v>
      </c>
      <c r="E639">
        <v>100</v>
      </c>
      <c r="F639">
        <v>148.4</v>
      </c>
      <c r="G639">
        <v>2.85</v>
      </c>
      <c r="H639" s="3">
        <f t="shared" si="36"/>
        <v>44378</v>
      </c>
      <c r="I639">
        <f>MONTH(Table1[[#This Row],[Date]])</f>
        <v>7</v>
      </c>
      <c r="J639" t="str">
        <f t="shared" si="37"/>
        <v>Q3</v>
      </c>
      <c r="K639" t="str">
        <f t="shared" si="38"/>
        <v>Jul-2021</v>
      </c>
      <c r="L639" t="str">
        <f t="shared" si="39"/>
        <v>Low</v>
      </c>
    </row>
    <row r="640" spans="1:12" x14ac:dyDescent="0.3">
      <c r="A640">
        <v>2021</v>
      </c>
      <c r="B640" s="2" t="s">
        <v>23</v>
      </c>
      <c r="C640" t="s">
        <v>16</v>
      </c>
      <c r="D640" t="s">
        <v>10</v>
      </c>
      <c r="E640">
        <v>45.86</v>
      </c>
      <c r="F640">
        <v>150.4</v>
      </c>
      <c r="G640">
        <v>2.93</v>
      </c>
      <c r="H640" s="3">
        <f t="shared" si="36"/>
        <v>44378</v>
      </c>
      <c r="I640">
        <f>MONTH(Table1[[#This Row],[Date]])</f>
        <v>7</v>
      </c>
      <c r="J640" t="str">
        <f t="shared" si="37"/>
        <v>Q3</v>
      </c>
      <c r="K640" t="str">
        <f t="shared" si="38"/>
        <v>Jul-2021</v>
      </c>
      <c r="L640" t="str">
        <f t="shared" si="39"/>
        <v>Low</v>
      </c>
    </row>
    <row r="641" spans="1:12" x14ac:dyDescent="0.3">
      <c r="A641">
        <v>2021</v>
      </c>
      <c r="B641" s="2" t="s">
        <v>23</v>
      </c>
      <c r="C641" t="s">
        <v>16</v>
      </c>
      <c r="D641" t="s">
        <v>11</v>
      </c>
      <c r="E641">
        <v>2.38</v>
      </c>
      <c r="F641">
        <v>152.4</v>
      </c>
      <c r="G641">
        <v>3.01</v>
      </c>
      <c r="H641" s="3">
        <f t="shared" si="36"/>
        <v>44378</v>
      </c>
      <c r="I641">
        <f>MONTH(Table1[[#This Row],[Date]])</f>
        <v>7</v>
      </c>
      <c r="J641" t="str">
        <f t="shared" si="37"/>
        <v>Q3</v>
      </c>
      <c r="K641" t="str">
        <f t="shared" si="38"/>
        <v>Jul-2021</v>
      </c>
      <c r="L641" t="str">
        <f t="shared" si="39"/>
        <v>Medium</v>
      </c>
    </row>
    <row r="642" spans="1:12" x14ac:dyDescent="0.3">
      <c r="A642">
        <v>2021</v>
      </c>
      <c r="B642" s="2" t="s">
        <v>23</v>
      </c>
      <c r="C642" t="s">
        <v>16</v>
      </c>
      <c r="D642" t="s">
        <v>12</v>
      </c>
      <c r="E642">
        <v>6.53</v>
      </c>
      <c r="F642">
        <v>154.4</v>
      </c>
      <c r="G642">
        <v>3.09</v>
      </c>
      <c r="H642" s="3">
        <f t="shared" ref="H642:H705" si="40">DATE(A642,MONTH(DATEVALUE(B642&amp;" 1")),1)</f>
        <v>44378</v>
      </c>
      <c r="I642">
        <f>MONTH(Table1[[#This Row],[Date]])</f>
        <v>7</v>
      </c>
      <c r="J642" t="str">
        <f t="shared" ref="J642:J705" si="41">"Q"&amp;ROUNDUP(MONTH(H642)/3,0)</f>
        <v>Q3</v>
      </c>
      <c r="K642" t="str">
        <f t="shared" ref="K642:K705" si="42">TEXT(H642,"mmm-yyyy")</f>
        <v>Jul-2021</v>
      </c>
      <c r="L642" t="str">
        <f t="shared" ref="L642:L705" si="43">IF(G642&lt;3,"Low",IF(G642&lt;4,"Medium","High"))</f>
        <v>Medium</v>
      </c>
    </row>
    <row r="643" spans="1:12" x14ac:dyDescent="0.3">
      <c r="A643">
        <v>2021</v>
      </c>
      <c r="B643" s="2" t="s">
        <v>23</v>
      </c>
      <c r="C643" t="s">
        <v>16</v>
      </c>
      <c r="D643" t="s">
        <v>13</v>
      </c>
      <c r="E643">
        <v>10.07</v>
      </c>
      <c r="F643">
        <v>156.4</v>
      </c>
      <c r="G643">
        <v>3.17</v>
      </c>
      <c r="H643" s="3">
        <f t="shared" si="40"/>
        <v>44378</v>
      </c>
      <c r="I643">
        <f>MONTH(Table1[[#This Row],[Date]])</f>
        <v>7</v>
      </c>
      <c r="J643" t="str">
        <f t="shared" si="41"/>
        <v>Q3</v>
      </c>
      <c r="K643" t="str">
        <f t="shared" si="42"/>
        <v>Jul-2021</v>
      </c>
      <c r="L643" t="str">
        <f t="shared" si="43"/>
        <v>Medium</v>
      </c>
    </row>
    <row r="644" spans="1:12" x14ac:dyDescent="0.3">
      <c r="A644">
        <v>2021</v>
      </c>
      <c r="B644" s="2" t="s">
        <v>23</v>
      </c>
      <c r="C644" t="s">
        <v>16</v>
      </c>
      <c r="D644" t="s">
        <v>14</v>
      </c>
      <c r="E644">
        <v>6.84</v>
      </c>
      <c r="F644">
        <v>158.4</v>
      </c>
      <c r="G644">
        <v>3.25</v>
      </c>
      <c r="H644" s="3">
        <f t="shared" si="40"/>
        <v>44378</v>
      </c>
      <c r="I644">
        <f>MONTH(Table1[[#This Row],[Date]])</f>
        <v>7</v>
      </c>
      <c r="J644" t="str">
        <f t="shared" si="41"/>
        <v>Q3</v>
      </c>
      <c r="K644" t="str">
        <f t="shared" si="42"/>
        <v>Jul-2021</v>
      </c>
      <c r="L644" t="str">
        <f t="shared" si="43"/>
        <v>Medium</v>
      </c>
    </row>
    <row r="645" spans="1:12" x14ac:dyDescent="0.3">
      <c r="A645">
        <v>2021</v>
      </c>
      <c r="B645" s="2" t="s">
        <v>23</v>
      </c>
      <c r="C645" t="s">
        <v>16</v>
      </c>
      <c r="D645" t="s">
        <v>15</v>
      </c>
      <c r="E645">
        <v>28.32</v>
      </c>
      <c r="F645">
        <v>160.4</v>
      </c>
      <c r="G645">
        <v>3.33</v>
      </c>
      <c r="H645" s="3">
        <f t="shared" si="40"/>
        <v>44378</v>
      </c>
      <c r="I645">
        <f>MONTH(Table1[[#This Row],[Date]])</f>
        <v>7</v>
      </c>
      <c r="J645" t="str">
        <f t="shared" si="41"/>
        <v>Q3</v>
      </c>
      <c r="K645" t="str">
        <f t="shared" si="42"/>
        <v>Jul-2021</v>
      </c>
      <c r="L645" t="str">
        <f t="shared" si="43"/>
        <v>Medium</v>
      </c>
    </row>
    <row r="646" spans="1:12" x14ac:dyDescent="0.3">
      <c r="A646">
        <v>2021</v>
      </c>
      <c r="B646" s="2" t="s">
        <v>23</v>
      </c>
      <c r="C646" t="s">
        <v>17</v>
      </c>
      <c r="D646" t="s">
        <v>9</v>
      </c>
      <c r="E646">
        <v>100</v>
      </c>
      <c r="F646">
        <v>149</v>
      </c>
      <c r="G646">
        <v>2.85</v>
      </c>
      <c r="H646" s="3">
        <f t="shared" si="40"/>
        <v>44378</v>
      </c>
      <c r="I646">
        <f>MONTH(Table1[[#This Row],[Date]])</f>
        <v>7</v>
      </c>
      <c r="J646" t="str">
        <f t="shared" si="41"/>
        <v>Q3</v>
      </c>
      <c r="K646" t="str">
        <f t="shared" si="42"/>
        <v>Jul-2021</v>
      </c>
      <c r="L646" t="str">
        <f t="shared" si="43"/>
        <v>Low</v>
      </c>
    </row>
    <row r="647" spans="1:12" x14ac:dyDescent="0.3">
      <c r="A647">
        <v>2021</v>
      </c>
      <c r="B647" s="2" t="s">
        <v>23</v>
      </c>
      <c r="C647" t="s">
        <v>17</v>
      </c>
      <c r="D647" t="s">
        <v>10</v>
      </c>
      <c r="E647">
        <v>45.86</v>
      </c>
      <c r="F647">
        <v>151</v>
      </c>
      <c r="G647">
        <v>2.93</v>
      </c>
      <c r="H647" s="3">
        <f t="shared" si="40"/>
        <v>44378</v>
      </c>
      <c r="I647">
        <f>MONTH(Table1[[#This Row],[Date]])</f>
        <v>7</v>
      </c>
      <c r="J647" t="str">
        <f t="shared" si="41"/>
        <v>Q3</v>
      </c>
      <c r="K647" t="str">
        <f t="shared" si="42"/>
        <v>Jul-2021</v>
      </c>
      <c r="L647" t="str">
        <f t="shared" si="43"/>
        <v>Low</v>
      </c>
    </row>
    <row r="648" spans="1:12" x14ac:dyDescent="0.3">
      <c r="A648">
        <v>2021</v>
      </c>
      <c r="B648" s="2" t="s">
        <v>23</v>
      </c>
      <c r="C648" t="s">
        <v>17</v>
      </c>
      <c r="D648" t="s">
        <v>11</v>
      </c>
      <c r="E648">
        <v>2.38</v>
      </c>
      <c r="F648">
        <v>153</v>
      </c>
      <c r="G648">
        <v>3.01</v>
      </c>
      <c r="H648" s="3">
        <f t="shared" si="40"/>
        <v>44378</v>
      </c>
      <c r="I648">
        <f>MONTH(Table1[[#This Row],[Date]])</f>
        <v>7</v>
      </c>
      <c r="J648" t="str">
        <f t="shared" si="41"/>
        <v>Q3</v>
      </c>
      <c r="K648" t="str">
        <f t="shared" si="42"/>
        <v>Jul-2021</v>
      </c>
      <c r="L648" t="str">
        <f t="shared" si="43"/>
        <v>Medium</v>
      </c>
    </row>
    <row r="649" spans="1:12" x14ac:dyDescent="0.3">
      <c r="A649">
        <v>2021</v>
      </c>
      <c r="B649" s="2" t="s">
        <v>23</v>
      </c>
      <c r="C649" t="s">
        <v>17</v>
      </c>
      <c r="D649" t="s">
        <v>12</v>
      </c>
      <c r="E649">
        <v>6.53</v>
      </c>
      <c r="F649">
        <v>155</v>
      </c>
      <c r="G649">
        <v>3.09</v>
      </c>
      <c r="H649" s="3">
        <f t="shared" si="40"/>
        <v>44378</v>
      </c>
      <c r="I649">
        <f>MONTH(Table1[[#This Row],[Date]])</f>
        <v>7</v>
      </c>
      <c r="J649" t="str">
        <f t="shared" si="41"/>
        <v>Q3</v>
      </c>
      <c r="K649" t="str">
        <f t="shared" si="42"/>
        <v>Jul-2021</v>
      </c>
      <c r="L649" t="str">
        <f t="shared" si="43"/>
        <v>Medium</v>
      </c>
    </row>
    <row r="650" spans="1:12" x14ac:dyDescent="0.3">
      <c r="A650">
        <v>2021</v>
      </c>
      <c r="B650" s="2" t="s">
        <v>23</v>
      </c>
      <c r="C650" t="s">
        <v>17</v>
      </c>
      <c r="D650" t="s">
        <v>13</v>
      </c>
      <c r="E650">
        <v>10.07</v>
      </c>
      <c r="F650">
        <v>157</v>
      </c>
      <c r="G650">
        <v>3.17</v>
      </c>
      <c r="H650" s="3">
        <f t="shared" si="40"/>
        <v>44378</v>
      </c>
      <c r="I650">
        <f>MONTH(Table1[[#This Row],[Date]])</f>
        <v>7</v>
      </c>
      <c r="J650" t="str">
        <f t="shared" si="41"/>
        <v>Q3</v>
      </c>
      <c r="K650" t="str">
        <f t="shared" si="42"/>
        <v>Jul-2021</v>
      </c>
      <c r="L650" t="str">
        <f t="shared" si="43"/>
        <v>Medium</v>
      </c>
    </row>
    <row r="651" spans="1:12" x14ac:dyDescent="0.3">
      <c r="A651">
        <v>2021</v>
      </c>
      <c r="B651" s="2" t="s">
        <v>23</v>
      </c>
      <c r="C651" t="s">
        <v>17</v>
      </c>
      <c r="D651" t="s">
        <v>14</v>
      </c>
      <c r="E651">
        <v>6.84</v>
      </c>
      <c r="F651">
        <v>159</v>
      </c>
      <c r="G651">
        <v>3.25</v>
      </c>
      <c r="H651" s="3">
        <f t="shared" si="40"/>
        <v>44378</v>
      </c>
      <c r="I651">
        <f>MONTH(Table1[[#This Row],[Date]])</f>
        <v>7</v>
      </c>
      <c r="J651" t="str">
        <f t="shared" si="41"/>
        <v>Q3</v>
      </c>
      <c r="K651" t="str">
        <f t="shared" si="42"/>
        <v>Jul-2021</v>
      </c>
      <c r="L651" t="str">
        <f t="shared" si="43"/>
        <v>Medium</v>
      </c>
    </row>
    <row r="652" spans="1:12" x14ac:dyDescent="0.3">
      <c r="A652">
        <v>2021</v>
      </c>
      <c r="B652" s="2" t="s">
        <v>23</v>
      </c>
      <c r="C652" t="s">
        <v>17</v>
      </c>
      <c r="D652" t="s">
        <v>15</v>
      </c>
      <c r="E652">
        <v>28.32</v>
      </c>
      <c r="F652">
        <v>161</v>
      </c>
      <c r="G652">
        <v>3.33</v>
      </c>
      <c r="H652" s="3">
        <f t="shared" si="40"/>
        <v>44378</v>
      </c>
      <c r="I652">
        <f>MONTH(Table1[[#This Row],[Date]])</f>
        <v>7</v>
      </c>
      <c r="J652" t="str">
        <f t="shared" si="41"/>
        <v>Q3</v>
      </c>
      <c r="K652" t="str">
        <f t="shared" si="42"/>
        <v>Jul-2021</v>
      </c>
      <c r="L652" t="str">
        <f t="shared" si="43"/>
        <v>Medium</v>
      </c>
    </row>
    <row r="653" spans="1:12" x14ac:dyDescent="0.3">
      <c r="A653">
        <v>2021</v>
      </c>
      <c r="B653" s="2" t="s">
        <v>24</v>
      </c>
      <c r="C653" t="s">
        <v>8</v>
      </c>
      <c r="D653" t="s">
        <v>9</v>
      </c>
      <c r="E653">
        <v>100</v>
      </c>
      <c r="F653">
        <v>148.19999999999999</v>
      </c>
      <c r="G653">
        <v>3</v>
      </c>
      <c r="H653" s="3">
        <f t="shared" si="40"/>
        <v>44409</v>
      </c>
      <c r="I653">
        <f>MONTH(Table1[[#This Row],[Date]])</f>
        <v>8</v>
      </c>
      <c r="J653" t="str">
        <f t="shared" si="41"/>
        <v>Q3</v>
      </c>
      <c r="K653" t="str">
        <f t="shared" si="42"/>
        <v>Aug-2021</v>
      </c>
      <c r="L653" t="str">
        <f t="shared" si="43"/>
        <v>Medium</v>
      </c>
    </row>
    <row r="654" spans="1:12" x14ac:dyDescent="0.3">
      <c r="A654">
        <v>2021</v>
      </c>
      <c r="B654" s="2" t="s">
        <v>24</v>
      </c>
      <c r="C654" t="s">
        <v>8</v>
      </c>
      <c r="D654" t="s">
        <v>10</v>
      </c>
      <c r="E654">
        <v>45.86</v>
      </c>
      <c r="F654">
        <v>150.19999999999999</v>
      </c>
      <c r="G654">
        <v>3.08</v>
      </c>
      <c r="H654" s="3">
        <f t="shared" si="40"/>
        <v>44409</v>
      </c>
      <c r="I654">
        <f>MONTH(Table1[[#This Row],[Date]])</f>
        <v>8</v>
      </c>
      <c r="J654" t="str">
        <f t="shared" si="41"/>
        <v>Q3</v>
      </c>
      <c r="K654" t="str">
        <f t="shared" si="42"/>
        <v>Aug-2021</v>
      </c>
      <c r="L654" t="str">
        <f t="shared" si="43"/>
        <v>Medium</v>
      </c>
    </row>
    <row r="655" spans="1:12" x14ac:dyDescent="0.3">
      <c r="A655">
        <v>2021</v>
      </c>
      <c r="B655" s="2" t="s">
        <v>24</v>
      </c>
      <c r="C655" t="s">
        <v>8</v>
      </c>
      <c r="D655" t="s">
        <v>11</v>
      </c>
      <c r="E655">
        <v>2.38</v>
      </c>
      <c r="F655">
        <v>152.19999999999999</v>
      </c>
      <c r="G655">
        <v>3.16</v>
      </c>
      <c r="H655" s="3">
        <f t="shared" si="40"/>
        <v>44409</v>
      </c>
      <c r="I655">
        <f>MONTH(Table1[[#This Row],[Date]])</f>
        <v>8</v>
      </c>
      <c r="J655" t="str">
        <f t="shared" si="41"/>
        <v>Q3</v>
      </c>
      <c r="K655" t="str">
        <f t="shared" si="42"/>
        <v>Aug-2021</v>
      </c>
      <c r="L655" t="str">
        <f t="shared" si="43"/>
        <v>Medium</v>
      </c>
    </row>
    <row r="656" spans="1:12" x14ac:dyDescent="0.3">
      <c r="A656">
        <v>2021</v>
      </c>
      <c r="B656" s="2" t="s">
        <v>24</v>
      </c>
      <c r="C656" t="s">
        <v>8</v>
      </c>
      <c r="D656" t="s">
        <v>12</v>
      </c>
      <c r="E656">
        <v>6.53</v>
      </c>
      <c r="F656">
        <v>154.19999999999999</v>
      </c>
      <c r="G656">
        <v>3.24</v>
      </c>
      <c r="H656" s="3">
        <f t="shared" si="40"/>
        <v>44409</v>
      </c>
      <c r="I656">
        <f>MONTH(Table1[[#This Row],[Date]])</f>
        <v>8</v>
      </c>
      <c r="J656" t="str">
        <f t="shared" si="41"/>
        <v>Q3</v>
      </c>
      <c r="K656" t="str">
        <f t="shared" si="42"/>
        <v>Aug-2021</v>
      </c>
      <c r="L656" t="str">
        <f t="shared" si="43"/>
        <v>Medium</v>
      </c>
    </row>
    <row r="657" spans="1:12" x14ac:dyDescent="0.3">
      <c r="A657">
        <v>2021</v>
      </c>
      <c r="B657" s="2" t="s">
        <v>24</v>
      </c>
      <c r="C657" t="s">
        <v>8</v>
      </c>
      <c r="D657" t="s">
        <v>13</v>
      </c>
      <c r="E657">
        <v>10.07</v>
      </c>
      <c r="F657">
        <v>156.19999999999999</v>
      </c>
      <c r="G657">
        <v>3.32</v>
      </c>
      <c r="H657" s="3">
        <f t="shared" si="40"/>
        <v>44409</v>
      </c>
      <c r="I657">
        <f>MONTH(Table1[[#This Row],[Date]])</f>
        <v>8</v>
      </c>
      <c r="J657" t="str">
        <f t="shared" si="41"/>
        <v>Q3</v>
      </c>
      <c r="K657" t="str">
        <f t="shared" si="42"/>
        <v>Aug-2021</v>
      </c>
      <c r="L657" t="str">
        <f t="shared" si="43"/>
        <v>Medium</v>
      </c>
    </row>
    <row r="658" spans="1:12" x14ac:dyDescent="0.3">
      <c r="A658">
        <v>2021</v>
      </c>
      <c r="B658" s="2" t="s">
        <v>24</v>
      </c>
      <c r="C658" t="s">
        <v>8</v>
      </c>
      <c r="D658" t="s">
        <v>14</v>
      </c>
      <c r="E658">
        <v>6.84</v>
      </c>
      <c r="F658">
        <v>158.19999999999999</v>
      </c>
      <c r="G658">
        <v>3.4</v>
      </c>
      <c r="H658" s="3">
        <f t="shared" si="40"/>
        <v>44409</v>
      </c>
      <c r="I658">
        <f>MONTH(Table1[[#This Row],[Date]])</f>
        <v>8</v>
      </c>
      <c r="J658" t="str">
        <f t="shared" si="41"/>
        <v>Q3</v>
      </c>
      <c r="K658" t="str">
        <f t="shared" si="42"/>
        <v>Aug-2021</v>
      </c>
      <c r="L658" t="str">
        <f t="shared" si="43"/>
        <v>Medium</v>
      </c>
    </row>
    <row r="659" spans="1:12" x14ac:dyDescent="0.3">
      <c r="A659">
        <v>2021</v>
      </c>
      <c r="B659" s="2" t="s">
        <v>24</v>
      </c>
      <c r="C659" t="s">
        <v>8</v>
      </c>
      <c r="D659" t="s">
        <v>15</v>
      </c>
      <c r="E659">
        <v>28.32</v>
      </c>
      <c r="F659">
        <v>160.19999999999999</v>
      </c>
      <c r="G659">
        <v>3.48</v>
      </c>
      <c r="H659" s="3">
        <f t="shared" si="40"/>
        <v>44409</v>
      </c>
      <c r="I659">
        <f>MONTH(Table1[[#This Row],[Date]])</f>
        <v>8</v>
      </c>
      <c r="J659" t="str">
        <f t="shared" si="41"/>
        <v>Q3</v>
      </c>
      <c r="K659" t="str">
        <f t="shared" si="42"/>
        <v>Aug-2021</v>
      </c>
      <c r="L659" t="str">
        <f t="shared" si="43"/>
        <v>Medium</v>
      </c>
    </row>
    <row r="660" spans="1:12" x14ac:dyDescent="0.3">
      <c r="A660">
        <v>2021</v>
      </c>
      <c r="B660" s="2" t="s">
        <v>24</v>
      </c>
      <c r="C660" t="s">
        <v>16</v>
      </c>
      <c r="D660" t="s">
        <v>9</v>
      </c>
      <c r="E660">
        <v>100</v>
      </c>
      <c r="F660">
        <v>148.80000000000001</v>
      </c>
      <c r="G660">
        <v>3</v>
      </c>
      <c r="H660" s="3">
        <f t="shared" si="40"/>
        <v>44409</v>
      </c>
      <c r="I660">
        <f>MONTH(Table1[[#This Row],[Date]])</f>
        <v>8</v>
      </c>
      <c r="J660" t="str">
        <f t="shared" si="41"/>
        <v>Q3</v>
      </c>
      <c r="K660" t="str">
        <f t="shared" si="42"/>
        <v>Aug-2021</v>
      </c>
      <c r="L660" t="str">
        <f t="shared" si="43"/>
        <v>Medium</v>
      </c>
    </row>
    <row r="661" spans="1:12" x14ac:dyDescent="0.3">
      <c r="A661">
        <v>2021</v>
      </c>
      <c r="B661" s="2" t="s">
        <v>24</v>
      </c>
      <c r="C661" t="s">
        <v>16</v>
      </c>
      <c r="D661" t="s">
        <v>10</v>
      </c>
      <c r="E661">
        <v>45.86</v>
      </c>
      <c r="F661">
        <v>150.80000000000001</v>
      </c>
      <c r="G661">
        <v>3.08</v>
      </c>
      <c r="H661" s="3">
        <f t="shared" si="40"/>
        <v>44409</v>
      </c>
      <c r="I661">
        <f>MONTH(Table1[[#This Row],[Date]])</f>
        <v>8</v>
      </c>
      <c r="J661" t="str">
        <f t="shared" si="41"/>
        <v>Q3</v>
      </c>
      <c r="K661" t="str">
        <f t="shared" si="42"/>
        <v>Aug-2021</v>
      </c>
      <c r="L661" t="str">
        <f t="shared" si="43"/>
        <v>Medium</v>
      </c>
    </row>
    <row r="662" spans="1:12" x14ac:dyDescent="0.3">
      <c r="A662">
        <v>2021</v>
      </c>
      <c r="B662" s="2" t="s">
        <v>24</v>
      </c>
      <c r="C662" t="s">
        <v>16</v>
      </c>
      <c r="D662" t="s">
        <v>11</v>
      </c>
      <c r="E662">
        <v>2.38</v>
      </c>
      <c r="F662">
        <v>152.80000000000001</v>
      </c>
      <c r="G662">
        <v>3.16</v>
      </c>
      <c r="H662" s="3">
        <f t="shared" si="40"/>
        <v>44409</v>
      </c>
      <c r="I662">
        <f>MONTH(Table1[[#This Row],[Date]])</f>
        <v>8</v>
      </c>
      <c r="J662" t="str">
        <f t="shared" si="41"/>
        <v>Q3</v>
      </c>
      <c r="K662" t="str">
        <f t="shared" si="42"/>
        <v>Aug-2021</v>
      </c>
      <c r="L662" t="str">
        <f t="shared" si="43"/>
        <v>Medium</v>
      </c>
    </row>
    <row r="663" spans="1:12" x14ac:dyDescent="0.3">
      <c r="A663">
        <v>2021</v>
      </c>
      <c r="B663" s="2" t="s">
        <v>24</v>
      </c>
      <c r="C663" t="s">
        <v>16</v>
      </c>
      <c r="D663" t="s">
        <v>12</v>
      </c>
      <c r="E663">
        <v>6.53</v>
      </c>
      <c r="F663">
        <v>154.80000000000001</v>
      </c>
      <c r="G663">
        <v>3.24</v>
      </c>
      <c r="H663" s="3">
        <f t="shared" si="40"/>
        <v>44409</v>
      </c>
      <c r="I663">
        <f>MONTH(Table1[[#This Row],[Date]])</f>
        <v>8</v>
      </c>
      <c r="J663" t="str">
        <f t="shared" si="41"/>
        <v>Q3</v>
      </c>
      <c r="K663" t="str">
        <f t="shared" si="42"/>
        <v>Aug-2021</v>
      </c>
      <c r="L663" t="str">
        <f t="shared" si="43"/>
        <v>Medium</v>
      </c>
    </row>
    <row r="664" spans="1:12" x14ac:dyDescent="0.3">
      <c r="A664">
        <v>2021</v>
      </c>
      <c r="B664" s="2" t="s">
        <v>24</v>
      </c>
      <c r="C664" t="s">
        <v>16</v>
      </c>
      <c r="D664" t="s">
        <v>13</v>
      </c>
      <c r="E664">
        <v>10.07</v>
      </c>
      <c r="F664">
        <v>156.80000000000001</v>
      </c>
      <c r="G664">
        <v>3.32</v>
      </c>
      <c r="H664" s="3">
        <f t="shared" si="40"/>
        <v>44409</v>
      </c>
      <c r="I664">
        <f>MONTH(Table1[[#This Row],[Date]])</f>
        <v>8</v>
      </c>
      <c r="J664" t="str">
        <f t="shared" si="41"/>
        <v>Q3</v>
      </c>
      <c r="K664" t="str">
        <f t="shared" si="42"/>
        <v>Aug-2021</v>
      </c>
      <c r="L664" t="str">
        <f t="shared" si="43"/>
        <v>Medium</v>
      </c>
    </row>
    <row r="665" spans="1:12" x14ac:dyDescent="0.3">
      <c r="A665">
        <v>2021</v>
      </c>
      <c r="B665" s="2" t="s">
        <v>24</v>
      </c>
      <c r="C665" t="s">
        <v>16</v>
      </c>
      <c r="D665" t="s">
        <v>14</v>
      </c>
      <c r="E665">
        <v>6.84</v>
      </c>
      <c r="F665">
        <v>158.80000000000001</v>
      </c>
      <c r="G665">
        <v>3.4</v>
      </c>
      <c r="H665" s="3">
        <f t="shared" si="40"/>
        <v>44409</v>
      </c>
      <c r="I665">
        <f>MONTH(Table1[[#This Row],[Date]])</f>
        <v>8</v>
      </c>
      <c r="J665" t="str">
        <f t="shared" si="41"/>
        <v>Q3</v>
      </c>
      <c r="K665" t="str">
        <f t="shared" si="42"/>
        <v>Aug-2021</v>
      </c>
      <c r="L665" t="str">
        <f t="shared" si="43"/>
        <v>Medium</v>
      </c>
    </row>
    <row r="666" spans="1:12" x14ac:dyDescent="0.3">
      <c r="A666">
        <v>2021</v>
      </c>
      <c r="B666" s="2" t="s">
        <v>24</v>
      </c>
      <c r="C666" t="s">
        <v>16</v>
      </c>
      <c r="D666" t="s">
        <v>15</v>
      </c>
      <c r="E666">
        <v>28.32</v>
      </c>
      <c r="F666">
        <v>160.80000000000001</v>
      </c>
      <c r="G666">
        <v>3.48</v>
      </c>
      <c r="H666" s="3">
        <f t="shared" si="40"/>
        <v>44409</v>
      </c>
      <c r="I666">
        <f>MONTH(Table1[[#This Row],[Date]])</f>
        <v>8</v>
      </c>
      <c r="J666" t="str">
        <f t="shared" si="41"/>
        <v>Q3</v>
      </c>
      <c r="K666" t="str">
        <f t="shared" si="42"/>
        <v>Aug-2021</v>
      </c>
      <c r="L666" t="str">
        <f t="shared" si="43"/>
        <v>Medium</v>
      </c>
    </row>
    <row r="667" spans="1:12" x14ac:dyDescent="0.3">
      <c r="A667">
        <v>2021</v>
      </c>
      <c r="B667" s="2" t="s">
        <v>24</v>
      </c>
      <c r="C667" t="s">
        <v>17</v>
      </c>
      <c r="D667" t="s">
        <v>9</v>
      </c>
      <c r="E667">
        <v>100</v>
      </c>
      <c r="F667">
        <v>149.4</v>
      </c>
      <c r="G667">
        <v>3</v>
      </c>
      <c r="H667" s="3">
        <f t="shared" si="40"/>
        <v>44409</v>
      </c>
      <c r="I667">
        <f>MONTH(Table1[[#This Row],[Date]])</f>
        <v>8</v>
      </c>
      <c r="J667" t="str">
        <f t="shared" si="41"/>
        <v>Q3</v>
      </c>
      <c r="K667" t="str">
        <f t="shared" si="42"/>
        <v>Aug-2021</v>
      </c>
      <c r="L667" t="str">
        <f t="shared" si="43"/>
        <v>Medium</v>
      </c>
    </row>
    <row r="668" spans="1:12" x14ac:dyDescent="0.3">
      <c r="A668">
        <v>2021</v>
      </c>
      <c r="B668" s="2" t="s">
        <v>24</v>
      </c>
      <c r="C668" t="s">
        <v>17</v>
      </c>
      <c r="D668" t="s">
        <v>10</v>
      </c>
      <c r="E668">
        <v>45.86</v>
      </c>
      <c r="F668">
        <v>151.4</v>
      </c>
      <c r="G668">
        <v>3.08</v>
      </c>
      <c r="H668" s="3">
        <f t="shared" si="40"/>
        <v>44409</v>
      </c>
      <c r="I668">
        <f>MONTH(Table1[[#This Row],[Date]])</f>
        <v>8</v>
      </c>
      <c r="J668" t="str">
        <f t="shared" si="41"/>
        <v>Q3</v>
      </c>
      <c r="K668" t="str">
        <f t="shared" si="42"/>
        <v>Aug-2021</v>
      </c>
      <c r="L668" t="str">
        <f t="shared" si="43"/>
        <v>Medium</v>
      </c>
    </row>
    <row r="669" spans="1:12" x14ac:dyDescent="0.3">
      <c r="A669">
        <v>2021</v>
      </c>
      <c r="B669" s="2" t="s">
        <v>24</v>
      </c>
      <c r="C669" t="s">
        <v>17</v>
      </c>
      <c r="D669" t="s">
        <v>11</v>
      </c>
      <c r="E669">
        <v>2.38</v>
      </c>
      <c r="F669">
        <v>153.4</v>
      </c>
      <c r="G669">
        <v>3.16</v>
      </c>
      <c r="H669" s="3">
        <f t="shared" si="40"/>
        <v>44409</v>
      </c>
      <c r="I669">
        <f>MONTH(Table1[[#This Row],[Date]])</f>
        <v>8</v>
      </c>
      <c r="J669" t="str">
        <f t="shared" si="41"/>
        <v>Q3</v>
      </c>
      <c r="K669" t="str">
        <f t="shared" si="42"/>
        <v>Aug-2021</v>
      </c>
      <c r="L669" t="str">
        <f t="shared" si="43"/>
        <v>Medium</v>
      </c>
    </row>
    <row r="670" spans="1:12" x14ac:dyDescent="0.3">
      <c r="A670">
        <v>2021</v>
      </c>
      <c r="B670" s="2" t="s">
        <v>24</v>
      </c>
      <c r="C670" t="s">
        <v>17</v>
      </c>
      <c r="D670" t="s">
        <v>12</v>
      </c>
      <c r="E670">
        <v>6.53</v>
      </c>
      <c r="F670">
        <v>155.4</v>
      </c>
      <c r="G670">
        <v>3.24</v>
      </c>
      <c r="H670" s="3">
        <f t="shared" si="40"/>
        <v>44409</v>
      </c>
      <c r="I670">
        <f>MONTH(Table1[[#This Row],[Date]])</f>
        <v>8</v>
      </c>
      <c r="J670" t="str">
        <f t="shared" si="41"/>
        <v>Q3</v>
      </c>
      <c r="K670" t="str">
        <f t="shared" si="42"/>
        <v>Aug-2021</v>
      </c>
      <c r="L670" t="str">
        <f t="shared" si="43"/>
        <v>Medium</v>
      </c>
    </row>
    <row r="671" spans="1:12" x14ac:dyDescent="0.3">
      <c r="A671">
        <v>2021</v>
      </c>
      <c r="B671" s="2" t="s">
        <v>24</v>
      </c>
      <c r="C671" t="s">
        <v>17</v>
      </c>
      <c r="D671" t="s">
        <v>13</v>
      </c>
      <c r="E671">
        <v>10.07</v>
      </c>
      <c r="F671">
        <v>157.4</v>
      </c>
      <c r="G671">
        <v>3.32</v>
      </c>
      <c r="H671" s="3">
        <f t="shared" si="40"/>
        <v>44409</v>
      </c>
      <c r="I671">
        <f>MONTH(Table1[[#This Row],[Date]])</f>
        <v>8</v>
      </c>
      <c r="J671" t="str">
        <f t="shared" si="41"/>
        <v>Q3</v>
      </c>
      <c r="K671" t="str">
        <f t="shared" si="42"/>
        <v>Aug-2021</v>
      </c>
      <c r="L671" t="str">
        <f t="shared" si="43"/>
        <v>Medium</v>
      </c>
    </row>
    <row r="672" spans="1:12" x14ac:dyDescent="0.3">
      <c r="A672">
        <v>2021</v>
      </c>
      <c r="B672" s="2" t="s">
        <v>24</v>
      </c>
      <c r="C672" t="s">
        <v>17</v>
      </c>
      <c r="D672" t="s">
        <v>14</v>
      </c>
      <c r="E672">
        <v>6.84</v>
      </c>
      <c r="F672">
        <v>159.4</v>
      </c>
      <c r="G672">
        <v>3.4</v>
      </c>
      <c r="H672" s="3">
        <f t="shared" si="40"/>
        <v>44409</v>
      </c>
      <c r="I672">
        <f>MONTH(Table1[[#This Row],[Date]])</f>
        <v>8</v>
      </c>
      <c r="J672" t="str">
        <f t="shared" si="41"/>
        <v>Q3</v>
      </c>
      <c r="K672" t="str">
        <f t="shared" si="42"/>
        <v>Aug-2021</v>
      </c>
      <c r="L672" t="str">
        <f t="shared" si="43"/>
        <v>Medium</v>
      </c>
    </row>
    <row r="673" spans="1:12" x14ac:dyDescent="0.3">
      <c r="A673">
        <v>2021</v>
      </c>
      <c r="B673" s="2" t="s">
        <v>24</v>
      </c>
      <c r="C673" t="s">
        <v>17</v>
      </c>
      <c r="D673" t="s">
        <v>15</v>
      </c>
      <c r="E673">
        <v>28.32</v>
      </c>
      <c r="F673">
        <v>161.4</v>
      </c>
      <c r="G673">
        <v>3.48</v>
      </c>
      <c r="H673" s="3">
        <f t="shared" si="40"/>
        <v>44409</v>
      </c>
      <c r="I673">
        <f>MONTH(Table1[[#This Row],[Date]])</f>
        <v>8</v>
      </c>
      <c r="J673" t="str">
        <f t="shared" si="41"/>
        <v>Q3</v>
      </c>
      <c r="K673" t="str">
        <f t="shared" si="42"/>
        <v>Aug-2021</v>
      </c>
      <c r="L673" t="str">
        <f t="shared" si="43"/>
        <v>Medium</v>
      </c>
    </row>
    <row r="674" spans="1:12" x14ac:dyDescent="0.3">
      <c r="A674">
        <v>2021</v>
      </c>
      <c r="B674" s="2" t="s">
        <v>25</v>
      </c>
      <c r="C674" t="s">
        <v>8</v>
      </c>
      <c r="D674" t="s">
        <v>9</v>
      </c>
      <c r="E674">
        <v>100</v>
      </c>
      <c r="F674">
        <v>148.6</v>
      </c>
      <c r="G674">
        <v>3.15</v>
      </c>
      <c r="H674" s="3">
        <f t="shared" si="40"/>
        <v>44440</v>
      </c>
      <c r="I674">
        <f>MONTH(Table1[[#This Row],[Date]])</f>
        <v>9</v>
      </c>
      <c r="J674" t="str">
        <f t="shared" si="41"/>
        <v>Q3</v>
      </c>
      <c r="K674" t="str">
        <f t="shared" si="42"/>
        <v>Sept-2021</v>
      </c>
      <c r="L674" t="str">
        <f t="shared" si="43"/>
        <v>Medium</v>
      </c>
    </row>
    <row r="675" spans="1:12" x14ac:dyDescent="0.3">
      <c r="A675">
        <v>2021</v>
      </c>
      <c r="B675" s="2" t="s">
        <v>25</v>
      </c>
      <c r="C675" t="s">
        <v>8</v>
      </c>
      <c r="D675" t="s">
        <v>10</v>
      </c>
      <c r="E675">
        <v>45.86</v>
      </c>
      <c r="F675">
        <v>150.6</v>
      </c>
      <c r="G675">
        <v>3.23</v>
      </c>
      <c r="H675" s="3">
        <f t="shared" si="40"/>
        <v>44440</v>
      </c>
      <c r="I675">
        <f>MONTH(Table1[[#This Row],[Date]])</f>
        <v>9</v>
      </c>
      <c r="J675" t="str">
        <f t="shared" si="41"/>
        <v>Q3</v>
      </c>
      <c r="K675" t="str">
        <f t="shared" si="42"/>
        <v>Sept-2021</v>
      </c>
      <c r="L675" t="str">
        <f t="shared" si="43"/>
        <v>Medium</v>
      </c>
    </row>
    <row r="676" spans="1:12" x14ac:dyDescent="0.3">
      <c r="A676">
        <v>2021</v>
      </c>
      <c r="B676" s="2" t="s">
        <v>25</v>
      </c>
      <c r="C676" t="s">
        <v>8</v>
      </c>
      <c r="D676" t="s">
        <v>11</v>
      </c>
      <c r="E676">
        <v>2.38</v>
      </c>
      <c r="F676">
        <v>152.6</v>
      </c>
      <c r="G676">
        <v>3.31</v>
      </c>
      <c r="H676" s="3">
        <f t="shared" si="40"/>
        <v>44440</v>
      </c>
      <c r="I676">
        <f>MONTH(Table1[[#This Row],[Date]])</f>
        <v>9</v>
      </c>
      <c r="J676" t="str">
        <f t="shared" si="41"/>
        <v>Q3</v>
      </c>
      <c r="K676" t="str">
        <f t="shared" si="42"/>
        <v>Sept-2021</v>
      </c>
      <c r="L676" t="str">
        <f t="shared" si="43"/>
        <v>Medium</v>
      </c>
    </row>
    <row r="677" spans="1:12" x14ac:dyDescent="0.3">
      <c r="A677">
        <v>2021</v>
      </c>
      <c r="B677" s="2" t="s">
        <v>25</v>
      </c>
      <c r="C677" t="s">
        <v>8</v>
      </c>
      <c r="D677" t="s">
        <v>12</v>
      </c>
      <c r="E677">
        <v>6.53</v>
      </c>
      <c r="F677">
        <v>154.6</v>
      </c>
      <c r="G677">
        <v>3.39</v>
      </c>
      <c r="H677" s="3">
        <f t="shared" si="40"/>
        <v>44440</v>
      </c>
      <c r="I677">
        <f>MONTH(Table1[[#This Row],[Date]])</f>
        <v>9</v>
      </c>
      <c r="J677" t="str">
        <f t="shared" si="41"/>
        <v>Q3</v>
      </c>
      <c r="K677" t="str">
        <f t="shared" si="42"/>
        <v>Sept-2021</v>
      </c>
      <c r="L677" t="str">
        <f t="shared" si="43"/>
        <v>Medium</v>
      </c>
    </row>
    <row r="678" spans="1:12" x14ac:dyDescent="0.3">
      <c r="A678">
        <v>2021</v>
      </c>
      <c r="B678" s="2" t="s">
        <v>25</v>
      </c>
      <c r="C678" t="s">
        <v>8</v>
      </c>
      <c r="D678" t="s">
        <v>13</v>
      </c>
      <c r="E678">
        <v>10.07</v>
      </c>
      <c r="F678">
        <v>156.6</v>
      </c>
      <c r="G678">
        <v>3.47</v>
      </c>
      <c r="H678" s="3">
        <f t="shared" si="40"/>
        <v>44440</v>
      </c>
      <c r="I678">
        <f>MONTH(Table1[[#This Row],[Date]])</f>
        <v>9</v>
      </c>
      <c r="J678" t="str">
        <f t="shared" si="41"/>
        <v>Q3</v>
      </c>
      <c r="K678" t="str">
        <f t="shared" si="42"/>
        <v>Sept-2021</v>
      </c>
      <c r="L678" t="str">
        <f t="shared" si="43"/>
        <v>Medium</v>
      </c>
    </row>
    <row r="679" spans="1:12" x14ac:dyDescent="0.3">
      <c r="A679">
        <v>2021</v>
      </c>
      <c r="B679" s="2" t="s">
        <v>25</v>
      </c>
      <c r="C679" t="s">
        <v>8</v>
      </c>
      <c r="D679" t="s">
        <v>14</v>
      </c>
      <c r="E679">
        <v>6.84</v>
      </c>
      <c r="F679">
        <v>158.6</v>
      </c>
      <c r="G679">
        <v>3.55</v>
      </c>
      <c r="H679" s="3">
        <f t="shared" si="40"/>
        <v>44440</v>
      </c>
      <c r="I679">
        <f>MONTH(Table1[[#This Row],[Date]])</f>
        <v>9</v>
      </c>
      <c r="J679" t="str">
        <f t="shared" si="41"/>
        <v>Q3</v>
      </c>
      <c r="K679" t="str">
        <f t="shared" si="42"/>
        <v>Sept-2021</v>
      </c>
      <c r="L679" t="str">
        <f t="shared" si="43"/>
        <v>Medium</v>
      </c>
    </row>
    <row r="680" spans="1:12" x14ac:dyDescent="0.3">
      <c r="A680">
        <v>2021</v>
      </c>
      <c r="B680" s="2" t="s">
        <v>25</v>
      </c>
      <c r="C680" t="s">
        <v>8</v>
      </c>
      <c r="D680" t="s">
        <v>15</v>
      </c>
      <c r="E680">
        <v>28.32</v>
      </c>
      <c r="F680">
        <v>160.6</v>
      </c>
      <c r="G680">
        <v>3.63</v>
      </c>
      <c r="H680" s="3">
        <f t="shared" si="40"/>
        <v>44440</v>
      </c>
      <c r="I680">
        <f>MONTH(Table1[[#This Row],[Date]])</f>
        <v>9</v>
      </c>
      <c r="J680" t="str">
        <f t="shared" si="41"/>
        <v>Q3</v>
      </c>
      <c r="K680" t="str">
        <f t="shared" si="42"/>
        <v>Sept-2021</v>
      </c>
      <c r="L680" t="str">
        <f t="shared" si="43"/>
        <v>Medium</v>
      </c>
    </row>
    <row r="681" spans="1:12" x14ac:dyDescent="0.3">
      <c r="A681">
        <v>2021</v>
      </c>
      <c r="B681" s="2" t="s">
        <v>25</v>
      </c>
      <c r="C681" t="s">
        <v>16</v>
      </c>
      <c r="D681" t="s">
        <v>9</v>
      </c>
      <c r="E681">
        <v>100</v>
      </c>
      <c r="F681">
        <v>149.19999999999999</v>
      </c>
      <c r="G681">
        <v>3.15</v>
      </c>
      <c r="H681" s="3">
        <f t="shared" si="40"/>
        <v>44440</v>
      </c>
      <c r="I681">
        <f>MONTH(Table1[[#This Row],[Date]])</f>
        <v>9</v>
      </c>
      <c r="J681" t="str">
        <f t="shared" si="41"/>
        <v>Q3</v>
      </c>
      <c r="K681" t="str">
        <f t="shared" si="42"/>
        <v>Sept-2021</v>
      </c>
      <c r="L681" t="str">
        <f t="shared" si="43"/>
        <v>Medium</v>
      </c>
    </row>
    <row r="682" spans="1:12" x14ac:dyDescent="0.3">
      <c r="A682">
        <v>2021</v>
      </c>
      <c r="B682" s="2" t="s">
        <v>25</v>
      </c>
      <c r="C682" t="s">
        <v>16</v>
      </c>
      <c r="D682" t="s">
        <v>10</v>
      </c>
      <c r="E682">
        <v>45.86</v>
      </c>
      <c r="F682">
        <v>151.19999999999999</v>
      </c>
      <c r="G682">
        <v>3.23</v>
      </c>
      <c r="H682" s="3">
        <f t="shared" si="40"/>
        <v>44440</v>
      </c>
      <c r="I682">
        <f>MONTH(Table1[[#This Row],[Date]])</f>
        <v>9</v>
      </c>
      <c r="J682" t="str">
        <f t="shared" si="41"/>
        <v>Q3</v>
      </c>
      <c r="K682" t="str">
        <f t="shared" si="42"/>
        <v>Sept-2021</v>
      </c>
      <c r="L682" t="str">
        <f t="shared" si="43"/>
        <v>Medium</v>
      </c>
    </row>
    <row r="683" spans="1:12" x14ac:dyDescent="0.3">
      <c r="A683">
        <v>2021</v>
      </c>
      <c r="B683" s="2" t="s">
        <v>25</v>
      </c>
      <c r="C683" t="s">
        <v>16</v>
      </c>
      <c r="D683" t="s">
        <v>11</v>
      </c>
      <c r="E683">
        <v>2.38</v>
      </c>
      <c r="F683">
        <v>153.19999999999999</v>
      </c>
      <c r="G683">
        <v>3.31</v>
      </c>
      <c r="H683" s="3">
        <f t="shared" si="40"/>
        <v>44440</v>
      </c>
      <c r="I683">
        <f>MONTH(Table1[[#This Row],[Date]])</f>
        <v>9</v>
      </c>
      <c r="J683" t="str">
        <f t="shared" si="41"/>
        <v>Q3</v>
      </c>
      <c r="K683" t="str">
        <f t="shared" si="42"/>
        <v>Sept-2021</v>
      </c>
      <c r="L683" t="str">
        <f t="shared" si="43"/>
        <v>Medium</v>
      </c>
    </row>
    <row r="684" spans="1:12" x14ac:dyDescent="0.3">
      <c r="A684">
        <v>2021</v>
      </c>
      <c r="B684" s="2" t="s">
        <v>25</v>
      </c>
      <c r="C684" t="s">
        <v>16</v>
      </c>
      <c r="D684" t="s">
        <v>12</v>
      </c>
      <c r="E684">
        <v>6.53</v>
      </c>
      <c r="F684">
        <v>155.19999999999999</v>
      </c>
      <c r="G684">
        <v>3.39</v>
      </c>
      <c r="H684" s="3">
        <f t="shared" si="40"/>
        <v>44440</v>
      </c>
      <c r="I684">
        <f>MONTH(Table1[[#This Row],[Date]])</f>
        <v>9</v>
      </c>
      <c r="J684" t="str">
        <f t="shared" si="41"/>
        <v>Q3</v>
      </c>
      <c r="K684" t="str">
        <f t="shared" si="42"/>
        <v>Sept-2021</v>
      </c>
      <c r="L684" t="str">
        <f t="shared" si="43"/>
        <v>Medium</v>
      </c>
    </row>
    <row r="685" spans="1:12" x14ac:dyDescent="0.3">
      <c r="A685">
        <v>2021</v>
      </c>
      <c r="B685" s="2" t="s">
        <v>25</v>
      </c>
      <c r="C685" t="s">
        <v>16</v>
      </c>
      <c r="D685" t="s">
        <v>13</v>
      </c>
      <c r="E685">
        <v>10.07</v>
      </c>
      <c r="F685">
        <v>157.19999999999999</v>
      </c>
      <c r="G685">
        <v>3.47</v>
      </c>
      <c r="H685" s="3">
        <f t="shared" si="40"/>
        <v>44440</v>
      </c>
      <c r="I685">
        <f>MONTH(Table1[[#This Row],[Date]])</f>
        <v>9</v>
      </c>
      <c r="J685" t="str">
        <f t="shared" si="41"/>
        <v>Q3</v>
      </c>
      <c r="K685" t="str">
        <f t="shared" si="42"/>
        <v>Sept-2021</v>
      </c>
      <c r="L685" t="str">
        <f t="shared" si="43"/>
        <v>Medium</v>
      </c>
    </row>
    <row r="686" spans="1:12" x14ac:dyDescent="0.3">
      <c r="A686">
        <v>2021</v>
      </c>
      <c r="B686" s="2" t="s">
        <v>25</v>
      </c>
      <c r="C686" t="s">
        <v>16</v>
      </c>
      <c r="D686" t="s">
        <v>14</v>
      </c>
      <c r="E686">
        <v>6.84</v>
      </c>
      <c r="F686">
        <v>159.19999999999999</v>
      </c>
      <c r="G686">
        <v>3.55</v>
      </c>
      <c r="H686" s="3">
        <f t="shared" si="40"/>
        <v>44440</v>
      </c>
      <c r="I686">
        <f>MONTH(Table1[[#This Row],[Date]])</f>
        <v>9</v>
      </c>
      <c r="J686" t="str">
        <f t="shared" si="41"/>
        <v>Q3</v>
      </c>
      <c r="K686" t="str">
        <f t="shared" si="42"/>
        <v>Sept-2021</v>
      </c>
      <c r="L686" t="str">
        <f t="shared" si="43"/>
        <v>Medium</v>
      </c>
    </row>
    <row r="687" spans="1:12" x14ac:dyDescent="0.3">
      <c r="A687">
        <v>2021</v>
      </c>
      <c r="B687" s="2" t="s">
        <v>25</v>
      </c>
      <c r="C687" t="s">
        <v>16</v>
      </c>
      <c r="D687" t="s">
        <v>15</v>
      </c>
      <c r="E687">
        <v>28.32</v>
      </c>
      <c r="F687">
        <v>161.19999999999999</v>
      </c>
      <c r="G687">
        <v>3.63</v>
      </c>
      <c r="H687" s="3">
        <f t="shared" si="40"/>
        <v>44440</v>
      </c>
      <c r="I687">
        <f>MONTH(Table1[[#This Row],[Date]])</f>
        <v>9</v>
      </c>
      <c r="J687" t="str">
        <f t="shared" si="41"/>
        <v>Q3</v>
      </c>
      <c r="K687" t="str">
        <f t="shared" si="42"/>
        <v>Sept-2021</v>
      </c>
      <c r="L687" t="str">
        <f t="shared" si="43"/>
        <v>Medium</v>
      </c>
    </row>
    <row r="688" spans="1:12" x14ac:dyDescent="0.3">
      <c r="A688">
        <v>2021</v>
      </c>
      <c r="B688" s="2" t="s">
        <v>25</v>
      </c>
      <c r="C688" t="s">
        <v>17</v>
      </c>
      <c r="D688" t="s">
        <v>9</v>
      </c>
      <c r="E688">
        <v>100</v>
      </c>
      <c r="F688">
        <v>149.80000000000001</v>
      </c>
      <c r="G688">
        <v>3.15</v>
      </c>
      <c r="H688" s="3">
        <f t="shared" si="40"/>
        <v>44440</v>
      </c>
      <c r="I688">
        <f>MONTH(Table1[[#This Row],[Date]])</f>
        <v>9</v>
      </c>
      <c r="J688" t="str">
        <f t="shared" si="41"/>
        <v>Q3</v>
      </c>
      <c r="K688" t="str">
        <f t="shared" si="42"/>
        <v>Sept-2021</v>
      </c>
      <c r="L688" t="str">
        <f t="shared" si="43"/>
        <v>Medium</v>
      </c>
    </row>
    <row r="689" spans="1:12" x14ac:dyDescent="0.3">
      <c r="A689">
        <v>2021</v>
      </c>
      <c r="B689" s="2" t="s">
        <v>25</v>
      </c>
      <c r="C689" t="s">
        <v>17</v>
      </c>
      <c r="D689" t="s">
        <v>10</v>
      </c>
      <c r="E689">
        <v>45.86</v>
      </c>
      <c r="F689">
        <v>151.80000000000001</v>
      </c>
      <c r="G689">
        <v>3.23</v>
      </c>
      <c r="H689" s="3">
        <f t="shared" si="40"/>
        <v>44440</v>
      </c>
      <c r="I689">
        <f>MONTH(Table1[[#This Row],[Date]])</f>
        <v>9</v>
      </c>
      <c r="J689" t="str">
        <f t="shared" si="41"/>
        <v>Q3</v>
      </c>
      <c r="K689" t="str">
        <f t="shared" si="42"/>
        <v>Sept-2021</v>
      </c>
      <c r="L689" t="str">
        <f t="shared" si="43"/>
        <v>Medium</v>
      </c>
    </row>
    <row r="690" spans="1:12" x14ac:dyDescent="0.3">
      <c r="A690">
        <v>2021</v>
      </c>
      <c r="B690" s="2" t="s">
        <v>25</v>
      </c>
      <c r="C690" t="s">
        <v>17</v>
      </c>
      <c r="D690" t="s">
        <v>11</v>
      </c>
      <c r="E690">
        <v>2.38</v>
      </c>
      <c r="F690">
        <v>153.80000000000001</v>
      </c>
      <c r="G690">
        <v>3.31</v>
      </c>
      <c r="H690" s="3">
        <f t="shared" si="40"/>
        <v>44440</v>
      </c>
      <c r="I690">
        <f>MONTH(Table1[[#This Row],[Date]])</f>
        <v>9</v>
      </c>
      <c r="J690" t="str">
        <f t="shared" si="41"/>
        <v>Q3</v>
      </c>
      <c r="K690" t="str">
        <f t="shared" si="42"/>
        <v>Sept-2021</v>
      </c>
      <c r="L690" t="str">
        <f t="shared" si="43"/>
        <v>Medium</v>
      </c>
    </row>
    <row r="691" spans="1:12" x14ac:dyDescent="0.3">
      <c r="A691">
        <v>2021</v>
      </c>
      <c r="B691" s="2" t="s">
        <v>25</v>
      </c>
      <c r="C691" t="s">
        <v>17</v>
      </c>
      <c r="D691" t="s">
        <v>12</v>
      </c>
      <c r="E691">
        <v>6.53</v>
      </c>
      <c r="F691">
        <v>155.80000000000001</v>
      </c>
      <c r="G691">
        <v>3.39</v>
      </c>
      <c r="H691" s="3">
        <f t="shared" si="40"/>
        <v>44440</v>
      </c>
      <c r="I691">
        <f>MONTH(Table1[[#This Row],[Date]])</f>
        <v>9</v>
      </c>
      <c r="J691" t="str">
        <f t="shared" si="41"/>
        <v>Q3</v>
      </c>
      <c r="K691" t="str">
        <f t="shared" si="42"/>
        <v>Sept-2021</v>
      </c>
      <c r="L691" t="str">
        <f t="shared" si="43"/>
        <v>Medium</v>
      </c>
    </row>
    <row r="692" spans="1:12" x14ac:dyDescent="0.3">
      <c r="A692">
        <v>2021</v>
      </c>
      <c r="B692" s="2" t="s">
        <v>25</v>
      </c>
      <c r="C692" t="s">
        <v>17</v>
      </c>
      <c r="D692" t="s">
        <v>13</v>
      </c>
      <c r="E692">
        <v>10.07</v>
      </c>
      <c r="F692">
        <v>157.80000000000001</v>
      </c>
      <c r="G692">
        <v>3.47</v>
      </c>
      <c r="H692" s="3">
        <f t="shared" si="40"/>
        <v>44440</v>
      </c>
      <c r="I692">
        <f>MONTH(Table1[[#This Row],[Date]])</f>
        <v>9</v>
      </c>
      <c r="J692" t="str">
        <f t="shared" si="41"/>
        <v>Q3</v>
      </c>
      <c r="K692" t="str">
        <f t="shared" si="42"/>
        <v>Sept-2021</v>
      </c>
      <c r="L692" t="str">
        <f t="shared" si="43"/>
        <v>Medium</v>
      </c>
    </row>
    <row r="693" spans="1:12" x14ac:dyDescent="0.3">
      <c r="A693">
        <v>2021</v>
      </c>
      <c r="B693" s="2" t="s">
        <v>25</v>
      </c>
      <c r="C693" t="s">
        <v>17</v>
      </c>
      <c r="D693" t="s">
        <v>14</v>
      </c>
      <c r="E693">
        <v>6.84</v>
      </c>
      <c r="F693">
        <v>159.80000000000001</v>
      </c>
      <c r="G693">
        <v>3.55</v>
      </c>
      <c r="H693" s="3">
        <f t="shared" si="40"/>
        <v>44440</v>
      </c>
      <c r="I693">
        <f>MONTH(Table1[[#This Row],[Date]])</f>
        <v>9</v>
      </c>
      <c r="J693" t="str">
        <f t="shared" si="41"/>
        <v>Q3</v>
      </c>
      <c r="K693" t="str">
        <f t="shared" si="42"/>
        <v>Sept-2021</v>
      </c>
      <c r="L693" t="str">
        <f t="shared" si="43"/>
        <v>Medium</v>
      </c>
    </row>
    <row r="694" spans="1:12" x14ac:dyDescent="0.3">
      <c r="A694">
        <v>2021</v>
      </c>
      <c r="B694" s="2" t="s">
        <v>25</v>
      </c>
      <c r="C694" t="s">
        <v>17</v>
      </c>
      <c r="D694" t="s">
        <v>15</v>
      </c>
      <c r="E694">
        <v>28.32</v>
      </c>
      <c r="F694">
        <v>161.80000000000001</v>
      </c>
      <c r="G694">
        <v>3.63</v>
      </c>
      <c r="H694" s="3">
        <f t="shared" si="40"/>
        <v>44440</v>
      </c>
      <c r="I694">
        <f>MONTH(Table1[[#This Row],[Date]])</f>
        <v>9</v>
      </c>
      <c r="J694" t="str">
        <f t="shared" si="41"/>
        <v>Q3</v>
      </c>
      <c r="K694" t="str">
        <f t="shared" si="42"/>
        <v>Sept-2021</v>
      </c>
      <c r="L694" t="str">
        <f t="shared" si="43"/>
        <v>Medium</v>
      </c>
    </row>
    <row r="695" spans="1:12" x14ac:dyDescent="0.3">
      <c r="A695">
        <v>2021</v>
      </c>
      <c r="B695" s="2" t="s">
        <v>26</v>
      </c>
      <c r="C695" t="s">
        <v>8</v>
      </c>
      <c r="D695" t="s">
        <v>9</v>
      </c>
      <c r="E695">
        <v>100</v>
      </c>
      <c r="F695">
        <v>149</v>
      </c>
      <c r="G695">
        <v>3.3</v>
      </c>
      <c r="H695" s="3">
        <f t="shared" si="40"/>
        <v>44470</v>
      </c>
      <c r="I695">
        <f>MONTH(Table1[[#This Row],[Date]])</f>
        <v>10</v>
      </c>
      <c r="J695" t="str">
        <f t="shared" si="41"/>
        <v>Q4</v>
      </c>
      <c r="K695" t="str">
        <f t="shared" si="42"/>
        <v>Oct-2021</v>
      </c>
      <c r="L695" t="str">
        <f t="shared" si="43"/>
        <v>Medium</v>
      </c>
    </row>
    <row r="696" spans="1:12" x14ac:dyDescent="0.3">
      <c r="A696">
        <v>2021</v>
      </c>
      <c r="B696" s="2" t="s">
        <v>26</v>
      </c>
      <c r="C696" t="s">
        <v>8</v>
      </c>
      <c r="D696" t="s">
        <v>10</v>
      </c>
      <c r="E696">
        <v>45.86</v>
      </c>
      <c r="F696">
        <v>151</v>
      </c>
      <c r="G696">
        <v>3.38</v>
      </c>
      <c r="H696" s="3">
        <f t="shared" si="40"/>
        <v>44470</v>
      </c>
      <c r="I696">
        <f>MONTH(Table1[[#This Row],[Date]])</f>
        <v>10</v>
      </c>
      <c r="J696" t="str">
        <f t="shared" si="41"/>
        <v>Q4</v>
      </c>
      <c r="K696" t="str">
        <f t="shared" si="42"/>
        <v>Oct-2021</v>
      </c>
      <c r="L696" t="str">
        <f t="shared" si="43"/>
        <v>Medium</v>
      </c>
    </row>
    <row r="697" spans="1:12" x14ac:dyDescent="0.3">
      <c r="A697">
        <v>2021</v>
      </c>
      <c r="B697" s="2" t="s">
        <v>26</v>
      </c>
      <c r="C697" t="s">
        <v>8</v>
      </c>
      <c r="D697" t="s">
        <v>11</v>
      </c>
      <c r="E697">
        <v>2.38</v>
      </c>
      <c r="F697">
        <v>153</v>
      </c>
      <c r="G697">
        <v>3.46</v>
      </c>
      <c r="H697" s="3">
        <f t="shared" si="40"/>
        <v>44470</v>
      </c>
      <c r="I697">
        <f>MONTH(Table1[[#This Row],[Date]])</f>
        <v>10</v>
      </c>
      <c r="J697" t="str">
        <f t="shared" si="41"/>
        <v>Q4</v>
      </c>
      <c r="K697" t="str">
        <f t="shared" si="42"/>
        <v>Oct-2021</v>
      </c>
      <c r="L697" t="str">
        <f t="shared" si="43"/>
        <v>Medium</v>
      </c>
    </row>
    <row r="698" spans="1:12" x14ac:dyDescent="0.3">
      <c r="A698">
        <v>2021</v>
      </c>
      <c r="B698" s="2" t="s">
        <v>26</v>
      </c>
      <c r="C698" t="s">
        <v>8</v>
      </c>
      <c r="D698" t="s">
        <v>12</v>
      </c>
      <c r="E698">
        <v>6.53</v>
      </c>
      <c r="F698">
        <v>155</v>
      </c>
      <c r="G698">
        <v>3.54</v>
      </c>
      <c r="H698" s="3">
        <f t="shared" si="40"/>
        <v>44470</v>
      </c>
      <c r="I698">
        <f>MONTH(Table1[[#This Row],[Date]])</f>
        <v>10</v>
      </c>
      <c r="J698" t="str">
        <f t="shared" si="41"/>
        <v>Q4</v>
      </c>
      <c r="K698" t="str">
        <f t="shared" si="42"/>
        <v>Oct-2021</v>
      </c>
      <c r="L698" t="str">
        <f t="shared" si="43"/>
        <v>Medium</v>
      </c>
    </row>
    <row r="699" spans="1:12" x14ac:dyDescent="0.3">
      <c r="A699">
        <v>2021</v>
      </c>
      <c r="B699" s="2" t="s">
        <v>26</v>
      </c>
      <c r="C699" t="s">
        <v>8</v>
      </c>
      <c r="D699" t="s">
        <v>13</v>
      </c>
      <c r="E699">
        <v>10.07</v>
      </c>
      <c r="F699">
        <v>157</v>
      </c>
      <c r="G699">
        <v>3.62</v>
      </c>
      <c r="H699" s="3">
        <f t="shared" si="40"/>
        <v>44470</v>
      </c>
      <c r="I699">
        <f>MONTH(Table1[[#This Row],[Date]])</f>
        <v>10</v>
      </c>
      <c r="J699" t="str">
        <f t="shared" si="41"/>
        <v>Q4</v>
      </c>
      <c r="K699" t="str">
        <f t="shared" si="42"/>
        <v>Oct-2021</v>
      </c>
      <c r="L699" t="str">
        <f t="shared" si="43"/>
        <v>Medium</v>
      </c>
    </row>
    <row r="700" spans="1:12" x14ac:dyDescent="0.3">
      <c r="A700">
        <v>2021</v>
      </c>
      <c r="B700" s="2" t="s">
        <v>26</v>
      </c>
      <c r="C700" t="s">
        <v>8</v>
      </c>
      <c r="D700" t="s">
        <v>14</v>
      </c>
      <c r="E700">
        <v>6.84</v>
      </c>
      <c r="F700">
        <v>159</v>
      </c>
      <c r="G700">
        <v>3.7</v>
      </c>
      <c r="H700" s="3">
        <f t="shared" si="40"/>
        <v>44470</v>
      </c>
      <c r="I700">
        <f>MONTH(Table1[[#This Row],[Date]])</f>
        <v>10</v>
      </c>
      <c r="J700" t="str">
        <f t="shared" si="41"/>
        <v>Q4</v>
      </c>
      <c r="K700" t="str">
        <f t="shared" si="42"/>
        <v>Oct-2021</v>
      </c>
      <c r="L700" t="str">
        <f t="shared" si="43"/>
        <v>Medium</v>
      </c>
    </row>
    <row r="701" spans="1:12" x14ac:dyDescent="0.3">
      <c r="A701">
        <v>2021</v>
      </c>
      <c r="B701" s="2" t="s">
        <v>26</v>
      </c>
      <c r="C701" t="s">
        <v>8</v>
      </c>
      <c r="D701" t="s">
        <v>15</v>
      </c>
      <c r="E701">
        <v>28.32</v>
      </c>
      <c r="F701">
        <v>161</v>
      </c>
      <c r="G701">
        <v>3.78</v>
      </c>
      <c r="H701" s="3">
        <f t="shared" si="40"/>
        <v>44470</v>
      </c>
      <c r="I701">
        <f>MONTH(Table1[[#This Row],[Date]])</f>
        <v>10</v>
      </c>
      <c r="J701" t="str">
        <f t="shared" si="41"/>
        <v>Q4</v>
      </c>
      <c r="K701" t="str">
        <f t="shared" si="42"/>
        <v>Oct-2021</v>
      </c>
      <c r="L701" t="str">
        <f t="shared" si="43"/>
        <v>Medium</v>
      </c>
    </row>
    <row r="702" spans="1:12" x14ac:dyDescent="0.3">
      <c r="A702">
        <v>2021</v>
      </c>
      <c r="B702" s="2" t="s">
        <v>26</v>
      </c>
      <c r="C702" t="s">
        <v>16</v>
      </c>
      <c r="D702" t="s">
        <v>9</v>
      </c>
      <c r="E702">
        <v>100</v>
      </c>
      <c r="F702">
        <v>149.6</v>
      </c>
      <c r="G702">
        <v>3.3</v>
      </c>
      <c r="H702" s="3">
        <f t="shared" si="40"/>
        <v>44470</v>
      </c>
      <c r="I702">
        <f>MONTH(Table1[[#This Row],[Date]])</f>
        <v>10</v>
      </c>
      <c r="J702" t="str">
        <f t="shared" si="41"/>
        <v>Q4</v>
      </c>
      <c r="K702" t="str">
        <f t="shared" si="42"/>
        <v>Oct-2021</v>
      </c>
      <c r="L702" t="str">
        <f t="shared" si="43"/>
        <v>Medium</v>
      </c>
    </row>
    <row r="703" spans="1:12" x14ac:dyDescent="0.3">
      <c r="A703">
        <v>2021</v>
      </c>
      <c r="B703" s="2" t="s">
        <v>26</v>
      </c>
      <c r="C703" t="s">
        <v>16</v>
      </c>
      <c r="D703" t="s">
        <v>10</v>
      </c>
      <c r="E703">
        <v>45.86</v>
      </c>
      <c r="F703">
        <v>151.6</v>
      </c>
      <c r="G703">
        <v>3.38</v>
      </c>
      <c r="H703" s="3">
        <f t="shared" si="40"/>
        <v>44470</v>
      </c>
      <c r="I703">
        <f>MONTH(Table1[[#This Row],[Date]])</f>
        <v>10</v>
      </c>
      <c r="J703" t="str">
        <f t="shared" si="41"/>
        <v>Q4</v>
      </c>
      <c r="K703" t="str">
        <f t="shared" si="42"/>
        <v>Oct-2021</v>
      </c>
      <c r="L703" t="str">
        <f t="shared" si="43"/>
        <v>Medium</v>
      </c>
    </row>
    <row r="704" spans="1:12" x14ac:dyDescent="0.3">
      <c r="A704">
        <v>2021</v>
      </c>
      <c r="B704" s="2" t="s">
        <v>26</v>
      </c>
      <c r="C704" t="s">
        <v>16</v>
      </c>
      <c r="D704" t="s">
        <v>11</v>
      </c>
      <c r="E704">
        <v>2.38</v>
      </c>
      <c r="F704">
        <v>153.6</v>
      </c>
      <c r="G704">
        <v>3.46</v>
      </c>
      <c r="H704" s="3">
        <f t="shared" si="40"/>
        <v>44470</v>
      </c>
      <c r="I704">
        <f>MONTH(Table1[[#This Row],[Date]])</f>
        <v>10</v>
      </c>
      <c r="J704" t="str">
        <f t="shared" si="41"/>
        <v>Q4</v>
      </c>
      <c r="K704" t="str">
        <f t="shared" si="42"/>
        <v>Oct-2021</v>
      </c>
      <c r="L704" t="str">
        <f t="shared" si="43"/>
        <v>Medium</v>
      </c>
    </row>
    <row r="705" spans="1:12" x14ac:dyDescent="0.3">
      <c r="A705">
        <v>2021</v>
      </c>
      <c r="B705" s="2" t="s">
        <v>26</v>
      </c>
      <c r="C705" t="s">
        <v>16</v>
      </c>
      <c r="D705" t="s">
        <v>12</v>
      </c>
      <c r="E705">
        <v>6.53</v>
      </c>
      <c r="F705">
        <v>155.6</v>
      </c>
      <c r="G705">
        <v>3.54</v>
      </c>
      <c r="H705" s="3">
        <f t="shared" si="40"/>
        <v>44470</v>
      </c>
      <c r="I705">
        <f>MONTH(Table1[[#This Row],[Date]])</f>
        <v>10</v>
      </c>
      <c r="J705" t="str">
        <f t="shared" si="41"/>
        <v>Q4</v>
      </c>
      <c r="K705" t="str">
        <f t="shared" si="42"/>
        <v>Oct-2021</v>
      </c>
      <c r="L705" t="str">
        <f t="shared" si="43"/>
        <v>Medium</v>
      </c>
    </row>
    <row r="706" spans="1:12" x14ac:dyDescent="0.3">
      <c r="A706">
        <v>2021</v>
      </c>
      <c r="B706" s="2" t="s">
        <v>26</v>
      </c>
      <c r="C706" t="s">
        <v>16</v>
      </c>
      <c r="D706" t="s">
        <v>13</v>
      </c>
      <c r="E706">
        <v>10.07</v>
      </c>
      <c r="F706">
        <v>157.6</v>
      </c>
      <c r="G706">
        <v>3.62</v>
      </c>
      <c r="H706" s="3">
        <f t="shared" ref="H706:H769" si="44">DATE(A706,MONTH(DATEVALUE(B706&amp;" 1")),1)</f>
        <v>44470</v>
      </c>
      <c r="I706">
        <f>MONTH(Table1[[#This Row],[Date]])</f>
        <v>10</v>
      </c>
      <c r="J706" t="str">
        <f t="shared" ref="J706:J769" si="45">"Q"&amp;ROUNDUP(MONTH(H706)/3,0)</f>
        <v>Q4</v>
      </c>
      <c r="K706" t="str">
        <f t="shared" ref="K706:K769" si="46">TEXT(H706,"mmm-yyyy")</f>
        <v>Oct-2021</v>
      </c>
      <c r="L706" t="str">
        <f t="shared" ref="L706:L769" si="47">IF(G706&lt;3,"Low",IF(G706&lt;4,"Medium","High"))</f>
        <v>Medium</v>
      </c>
    </row>
    <row r="707" spans="1:12" x14ac:dyDescent="0.3">
      <c r="A707">
        <v>2021</v>
      </c>
      <c r="B707" s="2" t="s">
        <v>26</v>
      </c>
      <c r="C707" t="s">
        <v>16</v>
      </c>
      <c r="D707" t="s">
        <v>14</v>
      </c>
      <c r="E707">
        <v>6.84</v>
      </c>
      <c r="F707">
        <v>159.6</v>
      </c>
      <c r="G707">
        <v>3.7</v>
      </c>
      <c r="H707" s="3">
        <f t="shared" si="44"/>
        <v>44470</v>
      </c>
      <c r="I707">
        <f>MONTH(Table1[[#This Row],[Date]])</f>
        <v>10</v>
      </c>
      <c r="J707" t="str">
        <f t="shared" si="45"/>
        <v>Q4</v>
      </c>
      <c r="K707" t="str">
        <f t="shared" si="46"/>
        <v>Oct-2021</v>
      </c>
      <c r="L707" t="str">
        <f t="shared" si="47"/>
        <v>Medium</v>
      </c>
    </row>
    <row r="708" spans="1:12" x14ac:dyDescent="0.3">
      <c r="A708">
        <v>2021</v>
      </c>
      <c r="B708" s="2" t="s">
        <v>26</v>
      </c>
      <c r="C708" t="s">
        <v>16</v>
      </c>
      <c r="D708" t="s">
        <v>15</v>
      </c>
      <c r="E708">
        <v>28.32</v>
      </c>
      <c r="F708">
        <v>161.6</v>
      </c>
      <c r="G708">
        <v>3.78</v>
      </c>
      <c r="H708" s="3">
        <f t="shared" si="44"/>
        <v>44470</v>
      </c>
      <c r="I708">
        <f>MONTH(Table1[[#This Row],[Date]])</f>
        <v>10</v>
      </c>
      <c r="J708" t="str">
        <f t="shared" si="45"/>
        <v>Q4</v>
      </c>
      <c r="K708" t="str">
        <f t="shared" si="46"/>
        <v>Oct-2021</v>
      </c>
      <c r="L708" t="str">
        <f t="shared" si="47"/>
        <v>Medium</v>
      </c>
    </row>
    <row r="709" spans="1:12" x14ac:dyDescent="0.3">
      <c r="A709">
        <v>2021</v>
      </c>
      <c r="B709" s="2" t="s">
        <v>26</v>
      </c>
      <c r="C709" t="s">
        <v>17</v>
      </c>
      <c r="D709" t="s">
        <v>9</v>
      </c>
      <c r="E709">
        <v>100</v>
      </c>
      <c r="F709">
        <v>150.19999999999999</v>
      </c>
      <c r="G709">
        <v>3.3</v>
      </c>
      <c r="H709" s="3">
        <f t="shared" si="44"/>
        <v>44470</v>
      </c>
      <c r="I709">
        <f>MONTH(Table1[[#This Row],[Date]])</f>
        <v>10</v>
      </c>
      <c r="J709" t="str">
        <f t="shared" si="45"/>
        <v>Q4</v>
      </c>
      <c r="K709" t="str">
        <f t="shared" si="46"/>
        <v>Oct-2021</v>
      </c>
      <c r="L709" t="str">
        <f t="shared" si="47"/>
        <v>Medium</v>
      </c>
    </row>
    <row r="710" spans="1:12" x14ac:dyDescent="0.3">
      <c r="A710">
        <v>2021</v>
      </c>
      <c r="B710" s="2" t="s">
        <v>26</v>
      </c>
      <c r="C710" t="s">
        <v>17</v>
      </c>
      <c r="D710" t="s">
        <v>10</v>
      </c>
      <c r="E710">
        <v>45.86</v>
      </c>
      <c r="F710">
        <v>152.19999999999999</v>
      </c>
      <c r="G710">
        <v>3.38</v>
      </c>
      <c r="H710" s="3">
        <f t="shared" si="44"/>
        <v>44470</v>
      </c>
      <c r="I710">
        <f>MONTH(Table1[[#This Row],[Date]])</f>
        <v>10</v>
      </c>
      <c r="J710" t="str">
        <f t="shared" si="45"/>
        <v>Q4</v>
      </c>
      <c r="K710" t="str">
        <f t="shared" si="46"/>
        <v>Oct-2021</v>
      </c>
      <c r="L710" t="str">
        <f t="shared" si="47"/>
        <v>Medium</v>
      </c>
    </row>
    <row r="711" spans="1:12" x14ac:dyDescent="0.3">
      <c r="A711">
        <v>2021</v>
      </c>
      <c r="B711" s="2" t="s">
        <v>26</v>
      </c>
      <c r="C711" t="s">
        <v>17</v>
      </c>
      <c r="D711" t="s">
        <v>11</v>
      </c>
      <c r="E711">
        <v>2.38</v>
      </c>
      <c r="F711">
        <v>154.19999999999999</v>
      </c>
      <c r="G711">
        <v>3.46</v>
      </c>
      <c r="H711" s="3">
        <f t="shared" si="44"/>
        <v>44470</v>
      </c>
      <c r="I711">
        <f>MONTH(Table1[[#This Row],[Date]])</f>
        <v>10</v>
      </c>
      <c r="J711" t="str">
        <f t="shared" si="45"/>
        <v>Q4</v>
      </c>
      <c r="K711" t="str">
        <f t="shared" si="46"/>
        <v>Oct-2021</v>
      </c>
      <c r="L711" t="str">
        <f t="shared" si="47"/>
        <v>Medium</v>
      </c>
    </row>
    <row r="712" spans="1:12" x14ac:dyDescent="0.3">
      <c r="A712">
        <v>2021</v>
      </c>
      <c r="B712" s="2" t="s">
        <v>26</v>
      </c>
      <c r="C712" t="s">
        <v>17</v>
      </c>
      <c r="D712" t="s">
        <v>12</v>
      </c>
      <c r="E712">
        <v>6.53</v>
      </c>
      <c r="F712">
        <v>156.19999999999999</v>
      </c>
      <c r="G712">
        <v>3.54</v>
      </c>
      <c r="H712" s="3">
        <f t="shared" si="44"/>
        <v>44470</v>
      </c>
      <c r="I712">
        <f>MONTH(Table1[[#This Row],[Date]])</f>
        <v>10</v>
      </c>
      <c r="J712" t="str">
        <f t="shared" si="45"/>
        <v>Q4</v>
      </c>
      <c r="K712" t="str">
        <f t="shared" si="46"/>
        <v>Oct-2021</v>
      </c>
      <c r="L712" t="str">
        <f t="shared" si="47"/>
        <v>Medium</v>
      </c>
    </row>
    <row r="713" spans="1:12" x14ac:dyDescent="0.3">
      <c r="A713">
        <v>2021</v>
      </c>
      <c r="B713" s="2" t="s">
        <v>26</v>
      </c>
      <c r="C713" t="s">
        <v>17</v>
      </c>
      <c r="D713" t="s">
        <v>13</v>
      </c>
      <c r="E713">
        <v>10.07</v>
      </c>
      <c r="F713">
        <v>158.19999999999999</v>
      </c>
      <c r="G713">
        <v>3.62</v>
      </c>
      <c r="H713" s="3">
        <f t="shared" si="44"/>
        <v>44470</v>
      </c>
      <c r="I713">
        <f>MONTH(Table1[[#This Row],[Date]])</f>
        <v>10</v>
      </c>
      <c r="J713" t="str">
        <f t="shared" si="45"/>
        <v>Q4</v>
      </c>
      <c r="K713" t="str">
        <f t="shared" si="46"/>
        <v>Oct-2021</v>
      </c>
      <c r="L713" t="str">
        <f t="shared" si="47"/>
        <v>Medium</v>
      </c>
    </row>
    <row r="714" spans="1:12" x14ac:dyDescent="0.3">
      <c r="A714">
        <v>2021</v>
      </c>
      <c r="B714" s="2" t="s">
        <v>26</v>
      </c>
      <c r="C714" t="s">
        <v>17</v>
      </c>
      <c r="D714" t="s">
        <v>14</v>
      </c>
      <c r="E714">
        <v>6.84</v>
      </c>
      <c r="F714">
        <v>160.19999999999999</v>
      </c>
      <c r="G714">
        <v>3.7</v>
      </c>
      <c r="H714" s="3">
        <f t="shared" si="44"/>
        <v>44470</v>
      </c>
      <c r="I714">
        <f>MONTH(Table1[[#This Row],[Date]])</f>
        <v>10</v>
      </c>
      <c r="J714" t="str">
        <f t="shared" si="45"/>
        <v>Q4</v>
      </c>
      <c r="K714" t="str">
        <f t="shared" si="46"/>
        <v>Oct-2021</v>
      </c>
      <c r="L714" t="str">
        <f t="shared" si="47"/>
        <v>Medium</v>
      </c>
    </row>
    <row r="715" spans="1:12" x14ac:dyDescent="0.3">
      <c r="A715">
        <v>2021</v>
      </c>
      <c r="B715" s="2" t="s">
        <v>26</v>
      </c>
      <c r="C715" t="s">
        <v>17</v>
      </c>
      <c r="D715" t="s">
        <v>15</v>
      </c>
      <c r="E715">
        <v>28.32</v>
      </c>
      <c r="F715">
        <v>162.19999999999999</v>
      </c>
      <c r="G715">
        <v>3.78</v>
      </c>
      <c r="H715" s="3">
        <f t="shared" si="44"/>
        <v>44470</v>
      </c>
      <c r="I715">
        <f>MONTH(Table1[[#This Row],[Date]])</f>
        <v>10</v>
      </c>
      <c r="J715" t="str">
        <f t="shared" si="45"/>
        <v>Q4</v>
      </c>
      <c r="K715" t="str">
        <f t="shared" si="46"/>
        <v>Oct-2021</v>
      </c>
      <c r="L715" t="str">
        <f t="shared" si="47"/>
        <v>Medium</v>
      </c>
    </row>
    <row r="716" spans="1:12" x14ac:dyDescent="0.3">
      <c r="A716">
        <v>2021</v>
      </c>
      <c r="B716" s="2" t="s">
        <v>27</v>
      </c>
      <c r="C716" t="s">
        <v>8</v>
      </c>
      <c r="D716" t="s">
        <v>9</v>
      </c>
      <c r="E716">
        <v>100</v>
      </c>
      <c r="F716">
        <v>149.4</v>
      </c>
      <c r="G716">
        <v>3.45</v>
      </c>
      <c r="H716" s="3">
        <f t="shared" si="44"/>
        <v>44501</v>
      </c>
      <c r="I716">
        <f>MONTH(Table1[[#This Row],[Date]])</f>
        <v>11</v>
      </c>
      <c r="J716" t="str">
        <f t="shared" si="45"/>
        <v>Q4</v>
      </c>
      <c r="K716" t="str">
        <f t="shared" si="46"/>
        <v>Nov-2021</v>
      </c>
      <c r="L716" t="str">
        <f t="shared" si="47"/>
        <v>Medium</v>
      </c>
    </row>
    <row r="717" spans="1:12" x14ac:dyDescent="0.3">
      <c r="A717">
        <v>2021</v>
      </c>
      <c r="B717" s="2" t="s">
        <v>27</v>
      </c>
      <c r="C717" t="s">
        <v>8</v>
      </c>
      <c r="D717" t="s">
        <v>10</v>
      </c>
      <c r="E717">
        <v>45.86</v>
      </c>
      <c r="F717">
        <v>151.4</v>
      </c>
      <c r="G717">
        <v>3.53</v>
      </c>
      <c r="H717" s="3">
        <f t="shared" si="44"/>
        <v>44501</v>
      </c>
      <c r="I717">
        <f>MONTH(Table1[[#This Row],[Date]])</f>
        <v>11</v>
      </c>
      <c r="J717" t="str">
        <f t="shared" si="45"/>
        <v>Q4</v>
      </c>
      <c r="K717" t="str">
        <f t="shared" si="46"/>
        <v>Nov-2021</v>
      </c>
      <c r="L717" t="str">
        <f t="shared" si="47"/>
        <v>Medium</v>
      </c>
    </row>
    <row r="718" spans="1:12" x14ac:dyDescent="0.3">
      <c r="A718">
        <v>2021</v>
      </c>
      <c r="B718" s="2" t="s">
        <v>27</v>
      </c>
      <c r="C718" t="s">
        <v>8</v>
      </c>
      <c r="D718" t="s">
        <v>11</v>
      </c>
      <c r="E718">
        <v>2.38</v>
      </c>
      <c r="F718">
        <v>153.4</v>
      </c>
      <c r="G718">
        <v>3.61</v>
      </c>
      <c r="H718" s="3">
        <f t="shared" si="44"/>
        <v>44501</v>
      </c>
      <c r="I718">
        <f>MONTH(Table1[[#This Row],[Date]])</f>
        <v>11</v>
      </c>
      <c r="J718" t="str">
        <f t="shared" si="45"/>
        <v>Q4</v>
      </c>
      <c r="K718" t="str">
        <f t="shared" si="46"/>
        <v>Nov-2021</v>
      </c>
      <c r="L718" t="str">
        <f t="shared" si="47"/>
        <v>Medium</v>
      </c>
    </row>
    <row r="719" spans="1:12" x14ac:dyDescent="0.3">
      <c r="A719">
        <v>2021</v>
      </c>
      <c r="B719" s="2" t="s">
        <v>27</v>
      </c>
      <c r="C719" t="s">
        <v>8</v>
      </c>
      <c r="D719" t="s">
        <v>12</v>
      </c>
      <c r="E719">
        <v>6.53</v>
      </c>
      <c r="F719">
        <v>155.4</v>
      </c>
      <c r="G719">
        <v>3.69</v>
      </c>
      <c r="H719" s="3">
        <f t="shared" si="44"/>
        <v>44501</v>
      </c>
      <c r="I719">
        <f>MONTH(Table1[[#This Row],[Date]])</f>
        <v>11</v>
      </c>
      <c r="J719" t="str">
        <f t="shared" si="45"/>
        <v>Q4</v>
      </c>
      <c r="K719" t="str">
        <f t="shared" si="46"/>
        <v>Nov-2021</v>
      </c>
      <c r="L719" t="str">
        <f t="shared" si="47"/>
        <v>Medium</v>
      </c>
    </row>
    <row r="720" spans="1:12" x14ac:dyDescent="0.3">
      <c r="A720">
        <v>2021</v>
      </c>
      <c r="B720" s="2" t="s">
        <v>27</v>
      </c>
      <c r="C720" t="s">
        <v>8</v>
      </c>
      <c r="D720" t="s">
        <v>13</v>
      </c>
      <c r="E720">
        <v>10.07</v>
      </c>
      <c r="F720">
        <v>157.4</v>
      </c>
      <c r="G720">
        <v>3.77</v>
      </c>
      <c r="H720" s="3">
        <f t="shared" si="44"/>
        <v>44501</v>
      </c>
      <c r="I720">
        <f>MONTH(Table1[[#This Row],[Date]])</f>
        <v>11</v>
      </c>
      <c r="J720" t="str">
        <f t="shared" si="45"/>
        <v>Q4</v>
      </c>
      <c r="K720" t="str">
        <f t="shared" si="46"/>
        <v>Nov-2021</v>
      </c>
      <c r="L720" t="str">
        <f t="shared" si="47"/>
        <v>Medium</v>
      </c>
    </row>
    <row r="721" spans="1:12" x14ac:dyDescent="0.3">
      <c r="A721">
        <v>2021</v>
      </c>
      <c r="B721" s="2" t="s">
        <v>27</v>
      </c>
      <c r="C721" t="s">
        <v>8</v>
      </c>
      <c r="D721" t="s">
        <v>14</v>
      </c>
      <c r="E721">
        <v>6.84</v>
      </c>
      <c r="F721">
        <v>159.4</v>
      </c>
      <c r="G721">
        <v>3.85</v>
      </c>
      <c r="H721" s="3">
        <f t="shared" si="44"/>
        <v>44501</v>
      </c>
      <c r="I721">
        <f>MONTH(Table1[[#This Row],[Date]])</f>
        <v>11</v>
      </c>
      <c r="J721" t="str">
        <f t="shared" si="45"/>
        <v>Q4</v>
      </c>
      <c r="K721" t="str">
        <f t="shared" si="46"/>
        <v>Nov-2021</v>
      </c>
      <c r="L721" t="str">
        <f t="shared" si="47"/>
        <v>Medium</v>
      </c>
    </row>
    <row r="722" spans="1:12" x14ac:dyDescent="0.3">
      <c r="A722">
        <v>2021</v>
      </c>
      <c r="B722" s="2" t="s">
        <v>27</v>
      </c>
      <c r="C722" t="s">
        <v>8</v>
      </c>
      <c r="D722" t="s">
        <v>15</v>
      </c>
      <c r="E722">
        <v>28.32</v>
      </c>
      <c r="F722">
        <v>161.4</v>
      </c>
      <c r="G722">
        <v>3.93</v>
      </c>
      <c r="H722" s="3">
        <f t="shared" si="44"/>
        <v>44501</v>
      </c>
      <c r="I722">
        <f>MONTH(Table1[[#This Row],[Date]])</f>
        <v>11</v>
      </c>
      <c r="J722" t="str">
        <f t="shared" si="45"/>
        <v>Q4</v>
      </c>
      <c r="K722" t="str">
        <f t="shared" si="46"/>
        <v>Nov-2021</v>
      </c>
      <c r="L722" t="str">
        <f t="shared" si="47"/>
        <v>Medium</v>
      </c>
    </row>
    <row r="723" spans="1:12" x14ac:dyDescent="0.3">
      <c r="A723">
        <v>2021</v>
      </c>
      <c r="B723" s="2" t="s">
        <v>27</v>
      </c>
      <c r="C723" t="s">
        <v>16</v>
      </c>
      <c r="D723" t="s">
        <v>9</v>
      </c>
      <c r="E723">
        <v>100</v>
      </c>
      <c r="F723">
        <v>150</v>
      </c>
      <c r="G723">
        <v>3.45</v>
      </c>
      <c r="H723" s="3">
        <f t="shared" si="44"/>
        <v>44501</v>
      </c>
      <c r="I723">
        <f>MONTH(Table1[[#This Row],[Date]])</f>
        <v>11</v>
      </c>
      <c r="J723" t="str">
        <f t="shared" si="45"/>
        <v>Q4</v>
      </c>
      <c r="K723" t="str">
        <f t="shared" si="46"/>
        <v>Nov-2021</v>
      </c>
      <c r="L723" t="str">
        <f t="shared" si="47"/>
        <v>Medium</v>
      </c>
    </row>
    <row r="724" spans="1:12" x14ac:dyDescent="0.3">
      <c r="A724">
        <v>2021</v>
      </c>
      <c r="B724" s="2" t="s">
        <v>27</v>
      </c>
      <c r="C724" t="s">
        <v>16</v>
      </c>
      <c r="D724" t="s">
        <v>10</v>
      </c>
      <c r="E724">
        <v>45.86</v>
      </c>
      <c r="F724">
        <v>152</v>
      </c>
      <c r="G724">
        <v>3.53</v>
      </c>
      <c r="H724" s="3">
        <f t="shared" si="44"/>
        <v>44501</v>
      </c>
      <c r="I724">
        <f>MONTH(Table1[[#This Row],[Date]])</f>
        <v>11</v>
      </c>
      <c r="J724" t="str">
        <f t="shared" si="45"/>
        <v>Q4</v>
      </c>
      <c r="K724" t="str">
        <f t="shared" si="46"/>
        <v>Nov-2021</v>
      </c>
      <c r="L724" t="str">
        <f t="shared" si="47"/>
        <v>Medium</v>
      </c>
    </row>
    <row r="725" spans="1:12" x14ac:dyDescent="0.3">
      <c r="A725">
        <v>2021</v>
      </c>
      <c r="B725" s="2" t="s">
        <v>27</v>
      </c>
      <c r="C725" t="s">
        <v>16</v>
      </c>
      <c r="D725" t="s">
        <v>11</v>
      </c>
      <c r="E725">
        <v>2.38</v>
      </c>
      <c r="F725">
        <v>154</v>
      </c>
      <c r="G725">
        <v>3.61</v>
      </c>
      <c r="H725" s="3">
        <f t="shared" si="44"/>
        <v>44501</v>
      </c>
      <c r="I725">
        <f>MONTH(Table1[[#This Row],[Date]])</f>
        <v>11</v>
      </c>
      <c r="J725" t="str">
        <f t="shared" si="45"/>
        <v>Q4</v>
      </c>
      <c r="K725" t="str">
        <f t="shared" si="46"/>
        <v>Nov-2021</v>
      </c>
      <c r="L725" t="str">
        <f t="shared" si="47"/>
        <v>Medium</v>
      </c>
    </row>
    <row r="726" spans="1:12" x14ac:dyDescent="0.3">
      <c r="A726">
        <v>2021</v>
      </c>
      <c r="B726" s="2" t="s">
        <v>27</v>
      </c>
      <c r="C726" t="s">
        <v>16</v>
      </c>
      <c r="D726" t="s">
        <v>12</v>
      </c>
      <c r="E726">
        <v>6.53</v>
      </c>
      <c r="F726">
        <v>156</v>
      </c>
      <c r="G726">
        <v>3.69</v>
      </c>
      <c r="H726" s="3">
        <f t="shared" si="44"/>
        <v>44501</v>
      </c>
      <c r="I726">
        <f>MONTH(Table1[[#This Row],[Date]])</f>
        <v>11</v>
      </c>
      <c r="J726" t="str">
        <f t="shared" si="45"/>
        <v>Q4</v>
      </c>
      <c r="K726" t="str">
        <f t="shared" si="46"/>
        <v>Nov-2021</v>
      </c>
      <c r="L726" t="str">
        <f t="shared" si="47"/>
        <v>Medium</v>
      </c>
    </row>
    <row r="727" spans="1:12" x14ac:dyDescent="0.3">
      <c r="A727">
        <v>2021</v>
      </c>
      <c r="B727" s="2" t="s">
        <v>27</v>
      </c>
      <c r="C727" t="s">
        <v>16</v>
      </c>
      <c r="D727" t="s">
        <v>13</v>
      </c>
      <c r="E727">
        <v>10.07</v>
      </c>
      <c r="F727">
        <v>158</v>
      </c>
      <c r="G727">
        <v>3.77</v>
      </c>
      <c r="H727" s="3">
        <f t="shared" si="44"/>
        <v>44501</v>
      </c>
      <c r="I727">
        <f>MONTH(Table1[[#This Row],[Date]])</f>
        <v>11</v>
      </c>
      <c r="J727" t="str">
        <f t="shared" si="45"/>
        <v>Q4</v>
      </c>
      <c r="K727" t="str">
        <f t="shared" si="46"/>
        <v>Nov-2021</v>
      </c>
      <c r="L727" t="str">
        <f t="shared" si="47"/>
        <v>Medium</v>
      </c>
    </row>
    <row r="728" spans="1:12" x14ac:dyDescent="0.3">
      <c r="A728">
        <v>2021</v>
      </c>
      <c r="B728" s="2" t="s">
        <v>27</v>
      </c>
      <c r="C728" t="s">
        <v>16</v>
      </c>
      <c r="D728" t="s">
        <v>14</v>
      </c>
      <c r="E728">
        <v>6.84</v>
      </c>
      <c r="F728">
        <v>160</v>
      </c>
      <c r="G728">
        <v>3.85</v>
      </c>
      <c r="H728" s="3">
        <f t="shared" si="44"/>
        <v>44501</v>
      </c>
      <c r="I728">
        <f>MONTH(Table1[[#This Row],[Date]])</f>
        <v>11</v>
      </c>
      <c r="J728" t="str">
        <f t="shared" si="45"/>
        <v>Q4</v>
      </c>
      <c r="K728" t="str">
        <f t="shared" si="46"/>
        <v>Nov-2021</v>
      </c>
      <c r="L728" t="str">
        <f t="shared" si="47"/>
        <v>Medium</v>
      </c>
    </row>
    <row r="729" spans="1:12" x14ac:dyDescent="0.3">
      <c r="A729">
        <v>2021</v>
      </c>
      <c r="B729" s="2" t="s">
        <v>27</v>
      </c>
      <c r="C729" t="s">
        <v>16</v>
      </c>
      <c r="D729" t="s">
        <v>15</v>
      </c>
      <c r="E729">
        <v>28.32</v>
      </c>
      <c r="F729">
        <v>162</v>
      </c>
      <c r="G729">
        <v>3.93</v>
      </c>
      <c r="H729" s="3">
        <f t="shared" si="44"/>
        <v>44501</v>
      </c>
      <c r="I729">
        <f>MONTH(Table1[[#This Row],[Date]])</f>
        <v>11</v>
      </c>
      <c r="J729" t="str">
        <f t="shared" si="45"/>
        <v>Q4</v>
      </c>
      <c r="K729" t="str">
        <f t="shared" si="46"/>
        <v>Nov-2021</v>
      </c>
      <c r="L729" t="str">
        <f t="shared" si="47"/>
        <v>Medium</v>
      </c>
    </row>
    <row r="730" spans="1:12" x14ac:dyDescent="0.3">
      <c r="A730">
        <v>2021</v>
      </c>
      <c r="B730" s="2" t="s">
        <v>27</v>
      </c>
      <c r="C730" t="s">
        <v>17</v>
      </c>
      <c r="D730" t="s">
        <v>9</v>
      </c>
      <c r="E730">
        <v>100</v>
      </c>
      <c r="F730">
        <v>150.6</v>
      </c>
      <c r="G730">
        <v>3.45</v>
      </c>
      <c r="H730" s="3">
        <f t="shared" si="44"/>
        <v>44501</v>
      </c>
      <c r="I730">
        <f>MONTH(Table1[[#This Row],[Date]])</f>
        <v>11</v>
      </c>
      <c r="J730" t="str">
        <f t="shared" si="45"/>
        <v>Q4</v>
      </c>
      <c r="K730" t="str">
        <f t="shared" si="46"/>
        <v>Nov-2021</v>
      </c>
      <c r="L730" t="str">
        <f t="shared" si="47"/>
        <v>Medium</v>
      </c>
    </row>
    <row r="731" spans="1:12" x14ac:dyDescent="0.3">
      <c r="A731">
        <v>2021</v>
      </c>
      <c r="B731" s="2" t="s">
        <v>27</v>
      </c>
      <c r="C731" t="s">
        <v>17</v>
      </c>
      <c r="D731" t="s">
        <v>10</v>
      </c>
      <c r="E731">
        <v>45.86</v>
      </c>
      <c r="F731">
        <v>152.6</v>
      </c>
      <c r="G731">
        <v>3.53</v>
      </c>
      <c r="H731" s="3">
        <f t="shared" si="44"/>
        <v>44501</v>
      </c>
      <c r="I731">
        <f>MONTH(Table1[[#This Row],[Date]])</f>
        <v>11</v>
      </c>
      <c r="J731" t="str">
        <f t="shared" si="45"/>
        <v>Q4</v>
      </c>
      <c r="K731" t="str">
        <f t="shared" si="46"/>
        <v>Nov-2021</v>
      </c>
      <c r="L731" t="str">
        <f t="shared" si="47"/>
        <v>Medium</v>
      </c>
    </row>
    <row r="732" spans="1:12" x14ac:dyDescent="0.3">
      <c r="A732">
        <v>2021</v>
      </c>
      <c r="B732" s="2" t="s">
        <v>27</v>
      </c>
      <c r="C732" t="s">
        <v>17</v>
      </c>
      <c r="D732" t="s">
        <v>11</v>
      </c>
      <c r="E732">
        <v>2.38</v>
      </c>
      <c r="F732">
        <v>154.6</v>
      </c>
      <c r="G732">
        <v>3.61</v>
      </c>
      <c r="H732" s="3">
        <f t="shared" si="44"/>
        <v>44501</v>
      </c>
      <c r="I732">
        <f>MONTH(Table1[[#This Row],[Date]])</f>
        <v>11</v>
      </c>
      <c r="J732" t="str">
        <f t="shared" si="45"/>
        <v>Q4</v>
      </c>
      <c r="K732" t="str">
        <f t="shared" si="46"/>
        <v>Nov-2021</v>
      </c>
      <c r="L732" t="str">
        <f t="shared" si="47"/>
        <v>Medium</v>
      </c>
    </row>
    <row r="733" spans="1:12" x14ac:dyDescent="0.3">
      <c r="A733">
        <v>2021</v>
      </c>
      <c r="B733" s="2" t="s">
        <v>27</v>
      </c>
      <c r="C733" t="s">
        <v>17</v>
      </c>
      <c r="D733" t="s">
        <v>12</v>
      </c>
      <c r="E733">
        <v>6.53</v>
      </c>
      <c r="F733">
        <v>156.6</v>
      </c>
      <c r="G733">
        <v>3.69</v>
      </c>
      <c r="H733" s="3">
        <f t="shared" si="44"/>
        <v>44501</v>
      </c>
      <c r="I733">
        <f>MONTH(Table1[[#This Row],[Date]])</f>
        <v>11</v>
      </c>
      <c r="J733" t="str">
        <f t="shared" si="45"/>
        <v>Q4</v>
      </c>
      <c r="K733" t="str">
        <f t="shared" si="46"/>
        <v>Nov-2021</v>
      </c>
      <c r="L733" t="str">
        <f t="shared" si="47"/>
        <v>Medium</v>
      </c>
    </row>
    <row r="734" spans="1:12" x14ac:dyDescent="0.3">
      <c r="A734">
        <v>2021</v>
      </c>
      <c r="B734" s="2" t="s">
        <v>27</v>
      </c>
      <c r="C734" t="s">
        <v>17</v>
      </c>
      <c r="D734" t="s">
        <v>13</v>
      </c>
      <c r="E734">
        <v>10.07</v>
      </c>
      <c r="F734">
        <v>158.6</v>
      </c>
      <c r="G734">
        <v>3.77</v>
      </c>
      <c r="H734" s="3">
        <f t="shared" si="44"/>
        <v>44501</v>
      </c>
      <c r="I734">
        <f>MONTH(Table1[[#This Row],[Date]])</f>
        <v>11</v>
      </c>
      <c r="J734" t="str">
        <f t="shared" si="45"/>
        <v>Q4</v>
      </c>
      <c r="K734" t="str">
        <f t="shared" si="46"/>
        <v>Nov-2021</v>
      </c>
      <c r="L734" t="str">
        <f t="shared" si="47"/>
        <v>Medium</v>
      </c>
    </row>
    <row r="735" spans="1:12" x14ac:dyDescent="0.3">
      <c r="A735">
        <v>2021</v>
      </c>
      <c r="B735" s="2" t="s">
        <v>27</v>
      </c>
      <c r="C735" t="s">
        <v>17</v>
      </c>
      <c r="D735" t="s">
        <v>14</v>
      </c>
      <c r="E735">
        <v>6.84</v>
      </c>
      <c r="F735">
        <v>160.6</v>
      </c>
      <c r="G735">
        <v>3.85</v>
      </c>
      <c r="H735" s="3">
        <f t="shared" si="44"/>
        <v>44501</v>
      </c>
      <c r="I735">
        <f>MONTH(Table1[[#This Row],[Date]])</f>
        <v>11</v>
      </c>
      <c r="J735" t="str">
        <f t="shared" si="45"/>
        <v>Q4</v>
      </c>
      <c r="K735" t="str">
        <f t="shared" si="46"/>
        <v>Nov-2021</v>
      </c>
      <c r="L735" t="str">
        <f t="shared" si="47"/>
        <v>Medium</v>
      </c>
    </row>
    <row r="736" spans="1:12" x14ac:dyDescent="0.3">
      <c r="A736">
        <v>2021</v>
      </c>
      <c r="B736" s="2" t="s">
        <v>27</v>
      </c>
      <c r="C736" t="s">
        <v>17</v>
      </c>
      <c r="D736" t="s">
        <v>15</v>
      </c>
      <c r="E736">
        <v>28.32</v>
      </c>
      <c r="F736">
        <v>162.6</v>
      </c>
      <c r="G736">
        <v>3.93</v>
      </c>
      <c r="H736" s="3">
        <f t="shared" si="44"/>
        <v>44501</v>
      </c>
      <c r="I736">
        <f>MONTH(Table1[[#This Row],[Date]])</f>
        <v>11</v>
      </c>
      <c r="J736" t="str">
        <f t="shared" si="45"/>
        <v>Q4</v>
      </c>
      <c r="K736" t="str">
        <f t="shared" si="46"/>
        <v>Nov-2021</v>
      </c>
      <c r="L736" t="str">
        <f t="shared" si="47"/>
        <v>Medium</v>
      </c>
    </row>
    <row r="737" spans="1:12" x14ac:dyDescent="0.3">
      <c r="A737">
        <v>2021</v>
      </c>
      <c r="B737" s="2" t="s">
        <v>28</v>
      </c>
      <c r="C737" t="s">
        <v>8</v>
      </c>
      <c r="D737" t="s">
        <v>9</v>
      </c>
      <c r="E737">
        <v>100</v>
      </c>
      <c r="F737">
        <v>149.80000000000001</v>
      </c>
      <c r="G737">
        <v>2.7</v>
      </c>
      <c r="H737" s="3">
        <f t="shared" si="44"/>
        <v>44531</v>
      </c>
      <c r="I737">
        <f>MONTH(Table1[[#This Row],[Date]])</f>
        <v>12</v>
      </c>
      <c r="J737" t="str">
        <f t="shared" si="45"/>
        <v>Q4</v>
      </c>
      <c r="K737" t="str">
        <f t="shared" si="46"/>
        <v>Dec-2021</v>
      </c>
      <c r="L737" t="str">
        <f t="shared" si="47"/>
        <v>Low</v>
      </c>
    </row>
    <row r="738" spans="1:12" x14ac:dyDescent="0.3">
      <c r="A738">
        <v>2021</v>
      </c>
      <c r="B738" s="2" t="s">
        <v>28</v>
      </c>
      <c r="C738" t="s">
        <v>8</v>
      </c>
      <c r="D738" t="s">
        <v>10</v>
      </c>
      <c r="E738">
        <v>45.86</v>
      </c>
      <c r="F738">
        <v>151.80000000000001</v>
      </c>
      <c r="G738">
        <v>2.78</v>
      </c>
      <c r="H738" s="3">
        <f t="shared" si="44"/>
        <v>44531</v>
      </c>
      <c r="I738">
        <f>MONTH(Table1[[#This Row],[Date]])</f>
        <v>12</v>
      </c>
      <c r="J738" t="str">
        <f t="shared" si="45"/>
        <v>Q4</v>
      </c>
      <c r="K738" t="str">
        <f t="shared" si="46"/>
        <v>Dec-2021</v>
      </c>
      <c r="L738" t="str">
        <f t="shared" si="47"/>
        <v>Low</v>
      </c>
    </row>
    <row r="739" spans="1:12" x14ac:dyDescent="0.3">
      <c r="A739">
        <v>2021</v>
      </c>
      <c r="B739" s="2" t="s">
        <v>28</v>
      </c>
      <c r="C739" t="s">
        <v>8</v>
      </c>
      <c r="D739" t="s">
        <v>11</v>
      </c>
      <c r="E739">
        <v>2.38</v>
      </c>
      <c r="F739">
        <v>153.80000000000001</v>
      </c>
      <c r="G739">
        <v>2.86</v>
      </c>
      <c r="H739" s="3">
        <f t="shared" si="44"/>
        <v>44531</v>
      </c>
      <c r="I739">
        <f>MONTH(Table1[[#This Row],[Date]])</f>
        <v>12</v>
      </c>
      <c r="J739" t="str">
        <f t="shared" si="45"/>
        <v>Q4</v>
      </c>
      <c r="K739" t="str">
        <f t="shared" si="46"/>
        <v>Dec-2021</v>
      </c>
      <c r="L739" t="str">
        <f t="shared" si="47"/>
        <v>Low</v>
      </c>
    </row>
    <row r="740" spans="1:12" x14ac:dyDescent="0.3">
      <c r="A740">
        <v>2021</v>
      </c>
      <c r="B740" s="2" t="s">
        <v>28</v>
      </c>
      <c r="C740" t="s">
        <v>8</v>
      </c>
      <c r="D740" t="s">
        <v>12</v>
      </c>
      <c r="E740">
        <v>6.53</v>
      </c>
      <c r="F740">
        <v>155.80000000000001</v>
      </c>
      <c r="G740">
        <v>2.94</v>
      </c>
      <c r="H740" s="3">
        <f t="shared" si="44"/>
        <v>44531</v>
      </c>
      <c r="I740">
        <f>MONTH(Table1[[#This Row],[Date]])</f>
        <v>12</v>
      </c>
      <c r="J740" t="str">
        <f t="shared" si="45"/>
        <v>Q4</v>
      </c>
      <c r="K740" t="str">
        <f t="shared" si="46"/>
        <v>Dec-2021</v>
      </c>
      <c r="L740" t="str">
        <f t="shared" si="47"/>
        <v>Low</v>
      </c>
    </row>
    <row r="741" spans="1:12" x14ac:dyDescent="0.3">
      <c r="A741">
        <v>2021</v>
      </c>
      <c r="B741" s="2" t="s">
        <v>28</v>
      </c>
      <c r="C741" t="s">
        <v>8</v>
      </c>
      <c r="D741" t="s">
        <v>13</v>
      </c>
      <c r="E741">
        <v>10.07</v>
      </c>
      <c r="F741">
        <v>157.80000000000001</v>
      </c>
      <c r="G741">
        <v>3.02</v>
      </c>
      <c r="H741" s="3">
        <f t="shared" si="44"/>
        <v>44531</v>
      </c>
      <c r="I741">
        <f>MONTH(Table1[[#This Row],[Date]])</f>
        <v>12</v>
      </c>
      <c r="J741" t="str">
        <f t="shared" si="45"/>
        <v>Q4</v>
      </c>
      <c r="K741" t="str">
        <f t="shared" si="46"/>
        <v>Dec-2021</v>
      </c>
      <c r="L741" t="str">
        <f t="shared" si="47"/>
        <v>Medium</v>
      </c>
    </row>
    <row r="742" spans="1:12" x14ac:dyDescent="0.3">
      <c r="A742">
        <v>2021</v>
      </c>
      <c r="B742" s="2" t="s">
        <v>28</v>
      </c>
      <c r="C742" t="s">
        <v>8</v>
      </c>
      <c r="D742" t="s">
        <v>14</v>
      </c>
      <c r="E742">
        <v>6.84</v>
      </c>
      <c r="F742">
        <v>159.80000000000001</v>
      </c>
      <c r="G742">
        <v>3.1</v>
      </c>
      <c r="H742" s="3">
        <f t="shared" si="44"/>
        <v>44531</v>
      </c>
      <c r="I742">
        <f>MONTH(Table1[[#This Row],[Date]])</f>
        <v>12</v>
      </c>
      <c r="J742" t="str">
        <f t="shared" si="45"/>
        <v>Q4</v>
      </c>
      <c r="K742" t="str">
        <f t="shared" si="46"/>
        <v>Dec-2021</v>
      </c>
      <c r="L742" t="str">
        <f t="shared" si="47"/>
        <v>Medium</v>
      </c>
    </row>
    <row r="743" spans="1:12" x14ac:dyDescent="0.3">
      <c r="A743">
        <v>2021</v>
      </c>
      <c r="B743" s="2" t="s">
        <v>28</v>
      </c>
      <c r="C743" t="s">
        <v>8</v>
      </c>
      <c r="D743" t="s">
        <v>15</v>
      </c>
      <c r="E743">
        <v>28.32</v>
      </c>
      <c r="F743">
        <v>161.80000000000001</v>
      </c>
      <c r="G743">
        <v>3.18</v>
      </c>
      <c r="H743" s="3">
        <f t="shared" si="44"/>
        <v>44531</v>
      </c>
      <c r="I743">
        <f>MONTH(Table1[[#This Row],[Date]])</f>
        <v>12</v>
      </c>
      <c r="J743" t="str">
        <f t="shared" si="45"/>
        <v>Q4</v>
      </c>
      <c r="K743" t="str">
        <f t="shared" si="46"/>
        <v>Dec-2021</v>
      </c>
      <c r="L743" t="str">
        <f t="shared" si="47"/>
        <v>Medium</v>
      </c>
    </row>
    <row r="744" spans="1:12" x14ac:dyDescent="0.3">
      <c r="A744">
        <v>2021</v>
      </c>
      <c r="B744" s="2" t="s">
        <v>28</v>
      </c>
      <c r="C744" t="s">
        <v>16</v>
      </c>
      <c r="D744" t="s">
        <v>9</v>
      </c>
      <c r="E744">
        <v>100</v>
      </c>
      <c r="F744">
        <v>150.4</v>
      </c>
      <c r="G744">
        <v>2.7</v>
      </c>
      <c r="H744" s="3">
        <f t="shared" si="44"/>
        <v>44531</v>
      </c>
      <c r="I744">
        <f>MONTH(Table1[[#This Row],[Date]])</f>
        <v>12</v>
      </c>
      <c r="J744" t="str">
        <f t="shared" si="45"/>
        <v>Q4</v>
      </c>
      <c r="K744" t="str">
        <f t="shared" si="46"/>
        <v>Dec-2021</v>
      </c>
      <c r="L744" t="str">
        <f t="shared" si="47"/>
        <v>Low</v>
      </c>
    </row>
    <row r="745" spans="1:12" x14ac:dyDescent="0.3">
      <c r="A745">
        <v>2021</v>
      </c>
      <c r="B745" s="2" t="s">
        <v>28</v>
      </c>
      <c r="C745" t="s">
        <v>16</v>
      </c>
      <c r="D745" t="s">
        <v>10</v>
      </c>
      <c r="E745">
        <v>45.86</v>
      </c>
      <c r="F745">
        <v>152.4</v>
      </c>
      <c r="G745">
        <v>2.78</v>
      </c>
      <c r="H745" s="3">
        <f t="shared" si="44"/>
        <v>44531</v>
      </c>
      <c r="I745">
        <f>MONTH(Table1[[#This Row],[Date]])</f>
        <v>12</v>
      </c>
      <c r="J745" t="str">
        <f t="shared" si="45"/>
        <v>Q4</v>
      </c>
      <c r="K745" t="str">
        <f t="shared" si="46"/>
        <v>Dec-2021</v>
      </c>
      <c r="L745" t="str">
        <f t="shared" si="47"/>
        <v>Low</v>
      </c>
    </row>
    <row r="746" spans="1:12" x14ac:dyDescent="0.3">
      <c r="A746">
        <v>2021</v>
      </c>
      <c r="B746" s="2" t="s">
        <v>28</v>
      </c>
      <c r="C746" t="s">
        <v>16</v>
      </c>
      <c r="D746" t="s">
        <v>11</v>
      </c>
      <c r="E746">
        <v>2.38</v>
      </c>
      <c r="F746">
        <v>154.4</v>
      </c>
      <c r="G746">
        <v>2.86</v>
      </c>
      <c r="H746" s="3">
        <f t="shared" si="44"/>
        <v>44531</v>
      </c>
      <c r="I746">
        <f>MONTH(Table1[[#This Row],[Date]])</f>
        <v>12</v>
      </c>
      <c r="J746" t="str">
        <f t="shared" si="45"/>
        <v>Q4</v>
      </c>
      <c r="K746" t="str">
        <f t="shared" si="46"/>
        <v>Dec-2021</v>
      </c>
      <c r="L746" t="str">
        <f t="shared" si="47"/>
        <v>Low</v>
      </c>
    </row>
    <row r="747" spans="1:12" x14ac:dyDescent="0.3">
      <c r="A747">
        <v>2021</v>
      </c>
      <c r="B747" s="2" t="s">
        <v>28</v>
      </c>
      <c r="C747" t="s">
        <v>16</v>
      </c>
      <c r="D747" t="s">
        <v>12</v>
      </c>
      <c r="E747">
        <v>6.53</v>
      </c>
      <c r="F747">
        <v>156.4</v>
      </c>
      <c r="G747">
        <v>2.94</v>
      </c>
      <c r="H747" s="3">
        <f t="shared" si="44"/>
        <v>44531</v>
      </c>
      <c r="I747">
        <f>MONTH(Table1[[#This Row],[Date]])</f>
        <v>12</v>
      </c>
      <c r="J747" t="str">
        <f t="shared" si="45"/>
        <v>Q4</v>
      </c>
      <c r="K747" t="str">
        <f t="shared" si="46"/>
        <v>Dec-2021</v>
      </c>
      <c r="L747" t="str">
        <f t="shared" si="47"/>
        <v>Low</v>
      </c>
    </row>
    <row r="748" spans="1:12" x14ac:dyDescent="0.3">
      <c r="A748">
        <v>2021</v>
      </c>
      <c r="B748" s="2" t="s">
        <v>28</v>
      </c>
      <c r="C748" t="s">
        <v>16</v>
      </c>
      <c r="D748" t="s">
        <v>13</v>
      </c>
      <c r="E748">
        <v>10.07</v>
      </c>
      <c r="F748">
        <v>158.4</v>
      </c>
      <c r="G748">
        <v>3.02</v>
      </c>
      <c r="H748" s="3">
        <f t="shared" si="44"/>
        <v>44531</v>
      </c>
      <c r="I748">
        <f>MONTH(Table1[[#This Row],[Date]])</f>
        <v>12</v>
      </c>
      <c r="J748" t="str">
        <f t="shared" si="45"/>
        <v>Q4</v>
      </c>
      <c r="K748" t="str">
        <f t="shared" si="46"/>
        <v>Dec-2021</v>
      </c>
      <c r="L748" t="str">
        <f t="shared" si="47"/>
        <v>Medium</v>
      </c>
    </row>
    <row r="749" spans="1:12" x14ac:dyDescent="0.3">
      <c r="A749">
        <v>2021</v>
      </c>
      <c r="B749" s="2" t="s">
        <v>28</v>
      </c>
      <c r="C749" t="s">
        <v>16</v>
      </c>
      <c r="D749" t="s">
        <v>14</v>
      </c>
      <c r="E749">
        <v>6.84</v>
      </c>
      <c r="F749">
        <v>160.4</v>
      </c>
      <c r="G749">
        <v>3.1</v>
      </c>
      <c r="H749" s="3">
        <f t="shared" si="44"/>
        <v>44531</v>
      </c>
      <c r="I749">
        <f>MONTH(Table1[[#This Row],[Date]])</f>
        <v>12</v>
      </c>
      <c r="J749" t="str">
        <f t="shared" si="45"/>
        <v>Q4</v>
      </c>
      <c r="K749" t="str">
        <f t="shared" si="46"/>
        <v>Dec-2021</v>
      </c>
      <c r="L749" t="str">
        <f t="shared" si="47"/>
        <v>Medium</v>
      </c>
    </row>
    <row r="750" spans="1:12" x14ac:dyDescent="0.3">
      <c r="A750">
        <v>2021</v>
      </c>
      <c r="B750" s="2" t="s">
        <v>28</v>
      </c>
      <c r="C750" t="s">
        <v>16</v>
      </c>
      <c r="D750" t="s">
        <v>15</v>
      </c>
      <c r="E750">
        <v>28.32</v>
      </c>
      <c r="F750">
        <v>162.4</v>
      </c>
      <c r="G750">
        <v>3.18</v>
      </c>
      <c r="H750" s="3">
        <f t="shared" si="44"/>
        <v>44531</v>
      </c>
      <c r="I750">
        <f>MONTH(Table1[[#This Row],[Date]])</f>
        <v>12</v>
      </c>
      <c r="J750" t="str">
        <f t="shared" si="45"/>
        <v>Q4</v>
      </c>
      <c r="K750" t="str">
        <f t="shared" si="46"/>
        <v>Dec-2021</v>
      </c>
      <c r="L750" t="str">
        <f t="shared" si="47"/>
        <v>Medium</v>
      </c>
    </row>
    <row r="751" spans="1:12" x14ac:dyDescent="0.3">
      <c r="A751">
        <v>2021</v>
      </c>
      <c r="B751" s="2" t="s">
        <v>28</v>
      </c>
      <c r="C751" t="s">
        <v>17</v>
      </c>
      <c r="D751" t="s">
        <v>9</v>
      </c>
      <c r="E751">
        <v>100</v>
      </c>
      <c r="F751">
        <v>151</v>
      </c>
      <c r="G751">
        <v>2.7</v>
      </c>
      <c r="H751" s="3">
        <f t="shared" si="44"/>
        <v>44531</v>
      </c>
      <c r="I751">
        <f>MONTH(Table1[[#This Row],[Date]])</f>
        <v>12</v>
      </c>
      <c r="J751" t="str">
        <f t="shared" si="45"/>
        <v>Q4</v>
      </c>
      <c r="K751" t="str">
        <f t="shared" si="46"/>
        <v>Dec-2021</v>
      </c>
      <c r="L751" t="str">
        <f t="shared" si="47"/>
        <v>Low</v>
      </c>
    </row>
    <row r="752" spans="1:12" x14ac:dyDescent="0.3">
      <c r="A752">
        <v>2021</v>
      </c>
      <c r="B752" s="2" t="s">
        <v>28</v>
      </c>
      <c r="C752" t="s">
        <v>17</v>
      </c>
      <c r="D752" t="s">
        <v>10</v>
      </c>
      <c r="E752">
        <v>45.86</v>
      </c>
      <c r="F752">
        <v>153</v>
      </c>
      <c r="G752">
        <v>2.78</v>
      </c>
      <c r="H752" s="3">
        <f t="shared" si="44"/>
        <v>44531</v>
      </c>
      <c r="I752">
        <f>MONTH(Table1[[#This Row],[Date]])</f>
        <v>12</v>
      </c>
      <c r="J752" t="str">
        <f t="shared" si="45"/>
        <v>Q4</v>
      </c>
      <c r="K752" t="str">
        <f t="shared" si="46"/>
        <v>Dec-2021</v>
      </c>
      <c r="L752" t="str">
        <f t="shared" si="47"/>
        <v>Low</v>
      </c>
    </row>
    <row r="753" spans="1:12" x14ac:dyDescent="0.3">
      <c r="A753">
        <v>2021</v>
      </c>
      <c r="B753" s="2" t="s">
        <v>28</v>
      </c>
      <c r="C753" t="s">
        <v>17</v>
      </c>
      <c r="D753" t="s">
        <v>11</v>
      </c>
      <c r="E753">
        <v>2.38</v>
      </c>
      <c r="F753">
        <v>155</v>
      </c>
      <c r="G753">
        <v>2.86</v>
      </c>
      <c r="H753" s="3">
        <f t="shared" si="44"/>
        <v>44531</v>
      </c>
      <c r="I753">
        <f>MONTH(Table1[[#This Row],[Date]])</f>
        <v>12</v>
      </c>
      <c r="J753" t="str">
        <f t="shared" si="45"/>
        <v>Q4</v>
      </c>
      <c r="K753" t="str">
        <f t="shared" si="46"/>
        <v>Dec-2021</v>
      </c>
      <c r="L753" t="str">
        <f t="shared" si="47"/>
        <v>Low</v>
      </c>
    </row>
    <row r="754" spans="1:12" x14ac:dyDescent="0.3">
      <c r="A754">
        <v>2021</v>
      </c>
      <c r="B754" s="2" t="s">
        <v>28</v>
      </c>
      <c r="C754" t="s">
        <v>17</v>
      </c>
      <c r="D754" t="s">
        <v>12</v>
      </c>
      <c r="E754">
        <v>6.53</v>
      </c>
      <c r="F754">
        <v>157</v>
      </c>
      <c r="G754">
        <v>2.94</v>
      </c>
      <c r="H754" s="3">
        <f t="shared" si="44"/>
        <v>44531</v>
      </c>
      <c r="I754">
        <f>MONTH(Table1[[#This Row],[Date]])</f>
        <v>12</v>
      </c>
      <c r="J754" t="str">
        <f t="shared" si="45"/>
        <v>Q4</v>
      </c>
      <c r="K754" t="str">
        <f t="shared" si="46"/>
        <v>Dec-2021</v>
      </c>
      <c r="L754" t="str">
        <f t="shared" si="47"/>
        <v>Low</v>
      </c>
    </row>
    <row r="755" spans="1:12" x14ac:dyDescent="0.3">
      <c r="A755">
        <v>2021</v>
      </c>
      <c r="B755" s="2" t="s">
        <v>28</v>
      </c>
      <c r="C755" t="s">
        <v>17</v>
      </c>
      <c r="D755" t="s">
        <v>13</v>
      </c>
      <c r="E755">
        <v>10.07</v>
      </c>
      <c r="F755">
        <v>159</v>
      </c>
      <c r="G755">
        <v>3.02</v>
      </c>
      <c r="H755" s="3">
        <f t="shared" si="44"/>
        <v>44531</v>
      </c>
      <c r="I755">
        <f>MONTH(Table1[[#This Row],[Date]])</f>
        <v>12</v>
      </c>
      <c r="J755" t="str">
        <f t="shared" si="45"/>
        <v>Q4</v>
      </c>
      <c r="K755" t="str">
        <f t="shared" si="46"/>
        <v>Dec-2021</v>
      </c>
      <c r="L755" t="str">
        <f t="shared" si="47"/>
        <v>Medium</v>
      </c>
    </row>
    <row r="756" spans="1:12" x14ac:dyDescent="0.3">
      <c r="A756">
        <v>2021</v>
      </c>
      <c r="B756" s="2" t="s">
        <v>28</v>
      </c>
      <c r="C756" t="s">
        <v>17</v>
      </c>
      <c r="D756" t="s">
        <v>14</v>
      </c>
      <c r="E756">
        <v>6.84</v>
      </c>
      <c r="F756">
        <v>161</v>
      </c>
      <c r="G756">
        <v>3.1</v>
      </c>
      <c r="H756" s="3">
        <f t="shared" si="44"/>
        <v>44531</v>
      </c>
      <c r="I756">
        <f>MONTH(Table1[[#This Row],[Date]])</f>
        <v>12</v>
      </c>
      <c r="J756" t="str">
        <f t="shared" si="45"/>
        <v>Q4</v>
      </c>
      <c r="K756" t="str">
        <f t="shared" si="46"/>
        <v>Dec-2021</v>
      </c>
      <c r="L756" t="str">
        <f t="shared" si="47"/>
        <v>Medium</v>
      </c>
    </row>
    <row r="757" spans="1:12" x14ac:dyDescent="0.3">
      <c r="A757">
        <v>2021</v>
      </c>
      <c r="B757" s="2" t="s">
        <v>28</v>
      </c>
      <c r="C757" t="s">
        <v>17</v>
      </c>
      <c r="D757" t="s">
        <v>15</v>
      </c>
      <c r="E757">
        <v>28.32</v>
      </c>
      <c r="F757">
        <v>163</v>
      </c>
      <c r="G757">
        <v>3.18</v>
      </c>
      <c r="H757" s="3">
        <f t="shared" si="44"/>
        <v>44531</v>
      </c>
      <c r="I757">
        <f>MONTH(Table1[[#This Row],[Date]])</f>
        <v>12</v>
      </c>
      <c r="J757" t="str">
        <f t="shared" si="45"/>
        <v>Q4</v>
      </c>
      <c r="K757" t="str">
        <f t="shared" si="46"/>
        <v>Dec-2021</v>
      </c>
      <c r="L757" t="str">
        <f t="shared" si="47"/>
        <v>Medium</v>
      </c>
    </row>
    <row r="758" spans="1:12" x14ac:dyDescent="0.3">
      <c r="A758">
        <v>2022</v>
      </c>
      <c r="B758" s="2" t="s">
        <v>7</v>
      </c>
      <c r="C758" t="s">
        <v>8</v>
      </c>
      <c r="D758" t="s">
        <v>9</v>
      </c>
      <c r="E758">
        <v>100</v>
      </c>
      <c r="F758">
        <v>150.4</v>
      </c>
      <c r="G758">
        <v>3.2</v>
      </c>
      <c r="H758" s="3">
        <f t="shared" si="44"/>
        <v>44562</v>
      </c>
      <c r="I758">
        <f>MONTH(Table1[[#This Row],[Date]])</f>
        <v>1</v>
      </c>
      <c r="J758" t="str">
        <f t="shared" si="45"/>
        <v>Q1</v>
      </c>
      <c r="K758" t="str">
        <f t="shared" si="46"/>
        <v>Jan-2022</v>
      </c>
      <c r="L758" t="str">
        <f t="shared" si="47"/>
        <v>Medium</v>
      </c>
    </row>
    <row r="759" spans="1:12" x14ac:dyDescent="0.3">
      <c r="A759">
        <v>2022</v>
      </c>
      <c r="B759" s="2" t="s">
        <v>7</v>
      </c>
      <c r="C759" t="s">
        <v>8</v>
      </c>
      <c r="D759" t="s">
        <v>10</v>
      </c>
      <c r="E759">
        <v>45.86</v>
      </c>
      <c r="F759">
        <v>152.4</v>
      </c>
      <c r="G759">
        <v>3.28</v>
      </c>
      <c r="H759" s="3">
        <f t="shared" si="44"/>
        <v>44562</v>
      </c>
      <c r="I759">
        <f>MONTH(Table1[[#This Row],[Date]])</f>
        <v>1</v>
      </c>
      <c r="J759" t="str">
        <f t="shared" si="45"/>
        <v>Q1</v>
      </c>
      <c r="K759" t="str">
        <f t="shared" si="46"/>
        <v>Jan-2022</v>
      </c>
      <c r="L759" t="str">
        <f t="shared" si="47"/>
        <v>Medium</v>
      </c>
    </row>
    <row r="760" spans="1:12" x14ac:dyDescent="0.3">
      <c r="A760">
        <v>2022</v>
      </c>
      <c r="B760" s="2" t="s">
        <v>7</v>
      </c>
      <c r="C760" t="s">
        <v>8</v>
      </c>
      <c r="D760" t="s">
        <v>11</v>
      </c>
      <c r="E760">
        <v>2.38</v>
      </c>
      <c r="F760">
        <v>154.4</v>
      </c>
      <c r="G760">
        <v>3.36</v>
      </c>
      <c r="H760" s="3">
        <f t="shared" si="44"/>
        <v>44562</v>
      </c>
      <c r="I760">
        <f>MONTH(Table1[[#This Row],[Date]])</f>
        <v>1</v>
      </c>
      <c r="J760" t="str">
        <f t="shared" si="45"/>
        <v>Q1</v>
      </c>
      <c r="K760" t="str">
        <f t="shared" si="46"/>
        <v>Jan-2022</v>
      </c>
      <c r="L760" t="str">
        <f t="shared" si="47"/>
        <v>Medium</v>
      </c>
    </row>
    <row r="761" spans="1:12" x14ac:dyDescent="0.3">
      <c r="A761">
        <v>2022</v>
      </c>
      <c r="B761" s="2" t="s">
        <v>7</v>
      </c>
      <c r="C761" t="s">
        <v>8</v>
      </c>
      <c r="D761" t="s">
        <v>12</v>
      </c>
      <c r="E761">
        <v>6.53</v>
      </c>
      <c r="F761">
        <v>156.4</v>
      </c>
      <c r="G761">
        <v>3.44</v>
      </c>
      <c r="H761" s="3">
        <f t="shared" si="44"/>
        <v>44562</v>
      </c>
      <c r="I761">
        <f>MONTH(Table1[[#This Row],[Date]])</f>
        <v>1</v>
      </c>
      <c r="J761" t="str">
        <f t="shared" si="45"/>
        <v>Q1</v>
      </c>
      <c r="K761" t="str">
        <f t="shared" si="46"/>
        <v>Jan-2022</v>
      </c>
      <c r="L761" t="str">
        <f t="shared" si="47"/>
        <v>Medium</v>
      </c>
    </row>
    <row r="762" spans="1:12" x14ac:dyDescent="0.3">
      <c r="A762">
        <v>2022</v>
      </c>
      <c r="B762" s="2" t="s">
        <v>7</v>
      </c>
      <c r="C762" t="s">
        <v>8</v>
      </c>
      <c r="D762" t="s">
        <v>13</v>
      </c>
      <c r="E762">
        <v>10.07</v>
      </c>
      <c r="F762">
        <v>158.4</v>
      </c>
      <c r="G762">
        <v>3.52</v>
      </c>
      <c r="H762" s="3">
        <f t="shared" si="44"/>
        <v>44562</v>
      </c>
      <c r="I762">
        <f>MONTH(Table1[[#This Row],[Date]])</f>
        <v>1</v>
      </c>
      <c r="J762" t="str">
        <f t="shared" si="45"/>
        <v>Q1</v>
      </c>
      <c r="K762" t="str">
        <f t="shared" si="46"/>
        <v>Jan-2022</v>
      </c>
      <c r="L762" t="str">
        <f t="shared" si="47"/>
        <v>Medium</v>
      </c>
    </row>
    <row r="763" spans="1:12" x14ac:dyDescent="0.3">
      <c r="A763">
        <v>2022</v>
      </c>
      <c r="B763" s="2" t="s">
        <v>7</v>
      </c>
      <c r="C763" t="s">
        <v>8</v>
      </c>
      <c r="D763" t="s">
        <v>14</v>
      </c>
      <c r="E763">
        <v>6.84</v>
      </c>
      <c r="F763">
        <v>160.4</v>
      </c>
      <c r="G763">
        <v>3.6</v>
      </c>
      <c r="H763" s="3">
        <f t="shared" si="44"/>
        <v>44562</v>
      </c>
      <c r="I763">
        <f>MONTH(Table1[[#This Row],[Date]])</f>
        <v>1</v>
      </c>
      <c r="J763" t="str">
        <f t="shared" si="45"/>
        <v>Q1</v>
      </c>
      <c r="K763" t="str">
        <f t="shared" si="46"/>
        <v>Jan-2022</v>
      </c>
      <c r="L763" t="str">
        <f t="shared" si="47"/>
        <v>Medium</v>
      </c>
    </row>
    <row r="764" spans="1:12" x14ac:dyDescent="0.3">
      <c r="A764">
        <v>2022</v>
      </c>
      <c r="B764" s="2" t="s">
        <v>7</v>
      </c>
      <c r="C764" t="s">
        <v>8</v>
      </c>
      <c r="D764" t="s">
        <v>15</v>
      </c>
      <c r="E764">
        <v>28.32</v>
      </c>
      <c r="F764">
        <v>162.4</v>
      </c>
      <c r="G764">
        <v>3.68</v>
      </c>
      <c r="H764" s="3">
        <f t="shared" si="44"/>
        <v>44562</v>
      </c>
      <c r="I764">
        <f>MONTH(Table1[[#This Row],[Date]])</f>
        <v>1</v>
      </c>
      <c r="J764" t="str">
        <f t="shared" si="45"/>
        <v>Q1</v>
      </c>
      <c r="K764" t="str">
        <f t="shared" si="46"/>
        <v>Jan-2022</v>
      </c>
      <c r="L764" t="str">
        <f t="shared" si="47"/>
        <v>Medium</v>
      </c>
    </row>
    <row r="765" spans="1:12" x14ac:dyDescent="0.3">
      <c r="A765">
        <v>2022</v>
      </c>
      <c r="B765" s="2" t="s">
        <v>7</v>
      </c>
      <c r="C765" t="s">
        <v>16</v>
      </c>
      <c r="D765" t="s">
        <v>9</v>
      </c>
      <c r="E765">
        <v>100</v>
      </c>
      <c r="F765">
        <v>151</v>
      </c>
      <c r="G765">
        <v>3.2</v>
      </c>
      <c r="H765" s="3">
        <f t="shared" si="44"/>
        <v>44562</v>
      </c>
      <c r="I765">
        <f>MONTH(Table1[[#This Row],[Date]])</f>
        <v>1</v>
      </c>
      <c r="J765" t="str">
        <f t="shared" si="45"/>
        <v>Q1</v>
      </c>
      <c r="K765" t="str">
        <f t="shared" si="46"/>
        <v>Jan-2022</v>
      </c>
      <c r="L765" t="str">
        <f t="shared" si="47"/>
        <v>Medium</v>
      </c>
    </row>
    <row r="766" spans="1:12" x14ac:dyDescent="0.3">
      <c r="A766">
        <v>2022</v>
      </c>
      <c r="B766" s="2" t="s">
        <v>7</v>
      </c>
      <c r="C766" t="s">
        <v>16</v>
      </c>
      <c r="D766" t="s">
        <v>10</v>
      </c>
      <c r="E766">
        <v>45.86</v>
      </c>
      <c r="F766">
        <v>153</v>
      </c>
      <c r="G766">
        <v>3.28</v>
      </c>
      <c r="H766" s="3">
        <f t="shared" si="44"/>
        <v>44562</v>
      </c>
      <c r="I766">
        <f>MONTH(Table1[[#This Row],[Date]])</f>
        <v>1</v>
      </c>
      <c r="J766" t="str">
        <f t="shared" si="45"/>
        <v>Q1</v>
      </c>
      <c r="K766" t="str">
        <f t="shared" si="46"/>
        <v>Jan-2022</v>
      </c>
      <c r="L766" t="str">
        <f t="shared" si="47"/>
        <v>Medium</v>
      </c>
    </row>
    <row r="767" spans="1:12" x14ac:dyDescent="0.3">
      <c r="A767">
        <v>2022</v>
      </c>
      <c r="B767" s="2" t="s">
        <v>7</v>
      </c>
      <c r="C767" t="s">
        <v>16</v>
      </c>
      <c r="D767" t="s">
        <v>11</v>
      </c>
      <c r="E767">
        <v>2.38</v>
      </c>
      <c r="F767">
        <v>155</v>
      </c>
      <c r="G767">
        <v>3.36</v>
      </c>
      <c r="H767" s="3">
        <f t="shared" si="44"/>
        <v>44562</v>
      </c>
      <c r="I767">
        <f>MONTH(Table1[[#This Row],[Date]])</f>
        <v>1</v>
      </c>
      <c r="J767" t="str">
        <f t="shared" si="45"/>
        <v>Q1</v>
      </c>
      <c r="K767" t="str">
        <f t="shared" si="46"/>
        <v>Jan-2022</v>
      </c>
      <c r="L767" t="str">
        <f t="shared" si="47"/>
        <v>Medium</v>
      </c>
    </row>
    <row r="768" spans="1:12" x14ac:dyDescent="0.3">
      <c r="A768">
        <v>2022</v>
      </c>
      <c r="B768" s="2" t="s">
        <v>7</v>
      </c>
      <c r="C768" t="s">
        <v>16</v>
      </c>
      <c r="D768" t="s">
        <v>12</v>
      </c>
      <c r="E768">
        <v>6.53</v>
      </c>
      <c r="F768">
        <v>157</v>
      </c>
      <c r="G768">
        <v>3.44</v>
      </c>
      <c r="H768" s="3">
        <f t="shared" si="44"/>
        <v>44562</v>
      </c>
      <c r="I768">
        <f>MONTH(Table1[[#This Row],[Date]])</f>
        <v>1</v>
      </c>
      <c r="J768" t="str">
        <f t="shared" si="45"/>
        <v>Q1</v>
      </c>
      <c r="K768" t="str">
        <f t="shared" si="46"/>
        <v>Jan-2022</v>
      </c>
      <c r="L768" t="str">
        <f t="shared" si="47"/>
        <v>Medium</v>
      </c>
    </row>
    <row r="769" spans="1:12" x14ac:dyDescent="0.3">
      <c r="A769">
        <v>2022</v>
      </c>
      <c r="B769" s="2" t="s">
        <v>7</v>
      </c>
      <c r="C769" t="s">
        <v>16</v>
      </c>
      <c r="D769" t="s">
        <v>13</v>
      </c>
      <c r="E769">
        <v>10.07</v>
      </c>
      <c r="F769">
        <v>159</v>
      </c>
      <c r="G769">
        <v>3.52</v>
      </c>
      <c r="H769" s="3">
        <f t="shared" si="44"/>
        <v>44562</v>
      </c>
      <c r="I769">
        <f>MONTH(Table1[[#This Row],[Date]])</f>
        <v>1</v>
      </c>
      <c r="J769" t="str">
        <f t="shared" si="45"/>
        <v>Q1</v>
      </c>
      <c r="K769" t="str">
        <f t="shared" si="46"/>
        <v>Jan-2022</v>
      </c>
      <c r="L769" t="str">
        <f t="shared" si="47"/>
        <v>Medium</v>
      </c>
    </row>
    <row r="770" spans="1:12" x14ac:dyDescent="0.3">
      <c r="A770">
        <v>2022</v>
      </c>
      <c r="B770" s="2" t="s">
        <v>7</v>
      </c>
      <c r="C770" t="s">
        <v>16</v>
      </c>
      <c r="D770" t="s">
        <v>14</v>
      </c>
      <c r="E770">
        <v>6.84</v>
      </c>
      <c r="F770">
        <v>161</v>
      </c>
      <c r="G770">
        <v>3.6</v>
      </c>
      <c r="H770" s="3">
        <f t="shared" ref="H770:H833" si="48">DATE(A770,MONTH(DATEVALUE(B770&amp;" 1")),1)</f>
        <v>44562</v>
      </c>
      <c r="I770">
        <f>MONTH(Table1[[#This Row],[Date]])</f>
        <v>1</v>
      </c>
      <c r="J770" t="str">
        <f t="shared" ref="J770:J833" si="49">"Q"&amp;ROUNDUP(MONTH(H770)/3,0)</f>
        <v>Q1</v>
      </c>
      <c r="K770" t="str">
        <f t="shared" ref="K770:K833" si="50">TEXT(H770,"mmm-yyyy")</f>
        <v>Jan-2022</v>
      </c>
      <c r="L770" t="str">
        <f t="shared" ref="L770:L833" si="51">IF(G770&lt;3,"Low",IF(G770&lt;4,"Medium","High"))</f>
        <v>Medium</v>
      </c>
    </row>
    <row r="771" spans="1:12" x14ac:dyDescent="0.3">
      <c r="A771">
        <v>2022</v>
      </c>
      <c r="B771" s="2" t="s">
        <v>7</v>
      </c>
      <c r="C771" t="s">
        <v>16</v>
      </c>
      <c r="D771" t="s">
        <v>15</v>
      </c>
      <c r="E771">
        <v>28.32</v>
      </c>
      <c r="F771">
        <v>163</v>
      </c>
      <c r="G771">
        <v>3.68</v>
      </c>
      <c r="H771" s="3">
        <f t="shared" si="48"/>
        <v>44562</v>
      </c>
      <c r="I771">
        <f>MONTH(Table1[[#This Row],[Date]])</f>
        <v>1</v>
      </c>
      <c r="J771" t="str">
        <f t="shared" si="49"/>
        <v>Q1</v>
      </c>
      <c r="K771" t="str">
        <f t="shared" si="50"/>
        <v>Jan-2022</v>
      </c>
      <c r="L771" t="str">
        <f t="shared" si="51"/>
        <v>Medium</v>
      </c>
    </row>
    <row r="772" spans="1:12" x14ac:dyDescent="0.3">
      <c r="A772">
        <v>2022</v>
      </c>
      <c r="B772" s="2" t="s">
        <v>7</v>
      </c>
      <c r="C772" t="s">
        <v>17</v>
      </c>
      <c r="D772" t="s">
        <v>9</v>
      </c>
      <c r="E772">
        <v>100</v>
      </c>
      <c r="F772">
        <v>151.6</v>
      </c>
      <c r="G772">
        <v>3.2</v>
      </c>
      <c r="H772" s="3">
        <f t="shared" si="48"/>
        <v>44562</v>
      </c>
      <c r="I772">
        <f>MONTH(Table1[[#This Row],[Date]])</f>
        <v>1</v>
      </c>
      <c r="J772" t="str">
        <f t="shared" si="49"/>
        <v>Q1</v>
      </c>
      <c r="K772" t="str">
        <f t="shared" si="50"/>
        <v>Jan-2022</v>
      </c>
      <c r="L772" t="str">
        <f t="shared" si="51"/>
        <v>Medium</v>
      </c>
    </row>
    <row r="773" spans="1:12" x14ac:dyDescent="0.3">
      <c r="A773">
        <v>2022</v>
      </c>
      <c r="B773" s="2" t="s">
        <v>7</v>
      </c>
      <c r="C773" t="s">
        <v>17</v>
      </c>
      <c r="D773" t="s">
        <v>10</v>
      </c>
      <c r="E773">
        <v>45.86</v>
      </c>
      <c r="F773">
        <v>153.6</v>
      </c>
      <c r="G773">
        <v>3.28</v>
      </c>
      <c r="H773" s="3">
        <f t="shared" si="48"/>
        <v>44562</v>
      </c>
      <c r="I773">
        <f>MONTH(Table1[[#This Row],[Date]])</f>
        <v>1</v>
      </c>
      <c r="J773" t="str">
        <f t="shared" si="49"/>
        <v>Q1</v>
      </c>
      <c r="K773" t="str">
        <f t="shared" si="50"/>
        <v>Jan-2022</v>
      </c>
      <c r="L773" t="str">
        <f t="shared" si="51"/>
        <v>Medium</v>
      </c>
    </row>
    <row r="774" spans="1:12" x14ac:dyDescent="0.3">
      <c r="A774">
        <v>2022</v>
      </c>
      <c r="B774" s="2" t="s">
        <v>7</v>
      </c>
      <c r="C774" t="s">
        <v>17</v>
      </c>
      <c r="D774" t="s">
        <v>11</v>
      </c>
      <c r="E774">
        <v>2.38</v>
      </c>
      <c r="F774">
        <v>155.6</v>
      </c>
      <c r="G774">
        <v>3.36</v>
      </c>
      <c r="H774" s="3">
        <f t="shared" si="48"/>
        <v>44562</v>
      </c>
      <c r="I774">
        <f>MONTH(Table1[[#This Row],[Date]])</f>
        <v>1</v>
      </c>
      <c r="J774" t="str">
        <f t="shared" si="49"/>
        <v>Q1</v>
      </c>
      <c r="K774" t="str">
        <f t="shared" si="50"/>
        <v>Jan-2022</v>
      </c>
      <c r="L774" t="str">
        <f t="shared" si="51"/>
        <v>Medium</v>
      </c>
    </row>
    <row r="775" spans="1:12" x14ac:dyDescent="0.3">
      <c r="A775">
        <v>2022</v>
      </c>
      <c r="B775" s="2" t="s">
        <v>7</v>
      </c>
      <c r="C775" t="s">
        <v>17</v>
      </c>
      <c r="D775" t="s">
        <v>12</v>
      </c>
      <c r="E775">
        <v>6.53</v>
      </c>
      <c r="F775">
        <v>157.6</v>
      </c>
      <c r="G775">
        <v>3.44</v>
      </c>
      <c r="H775" s="3">
        <f t="shared" si="48"/>
        <v>44562</v>
      </c>
      <c r="I775">
        <f>MONTH(Table1[[#This Row],[Date]])</f>
        <v>1</v>
      </c>
      <c r="J775" t="str">
        <f t="shared" si="49"/>
        <v>Q1</v>
      </c>
      <c r="K775" t="str">
        <f t="shared" si="50"/>
        <v>Jan-2022</v>
      </c>
      <c r="L775" t="str">
        <f t="shared" si="51"/>
        <v>Medium</v>
      </c>
    </row>
    <row r="776" spans="1:12" x14ac:dyDescent="0.3">
      <c r="A776">
        <v>2022</v>
      </c>
      <c r="B776" s="2" t="s">
        <v>7</v>
      </c>
      <c r="C776" t="s">
        <v>17</v>
      </c>
      <c r="D776" t="s">
        <v>13</v>
      </c>
      <c r="E776">
        <v>10.07</v>
      </c>
      <c r="F776">
        <v>159.6</v>
      </c>
      <c r="G776">
        <v>3.52</v>
      </c>
      <c r="H776" s="3">
        <f t="shared" si="48"/>
        <v>44562</v>
      </c>
      <c r="I776">
        <f>MONTH(Table1[[#This Row],[Date]])</f>
        <v>1</v>
      </c>
      <c r="J776" t="str">
        <f t="shared" si="49"/>
        <v>Q1</v>
      </c>
      <c r="K776" t="str">
        <f t="shared" si="50"/>
        <v>Jan-2022</v>
      </c>
      <c r="L776" t="str">
        <f t="shared" si="51"/>
        <v>Medium</v>
      </c>
    </row>
    <row r="777" spans="1:12" x14ac:dyDescent="0.3">
      <c r="A777">
        <v>2022</v>
      </c>
      <c r="B777" s="2" t="s">
        <v>7</v>
      </c>
      <c r="C777" t="s">
        <v>17</v>
      </c>
      <c r="D777" t="s">
        <v>14</v>
      </c>
      <c r="E777">
        <v>6.84</v>
      </c>
      <c r="F777">
        <v>161.6</v>
      </c>
      <c r="G777">
        <v>3.6</v>
      </c>
      <c r="H777" s="3">
        <f t="shared" si="48"/>
        <v>44562</v>
      </c>
      <c r="I777">
        <f>MONTH(Table1[[#This Row],[Date]])</f>
        <v>1</v>
      </c>
      <c r="J777" t="str">
        <f t="shared" si="49"/>
        <v>Q1</v>
      </c>
      <c r="K777" t="str">
        <f t="shared" si="50"/>
        <v>Jan-2022</v>
      </c>
      <c r="L777" t="str">
        <f t="shared" si="51"/>
        <v>Medium</v>
      </c>
    </row>
    <row r="778" spans="1:12" x14ac:dyDescent="0.3">
      <c r="A778">
        <v>2022</v>
      </c>
      <c r="B778" s="2" t="s">
        <v>7</v>
      </c>
      <c r="C778" t="s">
        <v>17</v>
      </c>
      <c r="D778" t="s">
        <v>15</v>
      </c>
      <c r="E778">
        <v>28.32</v>
      </c>
      <c r="F778">
        <v>163.6</v>
      </c>
      <c r="G778">
        <v>3.68</v>
      </c>
      <c r="H778" s="3">
        <f t="shared" si="48"/>
        <v>44562</v>
      </c>
      <c r="I778">
        <f>MONTH(Table1[[#This Row],[Date]])</f>
        <v>1</v>
      </c>
      <c r="J778" t="str">
        <f t="shared" si="49"/>
        <v>Q1</v>
      </c>
      <c r="K778" t="str">
        <f t="shared" si="50"/>
        <v>Jan-2022</v>
      </c>
      <c r="L778" t="str">
        <f t="shared" si="51"/>
        <v>Medium</v>
      </c>
    </row>
    <row r="779" spans="1:12" x14ac:dyDescent="0.3">
      <c r="A779">
        <v>2022</v>
      </c>
      <c r="B779" s="2" t="s">
        <v>18</v>
      </c>
      <c r="C779" t="s">
        <v>8</v>
      </c>
      <c r="D779" t="s">
        <v>9</v>
      </c>
      <c r="E779">
        <v>100</v>
      </c>
      <c r="F779">
        <v>150.80000000000001</v>
      </c>
      <c r="G779">
        <v>3.35</v>
      </c>
      <c r="H779" s="3">
        <f t="shared" si="48"/>
        <v>44593</v>
      </c>
      <c r="I779">
        <f>MONTH(Table1[[#This Row],[Date]])</f>
        <v>2</v>
      </c>
      <c r="J779" t="str">
        <f t="shared" si="49"/>
        <v>Q1</v>
      </c>
      <c r="K779" t="str">
        <f t="shared" si="50"/>
        <v>Feb-2022</v>
      </c>
      <c r="L779" t="str">
        <f t="shared" si="51"/>
        <v>Medium</v>
      </c>
    </row>
    <row r="780" spans="1:12" x14ac:dyDescent="0.3">
      <c r="A780">
        <v>2022</v>
      </c>
      <c r="B780" s="2" t="s">
        <v>18</v>
      </c>
      <c r="C780" t="s">
        <v>8</v>
      </c>
      <c r="D780" t="s">
        <v>10</v>
      </c>
      <c r="E780">
        <v>45.86</v>
      </c>
      <c r="F780">
        <v>152.80000000000001</v>
      </c>
      <c r="G780">
        <v>3.43</v>
      </c>
      <c r="H780" s="3">
        <f t="shared" si="48"/>
        <v>44593</v>
      </c>
      <c r="I780">
        <f>MONTH(Table1[[#This Row],[Date]])</f>
        <v>2</v>
      </c>
      <c r="J780" t="str">
        <f t="shared" si="49"/>
        <v>Q1</v>
      </c>
      <c r="K780" t="str">
        <f t="shared" si="50"/>
        <v>Feb-2022</v>
      </c>
      <c r="L780" t="str">
        <f t="shared" si="51"/>
        <v>Medium</v>
      </c>
    </row>
    <row r="781" spans="1:12" x14ac:dyDescent="0.3">
      <c r="A781">
        <v>2022</v>
      </c>
      <c r="B781" s="2" t="s">
        <v>18</v>
      </c>
      <c r="C781" t="s">
        <v>8</v>
      </c>
      <c r="D781" t="s">
        <v>11</v>
      </c>
      <c r="E781">
        <v>2.38</v>
      </c>
      <c r="F781">
        <v>154.80000000000001</v>
      </c>
      <c r="G781">
        <v>3.51</v>
      </c>
      <c r="H781" s="3">
        <f t="shared" si="48"/>
        <v>44593</v>
      </c>
      <c r="I781">
        <f>MONTH(Table1[[#This Row],[Date]])</f>
        <v>2</v>
      </c>
      <c r="J781" t="str">
        <f t="shared" si="49"/>
        <v>Q1</v>
      </c>
      <c r="K781" t="str">
        <f t="shared" si="50"/>
        <v>Feb-2022</v>
      </c>
      <c r="L781" t="str">
        <f t="shared" si="51"/>
        <v>Medium</v>
      </c>
    </row>
    <row r="782" spans="1:12" x14ac:dyDescent="0.3">
      <c r="A782">
        <v>2022</v>
      </c>
      <c r="B782" s="2" t="s">
        <v>18</v>
      </c>
      <c r="C782" t="s">
        <v>8</v>
      </c>
      <c r="D782" t="s">
        <v>12</v>
      </c>
      <c r="E782">
        <v>6.53</v>
      </c>
      <c r="F782">
        <v>156.80000000000001</v>
      </c>
      <c r="G782">
        <v>3.59</v>
      </c>
      <c r="H782" s="3">
        <f t="shared" si="48"/>
        <v>44593</v>
      </c>
      <c r="I782">
        <f>MONTH(Table1[[#This Row],[Date]])</f>
        <v>2</v>
      </c>
      <c r="J782" t="str">
        <f t="shared" si="49"/>
        <v>Q1</v>
      </c>
      <c r="K782" t="str">
        <f t="shared" si="50"/>
        <v>Feb-2022</v>
      </c>
      <c r="L782" t="str">
        <f t="shared" si="51"/>
        <v>Medium</v>
      </c>
    </row>
    <row r="783" spans="1:12" x14ac:dyDescent="0.3">
      <c r="A783">
        <v>2022</v>
      </c>
      <c r="B783" s="2" t="s">
        <v>18</v>
      </c>
      <c r="C783" t="s">
        <v>8</v>
      </c>
      <c r="D783" t="s">
        <v>13</v>
      </c>
      <c r="E783">
        <v>10.07</v>
      </c>
      <c r="F783">
        <v>158.80000000000001</v>
      </c>
      <c r="G783">
        <v>3.67</v>
      </c>
      <c r="H783" s="3">
        <f t="shared" si="48"/>
        <v>44593</v>
      </c>
      <c r="I783">
        <f>MONTH(Table1[[#This Row],[Date]])</f>
        <v>2</v>
      </c>
      <c r="J783" t="str">
        <f t="shared" si="49"/>
        <v>Q1</v>
      </c>
      <c r="K783" t="str">
        <f t="shared" si="50"/>
        <v>Feb-2022</v>
      </c>
      <c r="L783" t="str">
        <f t="shared" si="51"/>
        <v>Medium</v>
      </c>
    </row>
    <row r="784" spans="1:12" x14ac:dyDescent="0.3">
      <c r="A784">
        <v>2022</v>
      </c>
      <c r="B784" s="2" t="s">
        <v>18</v>
      </c>
      <c r="C784" t="s">
        <v>8</v>
      </c>
      <c r="D784" t="s">
        <v>14</v>
      </c>
      <c r="E784">
        <v>6.84</v>
      </c>
      <c r="F784">
        <v>160.80000000000001</v>
      </c>
      <c r="G784">
        <v>3.75</v>
      </c>
      <c r="H784" s="3">
        <f t="shared" si="48"/>
        <v>44593</v>
      </c>
      <c r="I784">
        <f>MONTH(Table1[[#This Row],[Date]])</f>
        <v>2</v>
      </c>
      <c r="J784" t="str">
        <f t="shared" si="49"/>
        <v>Q1</v>
      </c>
      <c r="K784" t="str">
        <f t="shared" si="50"/>
        <v>Feb-2022</v>
      </c>
      <c r="L784" t="str">
        <f t="shared" si="51"/>
        <v>Medium</v>
      </c>
    </row>
    <row r="785" spans="1:12" x14ac:dyDescent="0.3">
      <c r="A785">
        <v>2022</v>
      </c>
      <c r="B785" s="2" t="s">
        <v>18</v>
      </c>
      <c r="C785" t="s">
        <v>8</v>
      </c>
      <c r="D785" t="s">
        <v>15</v>
      </c>
      <c r="E785">
        <v>28.32</v>
      </c>
      <c r="F785">
        <v>162.80000000000001</v>
      </c>
      <c r="G785">
        <v>3.83</v>
      </c>
      <c r="H785" s="3">
        <f t="shared" si="48"/>
        <v>44593</v>
      </c>
      <c r="I785">
        <f>MONTH(Table1[[#This Row],[Date]])</f>
        <v>2</v>
      </c>
      <c r="J785" t="str">
        <f t="shared" si="49"/>
        <v>Q1</v>
      </c>
      <c r="K785" t="str">
        <f t="shared" si="50"/>
        <v>Feb-2022</v>
      </c>
      <c r="L785" t="str">
        <f t="shared" si="51"/>
        <v>Medium</v>
      </c>
    </row>
    <row r="786" spans="1:12" x14ac:dyDescent="0.3">
      <c r="A786">
        <v>2022</v>
      </c>
      <c r="B786" s="2" t="s">
        <v>18</v>
      </c>
      <c r="C786" t="s">
        <v>16</v>
      </c>
      <c r="D786" t="s">
        <v>9</v>
      </c>
      <c r="E786">
        <v>100</v>
      </c>
      <c r="F786">
        <v>151.4</v>
      </c>
      <c r="G786">
        <v>3.35</v>
      </c>
      <c r="H786" s="3">
        <f t="shared" si="48"/>
        <v>44593</v>
      </c>
      <c r="I786">
        <f>MONTH(Table1[[#This Row],[Date]])</f>
        <v>2</v>
      </c>
      <c r="J786" t="str">
        <f t="shared" si="49"/>
        <v>Q1</v>
      </c>
      <c r="K786" t="str">
        <f t="shared" si="50"/>
        <v>Feb-2022</v>
      </c>
      <c r="L786" t="str">
        <f t="shared" si="51"/>
        <v>Medium</v>
      </c>
    </row>
    <row r="787" spans="1:12" x14ac:dyDescent="0.3">
      <c r="A787">
        <v>2022</v>
      </c>
      <c r="B787" s="2" t="s">
        <v>18</v>
      </c>
      <c r="C787" t="s">
        <v>16</v>
      </c>
      <c r="D787" t="s">
        <v>10</v>
      </c>
      <c r="E787">
        <v>45.86</v>
      </c>
      <c r="F787">
        <v>153.4</v>
      </c>
      <c r="G787">
        <v>3.43</v>
      </c>
      <c r="H787" s="3">
        <f t="shared" si="48"/>
        <v>44593</v>
      </c>
      <c r="I787">
        <f>MONTH(Table1[[#This Row],[Date]])</f>
        <v>2</v>
      </c>
      <c r="J787" t="str">
        <f t="shared" si="49"/>
        <v>Q1</v>
      </c>
      <c r="K787" t="str">
        <f t="shared" si="50"/>
        <v>Feb-2022</v>
      </c>
      <c r="L787" t="str">
        <f t="shared" si="51"/>
        <v>Medium</v>
      </c>
    </row>
    <row r="788" spans="1:12" x14ac:dyDescent="0.3">
      <c r="A788">
        <v>2022</v>
      </c>
      <c r="B788" s="2" t="s">
        <v>18</v>
      </c>
      <c r="C788" t="s">
        <v>16</v>
      </c>
      <c r="D788" t="s">
        <v>11</v>
      </c>
      <c r="E788">
        <v>2.38</v>
      </c>
      <c r="F788">
        <v>155.4</v>
      </c>
      <c r="G788">
        <v>3.51</v>
      </c>
      <c r="H788" s="3">
        <f t="shared" si="48"/>
        <v>44593</v>
      </c>
      <c r="I788">
        <f>MONTH(Table1[[#This Row],[Date]])</f>
        <v>2</v>
      </c>
      <c r="J788" t="str">
        <f t="shared" si="49"/>
        <v>Q1</v>
      </c>
      <c r="K788" t="str">
        <f t="shared" si="50"/>
        <v>Feb-2022</v>
      </c>
      <c r="L788" t="str">
        <f t="shared" si="51"/>
        <v>Medium</v>
      </c>
    </row>
    <row r="789" spans="1:12" x14ac:dyDescent="0.3">
      <c r="A789">
        <v>2022</v>
      </c>
      <c r="B789" s="2" t="s">
        <v>18</v>
      </c>
      <c r="C789" t="s">
        <v>16</v>
      </c>
      <c r="D789" t="s">
        <v>12</v>
      </c>
      <c r="E789">
        <v>6.53</v>
      </c>
      <c r="F789">
        <v>157.4</v>
      </c>
      <c r="G789">
        <v>3.59</v>
      </c>
      <c r="H789" s="3">
        <f t="shared" si="48"/>
        <v>44593</v>
      </c>
      <c r="I789">
        <f>MONTH(Table1[[#This Row],[Date]])</f>
        <v>2</v>
      </c>
      <c r="J789" t="str">
        <f t="shared" si="49"/>
        <v>Q1</v>
      </c>
      <c r="K789" t="str">
        <f t="shared" si="50"/>
        <v>Feb-2022</v>
      </c>
      <c r="L789" t="str">
        <f t="shared" si="51"/>
        <v>Medium</v>
      </c>
    </row>
    <row r="790" spans="1:12" x14ac:dyDescent="0.3">
      <c r="A790">
        <v>2022</v>
      </c>
      <c r="B790" s="2" t="s">
        <v>18</v>
      </c>
      <c r="C790" t="s">
        <v>16</v>
      </c>
      <c r="D790" t="s">
        <v>13</v>
      </c>
      <c r="E790">
        <v>10.07</v>
      </c>
      <c r="F790">
        <v>159.4</v>
      </c>
      <c r="G790">
        <v>3.67</v>
      </c>
      <c r="H790" s="3">
        <f t="shared" si="48"/>
        <v>44593</v>
      </c>
      <c r="I790">
        <f>MONTH(Table1[[#This Row],[Date]])</f>
        <v>2</v>
      </c>
      <c r="J790" t="str">
        <f t="shared" si="49"/>
        <v>Q1</v>
      </c>
      <c r="K790" t="str">
        <f t="shared" si="50"/>
        <v>Feb-2022</v>
      </c>
      <c r="L790" t="str">
        <f t="shared" si="51"/>
        <v>Medium</v>
      </c>
    </row>
    <row r="791" spans="1:12" x14ac:dyDescent="0.3">
      <c r="A791">
        <v>2022</v>
      </c>
      <c r="B791" s="2" t="s">
        <v>18</v>
      </c>
      <c r="C791" t="s">
        <v>16</v>
      </c>
      <c r="D791" t="s">
        <v>14</v>
      </c>
      <c r="E791">
        <v>6.84</v>
      </c>
      <c r="F791">
        <v>161.4</v>
      </c>
      <c r="G791">
        <v>3.75</v>
      </c>
      <c r="H791" s="3">
        <f t="shared" si="48"/>
        <v>44593</v>
      </c>
      <c r="I791">
        <f>MONTH(Table1[[#This Row],[Date]])</f>
        <v>2</v>
      </c>
      <c r="J791" t="str">
        <f t="shared" si="49"/>
        <v>Q1</v>
      </c>
      <c r="K791" t="str">
        <f t="shared" si="50"/>
        <v>Feb-2022</v>
      </c>
      <c r="L791" t="str">
        <f t="shared" si="51"/>
        <v>Medium</v>
      </c>
    </row>
    <row r="792" spans="1:12" x14ac:dyDescent="0.3">
      <c r="A792">
        <v>2022</v>
      </c>
      <c r="B792" s="2" t="s">
        <v>18</v>
      </c>
      <c r="C792" t="s">
        <v>16</v>
      </c>
      <c r="D792" t="s">
        <v>15</v>
      </c>
      <c r="E792">
        <v>28.32</v>
      </c>
      <c r="F792">
        <v>163.4</v>
      </c>
      <c r="G792">
        <v>3.83</v>
      </c>
      <c r="H792" s="3">
        <f t="shared" si="48"/>
        <v>44593</v>
      </c>
      <c r="I792">
        <f>MONTH(Table1[[#This Row],[Date]])</f>
        <v>2</v>
      </c>
      <c r="J792" t="str">
        <f t="shared" si="49"/>
        <v>Q1</v>
      </c>
      <c r="K792" t="str">
        <f t="shared" si="50"/>
        <v>Feb-2022</v>
      </c>
      <c r="L792" t="str">
        <f t="shared" si="51"/>
        <v>Medium</v>
      </c>
    </row>
    <row r="793" spans="1:12" x14ac:dyDescent="0.3">
      <c r="A793">
        <v>2022</v>
      </c>
      <c r="B793" s="2" t="s">
        <v>18</v>
      </c>
      <c r="C793" t="s">
        <v>17</v>
      </c>
      <c r="D793" t="s">
        <v>9</v>
      </c>
      <c r="E793">
        <v>100</v>
      </c>
      <c r="F793">
        <v>152</v>
      </c>
      <c r="G793">
        <v>3.35</v>
      </c>
      <c r="H793" s="3">
        <f t="shared" si="48"/>
        <v>44593</v>
      </c>
      <c r="I793">
        <f>MONTH(Table1[[#This Row],[Date]])</f>
        <v>2</v>
      </c>
      <c r="J793" t="str">
        <f t="shared" si="49"/>
        <v>Q1</v>
      </c>
      <c r="K793" t="str">
        <f t="shared" si="50"/>
        <v>Feb-2022</v>
      </c>
      <c r="L793" t="str">
        <f t="shared" si="51"/>
        <v>Medium</v>
      </c>
    </row>
    <row r="794" spans="1:12" x14ac:dyDescent="0.3">
      <c r="A794">
        <v>2022</v>
      </c>
      <c r="B794" s="2" t="s">
        <v>18</v>
      </c>
      <c r="C794" t="s">
        <v>17</v>
      </c>
      <c r="D794" t="s">
        <v>10</v>
      </c>
      <c r="E794">
        <v>45.86</v>
      </c>
      <c r="F794">
        <v>154</v>
      </c>
      <c r="G794">
        <v>3.43</v>
      </c>
      <c r="H794" s="3">
        <f t="shared" si="48"/>
        <v>44593</v>
      </c>
      <c r="I794">
        <f>MONTH(Table1[[#This Row],[Date]])</f>
        <v>2</v>
      </c>
      <c r="J794" t="str">
        <f t="shared" si="49"/>
        <v>Q1</v>
      </c>
      <c r="K794" t="str">
        <f t="shared" si="50"/>
        <v>Feb-2022</v>
      </c>
      <c r="L794" t="str">
        <f t="shared" si="51"/>
        <v>Medium</v>
      </c>
    </row>
    <row r="795" spans="1:12" x14ac:dyDescent="0.3">
      <c r="A795">
        <v>2022</v>
      </c>
      <c r="B795" s="2" t="s">
        <v>18</v>
      </c>
      <c r="C795" t="s">
        <v>17</v>
      </c>
      <c r="D795" t="s">
        <v>11</v>
      </c>
      <c r="E795">
        <v>2.38</v>
      </c>
      <c r="F795">
        <v>156</v>
      </c>
      <c r="G795">
        <v>3.51</v>
      </c>
      <c r="H795" s="3">
        <f t="shared" si="48"/>
        <v>44593</v>
      </c>
      <c r="I795">
        <f>MONTH(Table1[[#This Row],[Date]])</f>
        <v>2</v>
      </c>
      <c r="J795" t="str">
        <f t="shared" si="49"/>
        <v>Q1</v>
      </c>
      <c r="K795" t="str">
        <f t="shared" si="50"/>
        <v>Feb-2022</v>
      </c>
      <c r="L795" t="str">
        <f t="shared" si="51"/>
        <v>Medium</v>
      </c>
    </row>
    <row r="796" spans="1:12" x14ac:dyDescent="0.3">
      <c r="A796">
        <v>2022</v>
      </c>
      <c r="B796" s="2" t="s">
        <v>18</v>
      </c>
      <c r="C796" t="s">
        <v>17</v>
      </c>
      <c r="D796" t="s">
        <v>12</v>
      </c>
      <c r="E796">
        <v>6.53</v>
      </c>
      <c r="F796">
        <v>158</v>
      </c>
      <c r="G796">
        <v>3.59</v>
      </c>
      <c r="H796" s="3">
        <f t="shared" si="48"/>
        <v>44593</v>
      </c>
      <c r="I796">
        <f>MONTH(Table1[[#This Row],[Date]])</f>
        <v>2</v>
      </c>
      <c r="J796" t="str">
        <f t="shared" si="49"/>
        <v>Q1</v>
      </c>
      <c r="K796" t="str">
        <f t="shared" si="50"/>
        <v>Feb-2022</v>
      </c>
      <c r="L796" t="str">
        <f t="shared" si="51"/>
        <v>Medium</v>
      </c>
    </row>
    <row r="797" spans="1:12" x14ac:dyDescent="0.3">
      <c r="A797">
        <v>2022</v>
      </c>
      <c r="B797" s="2" t="s">
        <v>18</v>
      </c>
      <c r="C797" t="s">
        <v>17</v>
      </c>
      <c r="D797" t="s">
        <v>13</v>
      </c>
      <c r="E797">
        <v>10.07</v>
      </c>
      <c r="F797">
        <v>160</v>
      </c>
      <c r="G797">
        <v>3.67</v>
      </c>
      <c r="H797" s="3">
        <f t="shared" si="48"/>
        <v>44593</v>
      </c>
      <c r="I797">
        <f>MONTH(Table1[[#This Row],[Date]])</f>
        <v>2</v>
      </c>
      <c r="J797" t="str">
        <f t="shared" si="49"/>
        <v>Q1</v>
      </c>
      <c r="K797" t="str">
        <f t="shared" si="50"/>
        <v>Feb-2022</v>
      </c>
      <c r="L797" t="str">
        <f t="shared" si="51"/>
        <v>Medium</v>
      </c>
    </row>
    <row r="798" spans="1:12" x14ac:dyDescent="0.3">
      <c r="A798">
        <v>2022</v>
      </c>
      <c r="B798" s="2" t="s">
        <v>18</v>
      </c>
      <c r="C798" t="s">
        <v>17</v>
      </c>
      <c r="D798" t="s">
        <v>14</v>
      </c>
      <c r="E798">
        <v>6.84</v>
      </c>
      <c r="F798">
        <v>162</v>
      </c>
      <c r="G798">
        <v>3.75</v>
      </c>
      <c r="H798" s="3">
        <f t="shared" si="48"/>
        <v>44593</v>
      </c>
      <c r="I798">
        <f>MONTH(Table1[[#This Row],[Date]])</f>
        <v>2</v>
      </c>
      <c r="J798" t="str">
        <f t="shared" si="49"/>
        <v>Q1</v>
      </c>
      <c r="K798" t="str">
        <f t="shared" si="50"/>
        <v>Feb-2022</v>
      </c>
      <c r="L798" t="str">
        <f t="shared" si="51"/>
        <v>Medium</v>
      </c>
    </row>
    <row r="799" spans="1:12" x14ac:dyDescent="0.3">
      <c r="A799">
        <v>2022</v>
      </c>
      <c r="B799" s="2" t="s">
        <v>18</v>
      </c>
      <c r="C799" t="s">
        <v>17</v>
      </c>
      <c r="D799" t="s">
        <v>15</v>
      </c>
      <c r="E799">
        <v>28.32</v>
      </c>
      <c r="F799">
        <v>164</v>
      </c>
      <c r="G799">
        <v>3.83</v>
      </c>
      <c r="H799" s="3">
        <f t="shared" si="48"/>
        <v>44593</v>
      </c>
      <c r="I799">
        <f>MONTH(Table1[[#This Row],[Date]])</f>
        <v>2</v>
      </c>
      <c r="J799" t="str">
        <f t="shared" si="49"/>
        <v>Q1</v>
      </c>
      <c r="K799" t="str">
        <f t="shared" si="50"/>
        <v>Feb-2022</v>
      </c>
      <c r="L799" t="str">
        <f t="shared" si="51"/>
        <v>Medium</v>
      </c>
    </row>
    <row r="800" spans="1:12" x14ac:dyDescent="0.3">
      <c r="A800">
        <v>2022</v>
      </c>
      <c r="B800" s="2" t="s">
        <v>19</v>
      </c>
      <c r="C800" t="s">
        <v>8</v>
      </c>
      <c r="D800" t="s">
        <v>9</v>
      </c>
      <c r="E800">
        <v>100</v>
      </c>
      <c r="F800">
        <v>151.19999999999999</v>
      </c>
      <c r="G800">
        <v>3.5</v>
      </c>
      <c r="H800" s="3">
        <f t="shared" si="48"/>
        <v>44621</v>
      </c>
      <c r="I800">
        <f>MONTH(Table1[[#This Row],[Date]])</f>
        <v>3</v>
      </c>
      <c r="J800" t="str">
        <f t="shared" si="49"/>
        <v>Q1</v>
      </c>
      <c r="K800" t="str">
        <f t="shared" si="50"/>
        <v>Mar-2022</v>
      </c>
      <c r="L800" t="str">
        <f t="shared" si="51"/>
        <v>Medium</v>
      </c>
    </row>
    <row r="801" spans="1:12" x14ac:dyDescent="0.3">
      <c r="A801">
        <v>2022</v>
      </c>
      <c r="B801" s="2" t="s">
        <v>19</v>
      </c>
      <c r="C801" t="s">
        <v>8</v>
      </c>
      <c r="D801" t="s">
        <v>10</v>
      </c>
      <c r="E801">
        <v>45.86</v>
      </c>
      <c r="F801">
        <v>153.19999999999999</v>
      </c>
      <c r="G801">
        <v>3.58</v>
      </c>
      <c r="H801" s="3">
        <f t="shared" si="48"/>
        <v>44621</v>
      </c>
      <c r="I801">
        <f>MONTH(Table1[[#This Row],[Date]])</f>
        <v>3</v>
      </c>
      <c r="J801" t="str">
        <f t="shared" si="49"/>
        <v>Q1</v>
      </c>
      <c r="K801" t="str">
        <f t="shared" si="50"/>
        <v>Mar-2022</v>
      </c>
      <c r="L801" t="str">
        <f t="shared" si="51"/>
        <v>Medium</v>
      </c>
    </row>
    <row r="802" spans="1:12" x14ac:dyDescent="0.3">
      <c r="A802">
        <v>2022</v>
      </c>
      <c r="B802" s="2" t="s">
        <v>19</v>
      </c>
      <c r="C802" t="s">
        <v>8</v>
      </c>
      <c r="D802" t="s">
        <v>11</v>
      </c>
      <c r="E802">
        <v>2.38</v>
      </c>
      <c r="F802">
        <v>155.19999999999999</v>
      </c>
      <c r="G802">
        <v>3.66</v>
      </c>
      <c r="H802" s="3">
        <f t="shared" si="48"/>
        <v>44621</v>
      </c>
      <c r="I802">
        <f>MONTH(Table1[[#This Row],[Date]])</f>
        <v>3</v>
      </c>
      <c r="J802" t="str">
        <f t="shared" si="49"/>
        <v>Q1</v>
      </c>
      <c r="K802" t="str">
        <f t="shared" si="50"/>
        <v>Mar-2022</v>
      </c>
      <c r="L802" t="str">
        <f t="shared" si="51"/>
        <v>Medium</v>
      </c>
    </row>
    <row r="803" spans="1:12" x14ac:dyDescent="0.3">
      <c r="A803">
        <v>2022</v>
      </c>
      <c r="B803" s="2" t="s">
        <v>19</v>
      </c>
      <c r="C803" t="s">
        <v>8</v>
      </c>
      <c r="D803" t="s">
        <v>12</v>
      </c>
      <c r="E803">
        <v>6.53</v>
      </c>
      <c r="F803">
        <v>157.19999999999999</v>
      </c>
      <c r="G803">
        <v>3.74</v>
      </c>
      <c r="H803" s="3">
        <f t="shared" si="48"/>
        <v>44621</v>
      </c>
      <c r="I803">
        <f>MONTH(Table1[[#This Row],[Date]])</f>
        <v>3</v>
      </c>
      <c r="J803" t="str">
        <f t="shared" si="49"/>
        <v>Q1</v>
      </c>
      <c r="K803" t="str">
        <f t="shared" si="50"/>
        <v>Mar-2022</v>
      </c>
      <c r="L803" t="str">
        <f t="shared" si="51"/>
        <v>Medium</v>
      </c>
    </row>
    <row r="804" spans="1:12" x14ac:dyDescent="0.3">
      <c r="A804">
        <v>2022</v>
      </c>
      <c r="B804" s="2" t="s">
        <v>19</v>
      </c>
      <c r="C804" t="s">
        <v>8</v>
      </c>
      <c r="D804" t="s">
        <v>13</v>
      </c>
      <c r="E804">
        <v>10.07</v>
      </c>
      <c r="F804">
        <v>159.19999999999999</v>
      </c>
      <c r="G804">
        <v>3.82</v>
      </c>
      <c r="H804" s="3">
        <f t="shared" si="48"/>
        <v>44621</v>
      </c>
      <c r="I804">
        <f>MONTH(Table1[[#This Row],[Date]])</f>
        <v>3</v>
      </c>
      <c r="J804" t="str">
        <f t="shared" si="49"/>
        <v>Q1</v>
      </c>
      <c r="K804" t="str">
        <f t="shared" si="50"/>
        <v>Mar-2022</v>
      </c>
      <c r="L804" t="str">
        <f t="shared" si="51"/>
        <v>Medium</v>
      </c>
    </row>
    <row r="805" spans="1:12" x14ac:dyDescent="0.3">
      <c r="A805">
        <v>2022</v>
      </c>
      <c r="B805" s="2" t="s">
        <v>19</v>
      </c>
      <c r="C805" t="s">
        <v>8</v>
      </c>
      <c r="D805" t="s">
        <v>14</v>
      </c>
      <c r="E805">
        <v>6.84</v>
      </c>
      <c r="F805">
        <v>161.19999999999999</v>
      </c>
      <c r="G805">
        <v>3.9</v>
      </c>
      <c r="H805" s="3">
        <f t="shared" si="48"/>
        <v>44621</v>
      </c>
      <c r="I805">
        <f>MONTH(Table1[[#This Row],[Date]])</f>
        <v>3</v>
      </c>
      <c r="J805" t="str">
        <f t="shared" si="49"/>
        <v>Q1</v>
      </c>
      <c r="K805" t="str">
        <f t="shared" si="50"/>
        <v>Mar-2022</v>
      </c>
      <c r="L805" t="str">
        <f t="shared" si="51"/>
        <v>Medium</v>
      </c>
    </row>
    <row r="806" spans="1:12" x14ac:dyDescent="0.3">
      <c r="A806">
        <v>2022</v>
      </c>
      <c r="B806" s="2" t="s">
        <v>19</v>
      </c>
      <c r="C806" t="s">
        <v>8</v>
      </c>
      <c r="D806" t="s">
        <v>15</v>
      </c>
      <c r="E806">
        <v>28.32</v>
      </c>
      <c r="F806">
        <v>163.19999999999999</v>
      </c>
      <c r="G806">
        <v>3.98</v>
      </c>
      <c r="H806" s="3">
        <f t="shared" si="48"/>
        <v>44621</v>
      </c>
      <c r="I806">
        <f>MONTH(Table1[[#This Row],[Date]])</f>
        <v>3</v>
      </c>
      <c r="J806" t="str">
        <f t="shared" si="49"/>
        <v>Q1</v>
      </c>
      <c r="K806" t="str">
        <f t="shared" si="50"/>
        <v>Mar-2022</v>
      </c>
      <c r="L806" t="str">
        <f t="shared" si="51"/>
        <v>Medium</v>
      </c>
    </row>
    <row r="807" spans="1:12" x14ac:dyDescent="0.3">
      <c r="A807">
        <v>2022</v>
      </c>
      <c r="B807" s="2" t="s">
        <v>19</v>
      </c>
      <c r="C807" t="s">
        <v>16</v>
      </c>
      <c r="D807" t="s">
        <v>9</v>
      </c>
      <c r="E807">
        <v>100</v>
      </c>
      <c r="F807">
        <v>151.80000000000001</v>
      </c>
      <c r="G807">
        <v>3.5</v>
      </c>
      <c r="H807" s="3">
        <f t="shared" si="48"/>
        <v>44621</v>
      </c>
      <c r="I807">
        <f>MONTH(Table1[[#This Row],[Date]])</f>
        <v>3</v>
      </c>
      <c r="J807" t="str">
        <f t="shared" si="49"/>
        <v>Q1</v>
      </c>
      <c r="K807" t="str">
        <f t="shared" si="50"/>
        <v>Mar-2022</v>
      </c>
      <c r="L807" t="str">
        <f t="shared" si="51"/>
        <v>Medium</v>
      </c>
    </row>
    <row r="808" spans="1:12" x14ac:dyDescent="0.3">
      <c r="A808">
        <v>2022</v>
      </c>
      <c r="B808" s="2" t="s">
        <v>19</v>
      </c>
      <c r="C808" t="s">
        <v>16</v>
      </c>
      <c r="D808" t="s">
        <v>10</v>
      </c>
      <c r="E808">
        <v>45.86</v>
      </c>
      <c r="F808">
        <v>153.80000000000001</v>
      </c>
      <c r="G808">
        <v>3.58</v>
      </c>
      <c r="H808" s="3">
        <f t="shared" si="48"/>
        <v>44621</v>
      </c>
      <c r="I808">
        <f>MONTH(Table1[[#This Row],[Date]])</f>
        <v>3</v>
      </c>
      <c r="J808" t="str">
        <f t="shared" si="49"/>
        <v>Q1</v>
      </c>
      <c r="K808" t="str">
        <f t="shared" si="50"/>
        <v>Mar-2022</v>
      </c>
      <c r="L808" t="str">
        <f t="shared" si="51"/>
        <v>Medium</v>
      </c>
    </row>
    <row r="809" spans="1:12" x14ac:dyDescent="0.3">
      <c r="A809">
        <v>2022</v>
      </c>
      <c r="B809" s="2" t="s">
        <v>19</v>
      </c>
      <c r="C809" t="s">
        <v>16</v>
      </c>
      <c r="D809" t="s">
        <v>11</v>
      </c>
      <c r="E809">
        <v>2.38</v>
      </c>
      <c r="F809">
        <v>155.80000000000001</v>
      </c>
      <c r="G809">
        <v>3.66</v>
      </c>
      <c r="H809" s="3">
        <f t="shared" si="48"/>
        <v>44621</v>
      </c>
      <c r="I809">
        <f>MONTH(Table1[[#This Row],[Date]])</f>
        <v>3</v>
      </c>
      <c r="J809" t="str">
        <f t="shared" si="49"/>
        <v>Q1</v>
      </c>
      <c r="K809" t="str">
        <f t="shared" si="50"/>
        <v>Mar-2022</v>
      </c>
      <c r="L809" t="str">
        <f t="shared" si="51"/>
        <v>Medium</v>
      </c>
    </row>
    <row r="810" spans="1:12" x14ac:dyDescent="0.3">
      <c r="A810">
        <v>2022</v>
      </c>
      <c r="B810" s="2" t="s">
        <v>19</v>
      </c>
      <c r="C810" t="s">
        <v>16</v>
      </c>
      <c r="D810" t="s">
        <v>12</v>
      </c>
      <c r="E810">
        <v>6.53</v>
      </c>
      <c r="F810">
        <v>157.80000000000001</v>
      </c>
      <c r="G810">
        <v>3.74</v>
      </c>
      <c r="H810" s="3">
        <f t="shared" si="48"/>
        <v>44621</v>
      </c>
      <c r="I810">
        <f>MONTH(Table1[[#This Row],[Date]])</f>
        <v>3</v>
      </c>
      <c r="J810" t="str">
        <f t="shared" si="49"/>
        <v>Q1</v>
      </c>
      <c r="K810" t="str">
        <f t="shared" si="50"/>
        <v>Mar-2022</v>
      </c>
      <c r="L810" t="str">
        <f t="shared" si="51"/>
        <v>Medium</v>
      </c>
    </row>
    <row r="811" spans="1:12" x14ac:dyDescent="0.3">
      <c r="A811">
        <v>2022</v>
      </c>
      <c r="B811" s="2" t="s">
        <v>19</v>
      </c>
      <c r="C811" t="s">
        <v>16</v>
      </c>
      <c r="D811" t="s">
        <v>13</v>
      </c>
      <c r="E811">
        <v>10.07</v>
      </c>
      <c r="F811">
        <v>159.80000000000001</v>
      </c>
      <c r="G811">
        <v>3.82</v>
      </c>
      <c r="H811" s="3">
        <f t="shared" si="48"/>
        <v>44621</v>
      </c>
      <c r="I811">
        <f>MONTH(Table1[[#This Row],[Date]])</f>
        <v>3</v>
      </c>
      <c r="J811" t="str">
        <f t="shared" si="49"/>
        <v>Q1</v>
      </c>
      <c r="K811" t="str">
        <f t="shared" si="50"/>
        <v>Mar-2022</v>
      </c>
      <c r="L811" t="str">
        <f t="shared" si="51"/>
        <v>Medium</v>
      </c>
    </row>
    <row r="812" spans="1:12" x14ac:dyDescent="0.3">
      <c r="A812">
        <v>2022</v>
      </c>
      <c r="B812" s="2" t="s">
        <v>19</v>
      </c>
      <c r="C812" t="s">
        <v>16</v>
      </c>
      <c r="D812" t="s">
        <v>14</v>
      </c>
      <c r="E812">
        <v>6.84</v>
      </c>
      <c r="F812">
        <v>161.80000000000001</v>
      </c>
      <c r="G812">
        <v>3.9</v>
      </c>
      <c r="H812" s="3">
        <f t="shared" si="48"/>
        <v>44621</v>
      </c>
      <c r="I812">
        <f>MONTH(Table1[[#This Row],[Date]])</f>
        <v>3</v>
      </c>
      <c r="J812" t="str">
        <f t="shared" si="49"/>
        <v>Q1</v>
      </c>
      <c r="K812" t="str">
        <f t="shared" si="50"/>
        <v>Mar-2022</v>
      </c>
      <c r="L812" t="str">
        <f t="shared" si="51"/>
        <v>Medium</v>
      </c>
    </row>
    <row r="813" spans="1:12" x14ac:dyDescent="0.3">
      <c r="A813">
        <v>2022</v>
      </c>
      <c r="B813" s="2" t="s">
        <v>19</v>
      </c>
      <c r="C813" t="s">
        <v>16</v>
      </c>
      <c r="D813" t="s">
        <v>15</v>
      </c>
      <c r="E813">
        <v>28.32</v>
      </c>
      <c r="F813">
        <v>163.80000000000001</v>
      </c>
      <c r="G813">
        <v>3.98</v>
      </c>
      <c r="H813" s="3">
        <f t="shared" si="48"/>
        <v>44621</v>
      </c>
      <c r="I813">
        <f>MONTH(Table1[[#This Row],[Date]])</f>
        <v>3</v>
      </c>
      <c r="J813" t="str">
        <f t="shared" si="49"/>
        <v>Q1</v>
      </c>
      <c r="K813" t="str">
        <f t="shared" si="50"/>
        <v>Mar-2022</v>
      </c>
      <c r="L813" t="str">
        <f t="shared" si="51"/>
        <v>Medium</v>
      </c>
    </row>
    <row r="814" spans="1:12" x14ac:dyDescent="0.3">
      <c r="A814">
        <v>2022</v>
      </c>
      <c r="B814" s="2" t="s">
        <v>19</v>
      </c>
      <c r="C814" t="s">
        <v>17</v>
      </c>
      <c r="D814" t="s">
        <v>9</v>
      </c>
      <c r="E814">
        <v>100</v>
      </c>
      <c r="F814">
        <v>152.4</v>
      </c>
      <c r="G814">
        <v>3.5</v>
      </c>
      <c r="H814" s="3">
        <f t="shared" si="48"/>
        <v>44621</v>
      </c>
      <c r="I814">
        <f>MONTH(Table1[[#This Row],[Date]])</f>
        <v>3</v>
      </c>
      <c r="J814" t="str">
        <f t="shared" si="49"/>
        <v>Q1</v>
      </c>
      <c r="K814" t="str">
        <f t="shared" si="50"/>
        <v>Mar-2022</v>
      </c>
      <c r="L814" t="str">
        <f t="shared" si="51"/>
        <v>Medium</v>
      </c>
    </row>
    <row r="815" spans="1:12" x14ac:dyDescent="0.3">
      <c r="A815">
        <v>2022</v>
      </c>
      <c r="B815" s="2" t="s">
        <v>19</v>
      </c>
      <c r="C815" t="s">
        <v>17</v>
      </c>
      <c r="D815" t="s">
        <v>10</v>
      </c>
      <c r="E815">
        <v>45.86</v>
      </c>
      <c r="F815">
        <v>154.4</v>
      </c>
      <c r="G815">
        <v>3.58</v>
      </c>
      <c r="H815" s="3">
        <f t="shared" si="48"/>
        <v>44621</v>
      </c>
      <c r="I815">
        <f>MONTH(Table1[[#This Row],[Date]])</f>
        <v>3</v>
      </c>
      <c r="J815" t="str">
        <f t="shared" si="49"/>
        <v>Q1</v>
      </c>
      <c r="K815" t="str">
        <f t="shared" si="50"/>
        <v>Mar-2022</v>
      </c>
      <c r="L815" t="str">
        <f t="shared" si="51"/>
        <v>Medium</v>
      </c>
    </row>
    <row r="816" spans="1:12" x14ac:dyDescent="0.3">
      <c r="A816">
        <v>2022</v>
      </c>
      <c r="B816" s="2" t="s">
        <v>19</v>
      </c>
      <c r="C816" t="s">
        <v>17</v>
      </c>
      <c r="D816" t="s">
        <v>11</v>
      </c>
      <c r="E816">
        <v>2.38</v>
      </c>
      <c r="F816">
        <v>156.4</v>
      </c>
      <c r="G816">
        <v>3.66</v>
      </c>
      <c r="H816" s="3">
        <f t="shared" si="48"/>
        <v>44621</v>
      </c>
      <c r="I816">
        <f>MONTH(Table1[[#This Row],[Date]])</f>
        <v>3</v>
      </c>
      <c r="J816" t="str">
        <f t="shared" si="49"/>
        <v>Q1</v>
      </c>
      <c r="K816" t="str">
        <f t="shared" si="50"/>
        <v>Mar-2022</v>
      </c>
      <c r="L816" t="str">
        <f t="shared" si="51"/>
        <v>Medium</v>
      </c>
    </row>
    <row r="817" spans="1:12" x14ac:dyDescent="0.3">
      <c r="A817">
        <v>2022</v>
      </c>
      <c r="B817" s="2" t="s">
        <v>19</v>
      </c>
      <c r="C817" t="s">
        <v>17</v>
      </c>
      <c r="D817" t="s">
        <v>12</v>
      </c>
      <c r="E817">
        <v>6.53</v>
      </c>
      <c r="F817">
        <v>158.4</v>
      </c>
      <c r="G817">
        <v>3.74</v>
      </c>
      <c r="H817" s="3">
        <f t="shared" si="48"/>
        <v>44621</v>
      </c>
      <c r="I817">
        <f>MONTH(Table1[[#This Row],[Date]])</f>
        <v>3</v>
      </c>
      <c r="J817" t="str">
        <f t="shared" si="49"/>
        <v>Q1</v>
      </c>
      <c r="K817" t="str">
        <f t="shared" si="50"/>
        <v>Mar-2022</v>
      </c>
      <c r="L817" t="str">
        <f t="shared" si="51"/>
        <v>Medium</v>
      </c>
    </row>
    <row r="818" spans="1:12" x14ac:dyDescent="0.3">
      <c r="A818">
        <v>2022</v>
      </c>
      <c r="B818" s="2" t="s">
        <v>19</v>
      </c>
      <c r="C818" t="s">
        <v>17</v>
      </c>
      <c r="D818" t="s">
        <v>13</v>
      </c>
      <c r="E818">
        <v>10.07</v>
      </c>
      <c r="F818">
        <v>160.4</v>
      </c>
      <c r="G818">
        <v>3.82</v>
      </c>
      <c r="H818" s="3">
        <f t="shared" si="48"/>
        <v>44621</v>
      </c>
      <c r="I818">
        <f>MONTH(Table1[[#This Row],[Date]])</f>
        <v>3</v>
      </c>
      <c r="J818" t="str">
        <f t="shared" si="49"/>
        <v>Q1</v>
      </c>
      <c r="K818" t="str">
        <f t="shared" si="50"/>
        <v>Mar-2022</v>
      </c>
      <c r="L818" t="str">
        <f t="shared" si="51"/>
        <v>Medium</v>
      </c>
    </row>
    <row r="819" spans="1:12" x14ac:dyDescent="0.3">
      <c r="A819">
        <v>2022</v>
      </c>
      <c r="B819" s="2" t="s">
        <v>19</v>
      </c>
      <c r="C819" t="s">
        <v>17</v>
      </c>
      <c r="D819" t="s">
        <v>14</v>
      </c>
      <c r="E819">
        <v>6.84</v>
      </c>
      <c r="F819">
        <v>162.4</v>
      </c>
      <c r="G819">
        <v>3.9</v>
      </c>
      <c r="H819" s="3">
        <f t="shared" si="48"/>
        <v>44621</v>
      </c>
      <c r="I819">
        <f>MONTH(Table1[[#This Row],[Date]])</f>
        <v>3</v>
      </c>
      <c r="J819" t="str">
        <f t="shared" si="49"/>
        <v>Q1</v>
      </c>
      <c r="K819" t="str">
        <f t="shared" si="50"/>
        <v>Mar-2022</v>
      </c>
      <c r="L819" t="str">
        <f t="shared" si="51"/>
        <v>Medium</v>
      </c>
    </row>
    <row r="820" spans="1:12" x14ac:dyDescent="0.3">
      <c r="A820">
        <v>2022</v>
      </c>
      <c r="B820" s="2" t="s">
        <v>19</v>
      </c>
      <c r="C820" t="s">
        <v>17</v>
      </c>
      <c r="D820" t="s">
        <v>15</v>
      </c>
      <c r="E820">
        <v>28.32</v>
      </c>
      <c r="F820">
        <v>164.4</v>
      </c>
      <c r="G820">
        <v>3.98</v>
      </c>
      <c r="H820" s="3">
        <f t="shared" si="48"/>
        <v>44621</v>
      </c>
      <c r="I820">
        <f>MONTH(Table1[[#This Row],[Date]])</f>
        <v>3</v>
      </c>
      <c r="J820" t="str">
        <f t="shared" si="49"/>
        <v>Q1</v>
      </c>
      <c r="K820" t="str">
        <f t="shared" si="50"/>
        <v>Mar-2022</v>
      </c>
      <c r="L820" t="str">
        <f t="shared" si="51"/>
        <v>Medium</v>
      </c>
    </row>
    <row r="821" spans="1:12" x14ac:dyDescent="0.3">
      <c r="A821">
        <v>2022</v>
      </c>
      <c r="B821" s="2" t="s">
        <v>20</v>
      </c>
      <c r="C821" t="s">
        <v>8</v>
      </c>
      <c r="D821" t="s">
        <v>9</v>
      </c>
      <c r="E821">
        <v>100</v>
      </c>
      <c r="F821">
        <v>151.6</v>
      </c>
      <c r="G821">
        <v>3.65</v>
      </c>
      <c r="H821" s="3">
        <f t="shared" si="48"/>
        <v>44652</v>
      </c>
      <c r="I821">
        <f>MONTH(Table1[[#This Row],[Date]])</f>
        <v>4</v>
      </c>
      <c r="J821" t="str">
        <f t="shared" si="49"/>
        <v>Q2</v>
      </c>
      <c r="K821" t="str">
        <f t="shared" si="50"/>
        <v>Apr-2022</v>
      </c>
      <c r="L821" t="str">
        <f t="shared" si="51"/>
        <v>Medium</v>
      </c>
    </row>
    <row r="822" spans="1:12" x14ac:dyDescent="0.3">
      <c r="A822">
        <v>2022</v>
      </c>
      <c r="B822" s="2" t="s">
        <v>20</v>
      </c>
      <c r="C822" t="s">
        <v>8</v>
      </c>
      <c r="D822" t="s">
        <v>10</v>
      </c>
      <c r="E822">
        <v>45.86</v>
      </c>
      <c r="F822">
        <v>153.6</v>
      </c>
      <c r="G822">
        <v>3.73</v>
      </c>
      <c r="H822" s="3">
        <f t="shared" si="48"/>
        <v>44652</v>
      </c>
      <c r="I822">
        <f>MONTH(Table1[[#This Row],[Date]])</f>
        <v>4</v>
      </c>
      <c r="J822" t="str">
        <f t="shared" si="49"/>
        <v>Q2</v>
      </c>
      <c r="K822" t="str">
        <f t="shared" si="50"/>
        <v>Apr-2022</v>
      </c>
      <c r="L822" t="str">
        <f t="shared" si="51"/>
        <v>Medium</v>
      </c>
    </row>
    <row r="823" spans="1:12" x14ac:dyDescent="0.3">
      <c r="A823">
        <v>2022</v>
      </c>
      <c r="B823" s="2" t="s">
        <v>20</v>
      </c>
      <c r="C823" t="s">
        <v>8</v>
      </c>
      <c r="D823" t="s">
        <v>11</v>
      </c>
      <c r="E823">
        <v>2.38</v>
      </c>
      <c r="F823">
        <v>155.6</v>
      </c>
      <c r="G823">
        <v>3.81</v>
      </c>
      <c r="H823" s="3">
        <f t="shared" si="48"/>
        <v>44652</v>
      </c>
      <c r="I823">
        <f>MONTH(Table1[[#This Row],[Date]])</f>
        <v>4</v>
      </c>
      <c r="J823" t="str">
        <f t="shared" si="49"/>
        <v>Q2</v>
      </c>
      <c r="K823" t="str">
        <f t="shared" si="50"/>
        <v>Apr-2022</v>
      </c>
      <c r="L823" t="str">
        <f t="shared" si="51"/>
        <v>Medium</v>
      </c>
    </row>
    <row r="824" spans="1:12" x14ac:dyDescent="0.3">
      <c r="A824">
        <v>2022</v>
      </c>
      <c r="B824" s="2" t="s">
        <v>20</v>
      </c>
      <c r="C824" t="s">
        <v>8</v>
      </c>
      <c r="D824" t="s">
        <v>12</v>
      </c>
      <c r="E824">
        <v>6.53</v>
      </c>
      <c r="F824">
        <v>157.6</v>
      </c>
      <c r="G824">
        <v>3.89</v>
      </c>
      <c r="H824" s="3">
        <f t="shared" si="48"/>
        <v>44652</v>
      </c>
      <c r="I824">
        <f>MONTH(Table1[[#This Row],[Date]])</f>
        <v>4</v>
      </c>
      <c r="J824" t="str">
        <f t="shared" si="49"/>
        <v>Q2</v>
      </c>
      <c r="K824" t="str">
        <f t="shared" si="50"/>
        <v>Apr-2022</v>
      </c>
      <c r="L824" t="str">
        <f t="shared" si="51"/>
        <v>Medium</v>
      </c>
    </row>
    <row r="825" spans="1:12" x14ac:dyDescent="0.3">
      <c r="A825">
        <v>2022</v>
      </c>
      <c r="B825" s="2" t="s">
        <v>20</v>
      </c>
      <c r="C825" t="s">
        <v>8</v>
      </c>
      <c r="D825" t="s">
        <v>13</v>
      </c>
      <c r="E825">
        <v>10.07</v>
      </c>
      <c r="F825">
        <v>159.6</v>
      </c>
      <c r="G825">
        <v>3.97</v>
      </c>
      <c r="H825" s="3">
        <f t="shared" si="48"/>
        <v>44652</v>
      </c>
      <c r="I825">
        <f>MONTH(Table1[[#This Row],[Date]])</f>
        <v>4</v>
      </c>
      <c r="J825" t="str">
        <f t="shared" si="49"/>
        <v>Q2</v>
      </c>
      <c r="K825" t="str">
        <f t="shared" si="50"/>
        <v>Apr-2022</v>
      </c>
      <c r="L825" t="str">
        <f t="shared" si="51"/>
        <v>Medium</v>
      </c>
    </row>
    <row r="826" spans="1:12" x14ac:dyDescent="0.3">
      <c r="A826">
        <v>2022</v>
      </c>
      <c r="B826" s="2" t="s">
        <v>20</v>
      </c>
      <c r="C826" t="s">
        <v>8</v>
      </c>
      <c r="D826" t="s">
        <v>14</v>
      </c>
      <c r="E826">
        <v>6.84</v>
      </c>
      <c r="F826">
        <v>161.6</v>
      </c>
      <c r="G826">
        <v>4.05</v>
      </c>
      <c r="H826" s="3">
        <f t="shared" si="48"/>
        <v>44652</v>
      </c>
      <c r="I826">
        <f>MONTH(Table1[[#This Row],[Date]])</f>
        <v>4</v>
      </c>
      <c r="J826" t="str">
        <f t="shared" si="49"/>
        <v>Q2</v>
      </c>
      <c r="K826" t="str">
        <f t="shared" si="50"/>
        <v>Apr-2022</v>
      </c>
      <c r="L826" t="str">
        <f t="shared" si="51"/>
        <v>High</v>
      </c>
    </row>
    <row r="827" spans="1:12" x14ac:dyDescent="0.3">
      <c r="A827">
        <v>2022</v>
      </c>
      <c r="B827" s="2" t="s">
        <v>20</v>
      </c>
      <c r="C827" t="s">
        <v>8</v>
      </c>
      <c r="D827" t="s">
        <v>15</v>
      </c>
      <c r="E827">
        <v>28.32</v>
      </c>
      <c r="F827">
        <v>163.6</v>
      </c>
      <c r="G827">
        <v>4.13</v>
      </c>
      <c r="H827" s="3">
        <f t="shared" si="48"/>
        <v>44652</v>
      </c>
      <c r="I827">
        <f>MONTH(Table1[[#This Row],[Date]])</f>
        <v>4</v>
      </c>
      <c r="J827" t="str">
        <f t="shared" si="49"/>
        <v>Q2</v>
      </c>
      <c r="K827" t="str">
        <f t="shared" si="50"/>
        <v>Apr-2022</v>
      </c>
      <c r="L827" t="str">
        <f t="shared" si="51"/>
        <v>High</v>
      </c>
    </row>
    <row r="828" spans="1:12" x14ac:dyDescent="0.3">
      <c r="A828">
        <v>2022</v>
      </c>
      <c r="B828" s="2" t="s">
        <v>20</v>
      </c>
      <c r="C828" t="s">
        <v>16</v>
      </c>
      <c r="D828" t="s">
        <v>9</v>
      </c>
      <c r="E828">
        <v>100</v>
      </c>
      <c r="F828">
        <v>152.19999999999999</v>
      </c>
      <c r="G828">
        <v>3.65</v>
      </c>
      <c r="H828" s="3">
        <f t="shared" si="48"/>
        <v>44652</v>
      </c>
      <c r="I828">
        <f>MONTH(Table1[[#This Row],[Date]])</f>
        <v>4</v>
      </c>
      <c r="J828" t="str">
        <f t="shared" si="49"/>
        <v>Q2</v>
      </c>
      <c r="K828" t="str">
        <f t="shared" si="50"/>
        <v>Apr-2022</v>
      </c>
      <c r="L828" t="str">
        <f t="shared" si="51"/>
        <v>Medium</v>
      </c>
    </row>
    <row r="829" spans="1:12" x14ac:dyDescent="0.3">
      <c r="A829">
        <v>2022</v>
      </c>
      <c r="B829" s="2" t="s">
        <v>20</v>
      </c>
      <c r="C829" t="s">
        <v>16</v>
      </c>
      <c r="D829" t="s">
        <v>10</v>
      </c>
      <c r="E829">
        <v>45.86</v>
      </c>
      <c r="F829">
        <v>154.19999999999999</v>
      </c>
      <c r="G829">
        <v>3.73</v>
      </c>
      <c r="H829" s="3">
        <f t="shared" si="48"/>
        <v>44652</v>
      </c>
      <c r="I829">
        <f>MONTH(Table1[[#This Row],[Date]])</f>
        <v>4</v>
      </c>
      <c r="J829" t="str">
        <f t="shared" si="49"/>
        <v>Q2</v>
      </c>
      <c r="K829" t="str">
        <f t="shared" si="50"/>
        <v>Apr-2022</v>
      </c>
      <c r="L829" t="str">
        <f t="shared" si="51"/>
        <v>Medium</v>
      </c>
    </row>
    <row r="830" spans="1:12" x14ac:dyDescent="0.3">
      <c r="A830">
        <v>2022</v>
      </c>
      <c r="B830" s="2" t="s">
        <v>20</v>
      </c>
      <c r="C830" t="s">
        <v>16</v>
      </c>
      <c r="D830" t="s">
        <v>11</v>
      </c>
      <c r="E830">
        <v>2.38</v>
      </c>
      <c r="F830">
        <v>156.19999999999999</v>
      </c>
      <c r="G830">
        <v>3.81</v>
      </c>
      <c r="H830" s="3">
        <f t="shared" si="48"/>
        <v>44652</v>
      </c>
      <c r="I830">
        <f>MONTH(Table1[[#This Row],[Date]])</f>
        <v>4</v>
      </c>
      <c r="J830" t="str">
        <f t="shared" si="49"/>
        <v>Q2</v>
      </c>
      <c r="K830" t="str">
        <f t="shared" si="50"/>
        <v>Apr-2022</v>
      </c>
      <c r="L830" t="str">
        <f t="shared" si="51"/>
        <v>Medium</v>
      </c>
    </row>
    <row r="831" spans="1:12" x14ac:dyDescent="0.3">
      <c r="A831">
        <v>2022</v>
      </c>
      <c r="B831" s="2" t="s">
        <v>20</v>
      </c>
      <c r="C831" t="s">
        <v>16</v>
      </c>
      <c r="D831" t="s">
        <v>12</v>
      </c>
      <c r="E831">
        <v>6.53</v>
      </c>
      <c r="F831">
        <v>158.19999999999999</v>
      </c>
      <c r="G831">
        <v>3.89</v>
      </c>
      <c r="H831" s="3">
        <f t="shared" si="48"/>
        <v>44652</v>
      </c>
      <c r="I831">
        <f>MONTH(Table1[[#This Row],[Date]])</f>
        <v>4</v>
      </c>
      <c r="J831" t="str">
        <f t="shared" si="49"/>
        <v>Q2</v>
      </c>
      <c r="K831" t="str">
        <f t="shared" si="50"/>
        <v>Apr-2022</v>
      </c>
      <c r="L831" t="str">
        <f t="shared" si="51"/>
        <v>Medium</v>
      </c>
    </row>
    <row r="832" spans="1:12" x14ac:dyDescent="0.3">
      <c r="A832">
        <v>2022</v>
      </c>
      <c r="B832" s="2" t="s">
        <v>20</v>
      </c>
      <c r="C832" t="s">
        <v>16</v>
      </c>
      <c r="D832" t="s">
        <v>13</v>
      </c>
      <c r="E832">
        <v>10.07</v>
      </c>
      <c r="F832">
        <v>160.19999999999999</v>
      </c>
      <c r="G832">
        <v>3.97</v>
      </c>
      <c r="H832" s="3">
        <f t="shared" si="48"/>
        <v>44652</v>
      </c>
      <c r="I832">
        <f>MONTH(Table1[[#This Row],[Date]])</f>
        <v>4</v>
      </c>
      <c r="J832" t="str">
        <f t="shared" si="49"/>
        <v>Q2</v>
      </c>
      <c r="K832" t="str">
        <f t="shared" si="50"/>
        <v>Apr-2022</v>
      </c>
      <c r="L832" t="str">
        <f t="shared" si="51"/>
        <v>Medium</v>
      </c>
    </row>
    <row r="833" spans="1:12" x14ac:dyDescent="0.3">
      <c r="A833">
        <v>2022</v>
      </c>
      <c r="B833" s="2" t="s">
        <v>20</v>
      </c>
      <c r="C833" t="s">
        <v>16</v>
      </c>
      <c r="D833" t="s">
        <v>14</v>
      </c>
      <c r="E833">
        <v>6.84</v>
      </c>
      <c r="F833">
        <v>162.19999999999999</v>
      </c>
      <c r="G833">
        <v>4.05</v>
      </c>
      <c r="H833" s="3">
        <f t="shared" si="48"/>
        <v>44652</v>
      </c>
      <c r="I833">
        <f>MONTH(Table1[[#This Row],[Date]])</f>
        <v>4</v>
      </c>
      <c r="J833" t="str">
        <f t="shared" si="49"/>
        <v>Q2</v>
      </c>
      <c r="K833" t="str">
        <f t="shared" si="50"/>
        <v>Apr-2022</v>
      </c>
      <c r="L833" t="str">
        <f t="shared" si="51"/>
        <v>High</v>
      </c>
    </row>
    <row r="834" spans="1:12" x14ac:dyDescent="0.3">
      <c r="A834">
        <v>2022</v>
      </c>
      <c r="B834" s="2" t="s">
        <v>20</v>
      </c>
      <c r="C834" t="s">
        <v>16</v>
      </c>
      <c r="D834" t="s">
        <v>15</v>
      </c>
      <c r="E834">
        <v>28.32</v>
      </c>
      <c r="F834">
        <v>164.2</v>
      </c>
      <c r="G834">
        <v>4.13</v>
      </c>
      <c r="H834" s="3">
        <f t="shared" ref="H834:H897" si="52">DATE(A834,MONTH(DATEVALUE(B834&amp;" 1")),1)</f>
        <v>44652</v>
      </c>
      <c r="I834">
        <f>MONTH(Table1[[#This Row],[Date]])</f>
        <v>4</v>
      </c>
      <c r="J834" t="str">
        <f t="shared" ref="J834:J897" si="53">"Q"&amp;ROUNDUP(MONTH(H834)/3,0)</f>
        <v>Q2</v>
      </c>
      <c r="K834" t="str">
        <f t="shared" ref="K834:K897" si="54">TEXT(H834,"mmm-yyyy")</f>
        <v>Apr-2022</v>
      </c>
      <c r="L834" t="str">
        <f t="shared" ref="L834:L897" si="55">IF(G834&lt;3,"Low",IF(G834&lt;4,"Medium","High"))</f>
        <v>High</v>
      </c>
    </row>
    <row r="835" spans="1:12" x14ac:dyDescent="0.3">
      <c r="A835">
        <v>2022</v>
      </c>
      <c r="B835" s="2" t="s">
        <v>20</v>
      </c>
      <c r="C835" t="s">
        <v>17</v>
      </c>
      <c r="D835" t="s">
        <v>9</v>
      </c>
      <c r="E835">
        <v>100</v>
      </c>
      <c r="F835">
        <v>152.80000000000001</v>
      </c>
      <c r="G835">
        <v>3.65</v>
      </c>
      <c r="H835" s="3">
        <f t="shared" si="52"/>
        <v>44652</v>
      </c>
      <c r="I835">
        <f>MONTH(Table1[[#This Row],[Date]])</f>
        <v>4</v>
      </c>
      <c r="J835" t="str">
        <f t="shared" si="53"/>
        <v>Q2</v>
      </c>
      <c r="K835" t="str">
        <f t="shared" si="54"/>
        <v>Apr-2022</v>
      </c>
      <c r="L835" t="str">
        <f t="shared" si="55"/>
        <v>Medium</v>
      </c>
    </row>
    <row r="836" spans="1:12" x14ac:dyDescent="0.3">
      <c r="A836">
        <v>2022</v>
      </c>
      <c r="B836" s="2" t="s">
        <v>20</v>
      </c>
      <c r="C836" t="s">
        <v>17</v>
      </c>
      <c r="D836" t="s">
        <v>10</v>
      </c>
      <c r="E836">
        <v>45.86</v>
      </c>
      <c r="F836">
        <v>154.80000000000001</v>
      </c>
      <c r="G836">
        <v>3.73</v>
      </c>
      <c r="H836" s="3">
        <f t="shared" si="52"/>
        <v>44652</v>
      </c>
      <c r="I836">
        <f>MONTH(Table1[[#This Row],[Date]])</f>
        <v>4</v>
      </c>
      <c r="J836" t="str">
        <f t="shared" si="53"/>
        <v>Q2</v>
      </c>
      <c r="K836" t="str">
        <f t="shared" si="54"/>
        <v>Apr-2022</v>
      </c>
      <c r="L836" t="str">
        <f t="shared" si="55"/>
        <v>Medium</v>
      </c>
    </row>
    <row r="837" spans="1:12" x14ac:dyDescent="0.3">
      <c r="A837">
        <v>2022</v>
      </c>
      <c r="B837" s="2" t="s">
        <v>20</v>
      </c>
      <c r="C837" t="s">
        <v>17</v>
      </c>
      <c r="D837" t="s">
        <v>11</v>
      </c>
      <c r="E837">
        <v>2.38</v>
      </c>
      <c r="F837">
        <v>156.80000000000001</v>
      </c>
      <c r="G837">
        <v>3.81</v>
      </c>
      <c r="H837" s="3">
        <f t="shared" si="52"/>
        <v>44652</v>
      </c>
      <c r="I837">
        <f>MONTH(Table1[[#This Row],[Date]])</f>
        <v>4</v>
      </c>
      <c r="J837" t="str">
        <f t="shared" si="53"/>
        <v>Q2</v>
      </c>
      <c r="K837" t="str">
        <f t="shared" si="54"/>
        <v>Apr-2022</v>
      </c>
      <c r="L837" t="str">
        <f t="shared" si="55"/>
        <v>Medium</v>
      </c>
    </row>
    <row r="838" spans="1:12" x14ac:dyDescent="0.3">
      <c r="A838">
        <v>2022</v>
      </c>
      <c r="B838" s="2" t="s">
        <v>20</v>
      </c>
      <c r="C838" t="s">
        <v>17</v>
      </c>
      <c r="D838" t="s">
        <v>12</v>
      </c>
      <c r="E838">
        <v>6.53</v>
      </c>
      <c r="F838">
        <v>158.80000000000001</v>
      </c>
      <c r="G838">
        <v>3.89</v>
      </c>
      <c r="H838" s="3">
        <f t="shared" si="52"/>
        <v>44652</v>
      </c>
      <c r="I838">
        <f>MONTH(Table1[[#This Row],[Date]])</f>
        <v>4</v>
      </c>
      <c r="J838" t="str">
        <f t="shared" si="53"/>
        <v>Q2</v>
      </c>
      <c r="K838" t="str">
        <f t="shared" si="54"/>
        <v>Apr-2022</v>
      </c>
      <c r="L838" t="str">
        <f t="shared" si="55"/>
        <v>Medium</v>
      </c>
    </row>
    <row r="839" spans="1:12" x14ac:dyDescent="0.3">
      <c r="A839">
        <v>2022</v>
      </c>
      <c r="B839" s="2" t="s">
        <v>20</v>
      </c>
      <c r="C839" t="s">
        <v>17</v>
      </c>
      <c r="D839" t="s">
        <v>13</v>
      </c>
      <c r="E839">
        <v>10.07</v>
      </c>
      <c r="F839">
        <v>160.80000000000001</v>
      </c>
      <c r="G839">
        <v>3.97</v>
      </c>
      <c r="H839" s="3">
        <f t="shared" si="52"/>
        <v>44652</v>
      </c>
      <c r="I839">
        <f>MONTH(Table1[[#This Row],[Date]])</f>
        <v>4</v>
      </c>
      <c r="J839" t="str">
        <f t="shared" si="53"/>
        <v>Q2</v>
      </c>
      <c r="K839" t="str">
        <f t="shared" si="54"/>
        <v>Apr-2022</v>
      </c>
      <c r="L839" t="str">
        <f t="shared" si="55"/>
        <v>Medium</v>
      </c>
    </row>
    <row r="840" spans="1:12" x14ac:dyDescent="0.3">
      <c r="A840">
        <v>2022</v>
      </c>
      <c r="B840" s="2" t="s">
        <v>20</v>
      </c>
      <c r="C840" t="s">
        <v>17</v>
      </c>
      <c r="D840" t="s">
        <v>14</v>
      </c>
      <c r="E840">
        <v>6.84</v>
      </c>
      <c r="F840">
        <v>162.80000000000001</v>
      </c>
      <c r="G840">
        <v>4.05</v>
      </c>
      <c r="H840" s="3">
        <f t="shared" si="52"/>
        <v>44652</v>
      </c>
      <c r="I840">
        <f>MONTH(Table1[[#This Row],[Date]])</f>
        <v>4</v>
      </c>
      <c r="J840" t="str">
        <f t="shared" si="53"/>
        <v>Q2</v>
      </c>
      <c r="K840" t="str">
        <f t="shared" si="54"/>
        <v>Apr-2022</v>
      </c>
      <c r="L840" t="str">
        <f t="shared" si="55"/>
        <v>High</v>
      </c>
    </row>
    <row r="841" spans="1:12" x14ac:dyDescent="0.3">
      <c r="A841">
        <v>2022</v>
      </c>
      <c r="B841" s="2" t="s">
        <v>20</v>
      </c>
      <c r="C841" t="s">
        <v>17</v>
      </c>
      <c r="D841" t="s">
        <v>15</v>
      </c>
      <c r="E841">
        <v>28.32</v>
      </c>
      <c r="F841">
        <v>164.8</v>
      </c>
      <c r="G841">
        <v>4.13</v>
      </c>
      <c r="H841" s="3">
        <f t="shared" si="52"/>
        <v>44652</v>
      </c>
      <c r="I841">
        <f>MONTH(Table1[[#This Row],[Date]])</f>
        <v>4</v>
      </c>
      <c r="J841" t="str">
        <f t="shared" si="53"/>
        <v>Q2</v>
      </c>
      <c r="K841" t="str">
        <f t="shared" si="54"/>
        <v>Apr-2022</v>
      </c>
      <c r="L841" t="str">
        <f t="shared" si="55"/>
        <v>High</v>
      </c>
    </row>
    <row r="842" spans="1:12" x14ac:dyDescent="0.3">
      <c r="A842">
        <v>2022</v>
      </c>
      <c r="B842" s="2" t="s">
        <v>21</v>
      </c>
      <c r="C842" t="s">
        <v>8</v>
      </c>
      <c r="D842" t="s">
        <v>9</v>
      </c>
      <c r="E842">
        <v>100</v>
      </c>
      <c r="F842">
        <v>152</v>
      </c>
      <c r="G842">
        <v>3.8</v>
      </c>
      <c r="H842" s="3">
        <f t="shared" si="52"/>
        <v>44682</v>
      </c>
      <c r="I842">
        <f>MONTH(Table1[[#This Row],[Date]])</f>
        <v>5</v>
      </c>
      <c r="J842" t="str">
        <f t="shared" si="53"/>
        <v>Q2</v>
      </c>
      <c r="K842" t="str">
        <f t="shared" si="54"/>
        <v>May-2022</v>
      </c>
      <c r="L842" t="str">
        <f t="shared" si="55"/>
        <v>Medium</v>
      </c>
    </row>
    <row r="843" spans="1:12" x14ac:dyDescent="0.3">
      <c r="A843">
        <v>2022</v>
      </c>
      <c r="B843" s="2" t="s">
        <v>21</v>
      </c>
      <c r="C843" t="s">
        <v>8</v>
      </c>
      <c r="D843" t="s">
        <v>10</v>
      </c>
      <c r="E843">
        <v>45.86</v>
      </c>
      <c r="F843">
        <v>154</v>
      </c>
      <c r="G843">
        <v>3.88</v>
      </c>
      <c r="H843" s="3">
        <f t="shared" si="52"/>
        <v>44682</v>
      </c>
      <c r="I843">
        <f>MONTH(Table1[[#This Row],[Date]])</f>
        <v>5</v>
      </c>
      <c r="J843" t="str">
        <f t="shared" si="53"/>
        <v>Q2</v>
      </c>
      <c r="K843" t="str">
        <f t="shared" si="54"/>
        <v>May-2022</v>
      </c>
      <c r="L843" t="str">
        <f t="shared" si="55"/>
        <v>Medium</v>
      </c>
    </row>
    <row r="844" spans="1:12" x14ac:dyDescent="0.3">
      <c r="A844">
        <v>2022</v>
      </c>
      <c r="B844" s="2" t="s">
        <v>21</v>
      </c>
      <c r="C844" t="s">
        <v>8</v>
      </c>
      <c r="D844" t="s">
        <v>11</v>
      </c>
      <c r="E844">
        <v>2.38</v>
      </c>
      <c r="F844">
        <v>156</v>
      </c>
      <c r="G844">
        <v>3.96</v>
      </c>
      <c r="H844" s="3">
        <f t="shared" si="52"/>
        <v>44682</v>
      </c>
      <c r="I844">
        <f>MONTH(Table1[[#This Row],[Date]])</f>
        <v>5</v>
      </c>
      <c r="J844" t="str">
        <f t="shared" si="53"/>
        <v>Q2</v>
      </c>
      <c r="K844" t="str">
        <f t="shared" si="54"/>
        <v>May-2022</v>
      </c>
      <c r="L844" t="str">
        <f t="shared" si="55"/>
        <v>Medium</v>
      </c>
    </row>
    <row r="845" spans="1:12" x14ac:dyDescent="0.3">
      <c r="A845">
        <v>2022</v>
      </c>
      <c r="B845" s="2" t="s">
        <v>21</v>
      </c>
      <c r="C845" t="s">
        <v>8</v>
      </c>
      <c r="D845" t="s">
        <v>12</v>
      </c>
      <c r="E845">
        <v>6.53</v>
      </c>
      <c r="F845">
        <v>158</v>
      </c>
      <c r="G845">
        <v>4.04</v>
      </c>
      <c r="H845" s="3">
        <f t="shared" si="52"/>
        <v>44682</v>
      </c>
      <c r="I845">
        <f>MONTH(Table1[[#This Row],[Date]])</f>
        <v>5</v>
      </c>
      <c r="J845" t="str">
        <f t="shared" si="53"/>
        <v>Q2</v>
      </c>
      <c r="K845" t="str">
        <f t="shared" si="54"/>
        <v>May-2022</v>
      </c>
      <c r="L845" t="str">
        <f t="shared" si="55"/>
        <v>High</v>
      </c>
    </row>
    <row r="846" spans="1:12" x14ac:dyDescent="0.3">
      <c r="A846">
        <v>2022</v>
      </c>
      <c r="B846" s="2" t="s">
        <v>21</v>
      </c>
      <c r="C846" t="s">
        <v>8</v>
      </c>
      <c r="D846" t="s">
        <v>13</v>
      </c>
      <c r="E846">
        <v>10.07</v>
      </c>
      <c r="F846">
        <v>160</v>
      </c>
      <c r="G846">
        <v>4.12</v>
      </c>
      <c r="H846" s="3">
        <f t="shared" si="52"/>
        <v>44682</v>
      </c>
      <c r="I846">
        <f>MONTH(Table1[[#This Row],[Date]])</f>
        <v>5</v>
      </c>
      <c r="J846" t="str">
        <f t="shared" si="53"/>
        <v>Q2</v>
      </c>
      <c r="K846" t="str">
        <f t="shared" si="54"/>
        <v>May-2022</v>
      </c>
      <c r="L846" t="str">
        <f t="shared" si="55"/>
        <v>High</v>
      </c>
    </row>
    <row r="847" spans="1:12" x14ac:dyDescent="0.3">
      <c r="A847">
        <v>2022</v>
      </c>
      <c r="B847" s="2" t="s">
        <v>21</v>
      </c>
      <c r="C847" t="s">
        <v>8</v>
      </c>
      <c r="D847" t="s">
        <v>14</v>
      </c>
      <c r="E847">
        <v>6.84</v>
      </c>
      <c r="F847">
        <v>162</v>
      </c>
      <c r="G847">
        <v>4.2</v>
      </c>
      <c r="H847" s="3">
        <f t="shared" si="52"/>
        <v>44682</v>
      </c>
      <c r="I847">
        <f>MONTH(Table1[[#This Row],[Date]])</f>
        <v>5</v>
      </c>
      <c r="J847" t="str">
        <f t="shared" si="53"/>
        <v>Q2</v>
      </c>
      <c r="K847" t="str">
        <f t="shared" si="54"/>
        <v>May-2022</v>
      </c>
      <c r="L847" t="str">
        <f t="shared" si="55"/>
        <v>High</v>
      </c>
    </row>
    <row r="848" spans="1:12" x14ac:dyDescent="0.3">
      <c r="A848">
        <v>2022</v>
      </c>
      <c r="B848" s="2" t="s">
        <v>21</v>
      </c>
      <c r="C848" t="s">
        <v>8</v>
      </c>
      <c r="D848" t="s">
        <v>15</v>
      </c>
      <c r="E848">
        <v>28.32</v>
      </c>
      <c r="F848">
        <v>164</v>
      </c>
      <c r="G848">
        <v>4.28</v>
      </c>
      <c r="H848" s="3">
        <f t="shared" si="52"/>
        <v>44682</v>
      </c>
      <c r="I848">
        <f>MONTH(Table1[[#This Row],[Date]])</f>
        <v>5</v>
      </c>
      <c r="J848" t="str">
        <f t="shared" si="53"/>
        <v>Q2</v>
      </c>
      <c r="K848" t="str">
        <f t="shared" si="54"/>
        <v>May-2022</v>
      </c>
      <c r="L848" t="str">
        <f t="shared" si="55"/>
        <v>High</v>
      </c>
    </row>
    <row r="849" spans="1:12" x14ac:dyDescent="0.3">
      <c r="A849">
        <v>2022</v>
      </c>
      <c r="B849" s="2" t="s">
        <v>21</v>
      </c>
      <c r="C849" t="s">
        <v>16</v>
      </c>
      <c r="D849" t="s">
        <v>9</v>
      </c>
      <c r="E849">
        <v>100</v>
      </c>
      <c r="F849">
        <v>152.6</v>
      </c>
      <c r="G849">
        <v>3.8</v>
      </c>
      <c r="H849" s="3">
        <f t="shared" si="52"/>
        <v>44682</v>
      </c>
      <c r="I849">
        <f>MONTH(Table1[[#This Row],[Date]])</f>
        <v>5</v>
      </c>
      <c r="J849" t="str">
        <f t="shared" si="53"/>
        <v>Q2</v>
      </c>
      <c r="K849" t="str">
        <f t="shared" si="54"/>
        <v>May-2022</v>
      </c>
      <c r="L849" t="str">
        <f t="shared" si="55"/>
        <v>Medium</v>
      </c>
    </row>
    <row r="850" spans="1:12" x14ac:dyDescent="0.3">
      <c r="A850">
        <v>2022</v>
      </c>
      <c r="B850" s="2" t="s">
        <v>21</v>
      </c>
      <c r="C850" t="s">
        <v>16</v>
      </c>
      <c r="D850" t="s">
        <v>10</v>
      </c>
      <c r="E850">
        <v>45.86</v>
      </c>
      <c r="F850">
        <v>154.6</v>
      </c>
      <c r="G850">
        <v>3.88</v>
      </c>
      <c r="H850" s="3">
        <f t="shared" si="52"/>
        <v>44682</v>
      </c>
      <c r="I850">
        <f>MONTH(Table1[[#This Row],[Date]])</f>
        <v>5</v>
      </c>
      <c r="J850" t="str">
        <f t="shared" si="53"/>
        <v>Q2</v>
      </c>
      <c r="K850" t="str">
        <f t="shared" si="54"/>
        <v>May-2022</v>
      </c>
      <c r="L850" t="str">
        <f t="shared" si="55"/>
        <v>Medium</v>
      </c>
    </row>
    <row r="851" spans="1:12" x14ac:dyDescent="0.3">
      <c r="A851">
        <v>2022</v>
      </c>
      <c r="B851" s="2" t="s">
        <v>21</v>
      </c>
      <c r="C851" t="s">
        <v>16</v>
      </c>
      <c r="D851" t="s">
        <v>11</v>
      </c>
      <c r="E851">
        <v>2.38</v>
      </c>
      <c r="F851">
        <v>156.6</v>
      </c>
      <c r="G851">
        <v>3.96</v>
      </c>
      <c r="H851" s="3">
        <f t="shared" si="52"/>
        <v>44682</v>
      </c>
      <c r="I851">
        <f>MONTH(Table1[[#This Row],[Date]])</f>
        <v>5</v>
      </c>
      <c r="J851" t="str">
        <f t="shared" si="53"/>
        <v>Q2</v>
      </c>
      <c r="K851" t="str">
        <f t="shared" si="54"/>
        <v>May-2022</v>
      </c>
      <c r="L851" t="str">
        <f t="shared" si="55"/>
        <v>Medium</v>
      </c>
    </row>
    <row r="852" spans="1:12" x14ac:dyDescent="0.3">
      <c r="A852">
        <v>2022</v>
      </c>
      <c r="B852" s="2" t="s">
        <v>21</v>
      </c>
      <c r="C852" t="s">
        <v>16</v>
      </c>
      <c r="D852" t="s">
        <v>12</v>
      </c>
      <c r="E852">
        <v>6.53</v>
      </c>
      <c r="F852">
        <v>158.6</v>
      </c>
      <c r="G852">
        <v>4.04</v>
      </c>
      <c r="H852" s="3">
        <f t="shared" si="52"/>
        <v>44682</v>
      </c>
      <c r="I852">
        <f>MONTH(Table1[[#This Row],[Date]])</f>
        <v>5</v>
      </c>
      <c r="J852" t="str">
        <f t="shared" si="53"/>
        <v>Q2</v>
      </c>
      <c r="K852" t="str">
        <f t="shared" si="54"/>
        <v>May-2022</v>
      </c>
      <c r="L852" t="str">
        <f t="shared" si="55"/>
        <v>High</v>
      </c>
    </row>
    <row r="853" spans="1:12" x14ac:dyDescent="0.3">
      <c r="A853">
        <v>2022</v>
      </c>
      <c r="B853" s="2" t="s">
        <v>21</v>
      </c>
      <c r="C853" t="s">
        <v>16</v>
      </c>
      <c r="D853" t="s">
        <v>13</v>
      </c>
      <c r="E853">
        <v>10.07</v>
      </c>
      <c r="F853">
        <v>160.6</v>
      </c>
      <c r="G853">
        <v>4.12</v>
      </c>
      <c r="H853" s="3">
        <f t="shared" si="52"/>
        <v>44682</v>
      </c>
      <c r="I853">
        <f>MONTH(Table1[[#This Row],[Date]])</f>
        <v>5</v>
      </c>
      <c r="J853" t="str">
        <f t="shared" si="53"/>
        <v>Q2</v>
      </c>
      <c r="K853" t="str">
        <f t="shared" si="54"/>
        <v>May-2022</v>
      </c>
      <c r="L853" t="str">
        <f t="shared" si="55"/>
        <v>High</v>
      </c>
    </row>
    <row r="854" spans="1:12" x14ac:dyDescent="0.3">
      <c r="A854">
        <v>2022</v>
      </c>
      <c r="B854" s="2" t="s">
        <v>21</v>
      </c>
      <c r="C854" t="s">
        <v>16</v>
      </c>
      <c r="D854" t="s">
        <v>14</v>
      </c>
      <c r="E854">
        <v>6.84</v>
      </c>
      <c r="F854">
        <v>162.6</v>
      </c>
      <c r="G854">
        <v>4.2</v>
      </c>
      <c r="H854" s="3">
        <f t="shared" si="52"/>
        <v>44682</v>
      </c>
      <c r="I854">
        <f>MONTH(Table1[[#This Row],[Date]])</f>
        <v>5</v>
      </c>
      <c r="J854" t="str">
        <f t="shared" si="53"/>
        <v>Q2</v>
      </c>
      <c r="K854" t="str">
        <f t="shared" si="54"/>
        <v>May-2022</v>
      </c>
      <c r="L854" t="str">
        <f t="shared" si="55"/>
        <v>High</v>
      </c>
    </row>
    <row r="855" spans="1:12" x14ac:dyDescent="0.3">
      <c r="A855">
        <v>2022</v>
      </c>
      <c r="B855" s="2" t="s">
        <v>21</v>
      </c>
      <c r="C855" t="s">
        <v>16</v>
      </c>
      <c r="D855" t="s">
        <v>15</v>
      </c>
      <c r="E855">
        <v>28.32</v>
      </c>
      <c r="F855">
        <v>164.6</v>
      </c>
      <c r="G855">
        <v>4.28</v>
      </c>
      <c r="H855" s="3">
        <f t="shared" si="52"/>
        <v>44682</v>
      </c>
      <c r="I855">
        <f>MONTH(Table1[[#This Row],[Date]])</f>
        <v>5</v>
      </c>
      <c r="J855" t="str">
        <f t="shared" si="53"/>
        <v>Q2</v>
      </c>
      <c r="K855" t="str">
        <f t="shared" si="54"/>
        <v>May-2022</v>
      </c>
      <c r="L855" t="str">
        <f t="shared" si="55"/>
        <v>High</v>
      </c>
    </row>
    <row r="856" spans="1:12" x14ac:dyDescent="0.3">
      <c r="A856">
        <v>2022</v>
      </c>
      <c r="B856" s="2" t="s">
        <v>21</v>
      </c>
      <c r="C856" t="s">
        <v>17</v>
      </c>
      <c r="D856" t="s">
        <v>9</v>
      </c>
      <c r="E856">
        <v>100</v>
      </c>
      <c r="F856">
        <v>153.19999999999999</v>
      </c>
      <c r="G856">
        <v>3.8</v>
      </c>
      <c r="H856" s="3">
        <f t="shared" si="52"/>
        <v>44682</v>
      </c>
      <c r="I856">
        <f>MONTH(Table1[[#This Row],[Date]])</f>
        <v>5</v>
      </c>
      <c r="J856" t="str">
        <f t="shared" si="53"/>
        <v>Q2</v>
      </c>
      <c r="K856" t="str">
        <f t="shared" si="54"/>
        <v>May-2022</v>
      </c>
      <c r="L856" t="str">
        <f t="shared" si="55"/>
        <v>Medium</v>
      </c>
    </row>
    <row r="857" spans="1:12" x14ac:dyDescent="0.3">
      <c r="A857">
        <v>2022</v>
      </c>
      <c r="B857" s="2" t="s">
        <v>21</v>
      </c>
      <c r="C857" t="s">
        <v>17</v>
      </c>
      <c r="D857" t="s">
        <v>10</v>
      </c>
      <c r="E857">
        <v>45.86</v>
      </c>
      <c r="F857">
        <v>155.19999999999999</v>
      </c>
      <c r="G857">
        <v>3.88</v>
      </c>
      <c r="H857" s="3">
        <f t="shared" si="52"/>
        <v>44682</v>
      </c>
      <c r="I857">
        <f>MONTH(Table1[[#This Row],[Date]])</f>
        <v>5</v>
      </c>
      <c r="J857" t="str">
        <f t="shared" si="53"/>
        <v>Q2</v>
      </c>
      <c r="K857" t="str">
        <f t="shared" si="54"/>
        <v>May-2022</v>
      </c>
      <c r="L857" t="str">
        <f t="shared" si="55"/>
        <v>Medium</v>
      </c>
    </row>
    <row r="858" spans="1:12" x14ac:dyDescent="0.3">
      <c r="A858">
        <v>2022</v>
      </c>
      <c r="B858" s="2" t="s">
        <v>21</v>
      </c>
      <c r="C858" t="s">
        <v>17</v>
      </c>
      <c r="D858" t="s">
        <v>11</v>
      </c>
      <c r="E858">
        <v>2.38</v>
      </c>
      <c r="F858">
        <v>157.19999999999999</v>
      </c>
      <c r="G858">
        <v>3.96</v>
      </c>
      <c r="H858" s="3">
        <f t="shared" si="52"/>
        <v>44682</v>
      </c>
      <c r="I858">
        <f>MONTH(Table1[[#This Row],[Date]])</f>
        <v>5</v>
      </c>
      <c r="J858" t="str">
        <f t="shared" si="53"/>
        <v>Q2</v>
      </c>
      <c r="K858" t="str">
        <f t="shared" si="54"/>
        <v>May-2022</v>
      </c>
      <c r="L858" t="str">
        <f t="shared" si="55"/>
        <v>Medium</v>
      </c>
    </row>
    <row r="859" spans="1:12" x14ac:dyDescent="0.3">
      <c r="A859">
        <v>2022</v>
      </c>
      <c r="B859" s="2" t="s">
        <v>21</v>
      </c>
      <c r="C859" t="s">
        <v>17</v>
      </c>
      <c r="D859" t="s">
        <v>12</v>
      </c>
      <c r="E859">
        <v>6.53</v>
      </c>
      <c r="F859">
        <v>159.19999999999999</v>
      </c>
      <c r="G859">
        <v>4.04</v>
      </c>
      <c r="H859" s="3">
        <f t="shared" si="52"/>
        <v>44682</v>
      </c>
      <c r="I859">
        <f>MONTH(Table1[[#This Row],[Date]])</f>
        <v>5</v>
      </c>
      <c r="J859" t="str">
        <f t="shared" si="53"/>
        <v>Q2</v>
      </c>
      <c r="K859" t="str">
        <f t="shared" si="54"/>
        <v>May-2022</v>
      </c>
      <c r="L859" t="str">
        <f t="shared" si="55"/>
        <v>High</v>
      </c>
    </row>
    <row r="860" spans="1:12" x14ac:dyDescent="0.3">
      <c r="A860">
        <v>2022</v>
      </c>
      <c r="B860" s="2" t="s">
        <v>21</v>
      </c>
      <c r="C860" t="s">
        <v>17</v>
      </c>
      <c r="D860" t="s">
        <v>13</v>
      </c>
      <c r="E860">
        <v>10.07</v>
      </c>
      <c r="F860">
        <v>161.19999999999999</v>
      </c>
      <c r="G860">
        <v>4.12</v>
      </c>
      <c r="H860" s="3">
        <f t="shared" si="52"/>
        <v>44682</v>
      </c>
      <c r="I860">
        <f>MONTH(Table1[[#This Row],[Date]])</f>
        <v>5</v>
      </c>
      <c r="J860" t="str">
        <f t="shared" si="53"/>
        <v>Q2</v>
      </c>
      <c r="K860" t="str">
        <f t="shared" si="54"/>
        <v>May-2022</v>
      </c>
      <c r="L860" t="str">
        <f t="shared" si="55"/>
        <v>High</v>
      </c>
    </row>
    <row r="861" spans="1:12" x14ac:dyDescent="0.3">
      <c r="A861">
        <v>2022</v>
      </c>
      <c r="B861" s="2" t="s">
        <v>21</v>
      </c>
      <c r="C861" t="s">
        <v>17</v>
      </c>
      <c r="D861" t="s">
        <v>14</v>
      </c>
      <c r="E861">
        <v>6.84</v>
      </c>
      <c r="F861">
        <v>163.19999999999999</v>
      </c>
      <c r="G861">
        <v>4.2</v>
      </c>
      <c r="H861" s="3">
        <f t="shared" si="52"/>
        <v>44682</v>
      </c>
      <c r="I861">
        <f>MONTH(Table1[[#This Row],[Date]])</f>
        <v>5</v>
      </c>
      <c r="J861" t="str">
        <f t="shared" si="53"/>
        <v>Q2</v>
      </c>
      <c r="K861" t="str">
        <f t="shared" si="54"/>
        <v>May-2022</v>
      </c>
      <c r="L861" t="str">
        <f t="shared" si="55"/>
        <v>High</v>
      </c>
    </row>
    <row r="862" spans="1:12" x14ac:dyDescent="0.3">
      <c r="A862">
        <v>2022</v>
      </c>
      <c r="B862" s="2" t="s">
        <v>21</v>
      </c>
      <c r="C862" t="s">
        <v>17</v>
      </c>
      <c r="D862" t="s">
        <v>15</v>
      </c>
      <c r="E862">
        <v>28.32</v>
      </c>
      <c r="F862">
        <v>165.2</v>
      </c>
      <c r="G862">
        <v>4.28</v>
      </c>
      <c r="H862" s="3">
        <f t="shared" si="52"/>
        <v>44682</v>
      </c>
      <c r="I862">
        <f>MONTH(Table1[[#This Row],[Date]])</f>
        <v>5</v>
      </c>
      <c r="J862" t="str">
        <f t="shared" si="53"/>
        <v>Q2</v>
      </c>
      <c r="K862" t="str">
        <f t="shared" si="54"/>
        <v>May-2022</v>
      </c>
      <c r="L862" t="str">
        <f t="shared" si="55"/>
        <v>High</v>
      </c>
    </row>
    <row r="863" spans="1:12" x14ac:dyDescent="0.3">
      <c r="A863">
        <v>2022</v>
      </c>
      <c r="B863" s="2" t="s">
        <v>22</v>
      </c>
      <c r="C863" t="s">
        <v>8</v>
      </c>
      <c r="D863" t="s">
        <v>9</v>
      </c>
      <c r="E863">
        <v>100</v>
      </c>
      <c r="F863">
        <v>152.4</v>
      </c>
      <c r="G863">
        <v>3.05</v>
      </c>
      <c r="H863" s="3">
        <f t="shared" si="52"/>
        <v>44713</v>
      </c>
      <c r="I863">
        <f>MONTH(Table1[[#This Row],[Date]])</f>
        <v>6</v>
      </c>
      <c r="J863" t="str">
        <f t="shared" si="53"/>
        <v>Q2</v>
      </c>
      <c r="K863" t="str">
        <f t="shared" si="54"/>
        <v>Jun-2022</v>
      </c>
      <c r="L863" t="str">
        <f t="shared" si="55"/>
        <v>Medium</v>
      </c>
    </row>
    <row r="864" spans="1:12" x14ac:dyDescent="0.3">
      <c r="A864">
        <v>2022</v>
      </c>
      <c r="B864" s="2" t="s">
        <v>22</v>
      </c>
      <c r="C864" t="s">
        <v>8</v>
      </c>
      <c r="D864" t="s">
        <v>10</v>
      </c>
      <c r="E864">
        <v>45.86</v>
      </c>
      <c r="F864">
        <v>154.4</v>
      </c>
      <c r="G864">
        <v>3.13</v>
      </c>
      <c r="H864" s="3">
        <f t="shared" si="52"/>
        <v>44713</v>
      </c>
      <c r="I864">
        <f>MONTH(Table1[[#This Row],[Date]])</f>
        <v>6</v>
      </c>
      <c r="J864" t="str">
        <f t="shared" si="53"/>
        <v>Q2</v>
      </c>
      <c r="K864" t="str">
        <f t="shared" si="54"/>
        <v>Jun-2022</v>
      </c>
      <c r="L864" t="str">
        <f t="shared" si="55"/>
        <v>Medium</v>
      </c>
    </row>
    <row r="865" spans="1:12" x14ac:dyDescent="0.3">
      <c r="A865">
        <v>2022</v>
      </c>
      <c r="B865" s="2" t="s">
        <v>22</v>
      </c>
      <c r="C865" t="s">
        <v>8</v>
      </c>
      <c r="D865" t="s">
        <v>11</v>
      </c>
      <c r="E865">
        <v>2.38</v>
      </c>
      <c r="F865">
        <v>156.4</v>
      </c>
      <c r="G865">
        <v>3.21</v>
      </c>
      <c r="H865" s="3">
        <f t="shared" si="52"/>
        <v>44713</v>
      </c>
      <c r="I865">
        <f>MONTH(Table1[[#This Row],[Date]])</f>
        <v>6</v>
      </c>
      <c r="J865" t="str">
        <f t="shared" si="53"/>
        <v>Q2</v>
      </c>
      <c r="K865" t="str">
        <f t="shared" si="54"/>
        <v>Jun-2022</v>
      </c>
      <c r="L865" t="str">
        <f t="shared" si="55"/>
        <v>Medium</v>
      </c>
    </row>
    <row r="866" spans="1:12" x14ac:dyDescent="0.3">
      <c r="A866">
        <v>2022</v>
      </c>
      <c r="B866" s="2" t="s">
        <v>22</v>
      </c>
      <c r="C866" t="s">
        <v>8</v>
      </c>
      <c r="D866" t="s">
        <v>12</v>
      </c>
      <c r="E866">
        <v>6.53</v>
      </c>
      <c r="F866">
        <v>158.4</v>
      </c>
      <c r="G866">
        <v>3.29</v>
      </c>
      <c r="H866" s="3">
        <f t="shared" si="52"/>
        <v>44713</v>
      </c>
      <c r="I866">
        <f>MONTH(Table1[[#This Row],[Date]])</f>
        <v>6</v>
      </c>
      <c r="J866" t="str">
        <f t="shared" si="53"/>
        <v>Q2</v>
      </c>
      <c r="K866" t="str">
        <f t="shared" si="54"/>
        <v>Jun-2022</v>
      </c>
      <c r="L866" t="str">
        <f t="shared" si="55"/>
        <v>Medium</v>
      </c>
    </row>
    <row r="867" spans="1:12" x14ac:dyDescent="0.3">
      <c r="A867">
        <v>2022</v>
      </c>
      <c r="B867" s="2" t="s">
        <v>22</v>
      </c>
      <c r="C867" t="s">
        <v>8</v>
      </c>
      <c r="D867" t="s">
        <v>13</v>
      </c>
      <c r="E867">
        <v>10.07</v>
      </c>
      <c r="F867">
        <v>160.4</v>
      </c>
      <c r="G867">
        <v>3.37</v>
      </c>
      <c r="H867" s="3">
        <f t="shared" si="52"/>
        <v>44713</v>
      </c>
      <c r="I867">
        <f>MONTH(Table1[[#This Row],[Date]])</f>
        <v>6</v>
      </c>
      <c r="J867" t="str">
        <f t="shared" si="53"/>
        <v>Q2</v>
      </c>
      <c r="K867" t="str">
        <f t="shared" si="54"/>
        <v>Jun-2022</v>
      </c>
      <c r="L867" t="str">
        <f t="shared" si="55"/>
        <v>Medium</v>
      </c>
    </row>
    <row r="868" spans="1:12" x14ac:dyDescent="0.3">
      <c r="A868">
        <v>2022</v>
      </c>
      <c r="B868" s="2" t="s">
        <v>22</v>
      </c>
      <c r="C868" t="s">
        <v>8</v>
      </c>
      <c r="D868" t="s">
        <v>14</v>
      </c>
      <c r="E868">
        <v>6.84</v>
      </c>
      <c r="F868">
        <v>162.4</v>
      </c>
      <c r="G868">
        <v>3.45</v>
      </c>
      <c r="H868" s="3">
        <f t="shared" si="52"/>
        <v>44713</v>
      </c>
      <c r="I868">
        <f>MONTH(Table1[[#This Row],[Date]])</f>
        <v>6</v>
      </c>
      <c r="J868" t="str">
        <f t="shared" si="53"/>
        <v>Q2</v>
      </c>
      <c r="K868" t="str">
        <f t="shared" si="54"/>
        <v>Jun-2022</v>
      </c>
      <c r="L868" t="str">
        <f t="shared" si="55"/>
        <v>Medium</v>
      </c>
    </row>
    <row r="869" spans="1:12" x14ac:dyDescent="0.3">
      <c r="A869">
        <v>2022</v>
      </c>
      <c r="B869" s="2" t="s">
        <v>22</v>
      </c>
      <c r="C869" t="s">
        <v>8</v>
      </c>
      <c r="D869" t="s">
        <v>15</v>
      </c>
      <c r="E869">
        <v>28.32</v>
      </c>
      <c r="F869">
        <v>164.4</v>
      </c>
      <c r="G869">
        <v>3.53</v>
      </c>
      <c r="H869" s="3">
        <f t="shared" si="52"/>
        <v>44713</v>
      </c>
      <c r="I869">
        <f>MONTH(Table1[[#This Row],[Date]])</f>
        <v>6</v>
      </c>
      <c r="J869" t="str">
        <f t="shared" si="53"/>
        <v>Q2</v>
      </c>
      <c r="K869" t="str">
        <f t="shared" si="54"/>
        <v>Jun-2022</v>
      </c>
      <c r="L869" t="str">
        <f t="shared" si="55"/>
        <v>Medium</v>
      </c>
    </row>
    <row r="870" spans="1:12" x14ac:dyDescent="0.3">
      <c r="A870">
        <v>2022</v>
      </c>
      <c r="B870" s="2" t="s">
        <v>22</v>
      </c>
      <c r="C870" t="s">
        <v>16</v>
      </c>
      <c r="D870" t="s">
        <v>9</v>
      </c>
      <c r="E870">
        <v>100</v>
      </c>
      <c r="F870">
        <v>153</v>
      </c>
      <c r="G870">
        <v>3.05</v>
      </c>
      <c r="H870" s="3">
        <f t="shared" si="52"/>
        <v>44713</v>
      </c>
      <c r="I870">
        <f>MONTH(Table1[[#This Row],[Date]])</f>
        <v>6</v>
      </c>
      <c r="J870" t="str">
        <f t="shared" si="53"/>
        <v>Q2</v>
      </c>
      <c r="K870" t="str">
        <f t="shared" si="54"/>
        <v>Jun-2022</v>
      </c>
      <c r="L870" t="str">
        <f t="shared" si="55"/>
        <v>Medium</v>
      </c>
    </row>
    <row r="871" spans="1:12" x14ac:dyDescent="0.3">
      <c r="A871">
        <v>2022</v>
      </c>
      <c r="B871" s="2" t="s">
        <v>22</v>
      </c>
      <c r="C871" t="s">
        <v>16</v>
      </c>
      <c r="D871" t="s">
        <v>10</v>
      </c>
      <c r="E871">
        <v>45.86</v>
      </c>
      <c r="F871">
        <v>155</v>
      </c>
      <c r="G871">
        <v>3.13</v>
      </c>
      <c r="H871" s="3">
        <f t="shared" si="52"/>
        <v>44713</v>
      </c>
      <c r="I871">
        <f>MONTH(Table1[[#This Row],[Date]])</f>
        <v>6</v>
      </c>
      <c r="J871" t="str">
        <f t="shared" si="53"/>
        <v>Q2</v>
      </c>
      <c r="K871" t="str">
        <f t="shared" si="54"/>
        <v>Jun-2022</v>
      </c>
      <c r="L871" t="str">
        <f t="shared" si="55"/>
        <v>Medium</v>
      </c>
    </row>
    <row r="872" spans="1:12" x14ac:dyDescent="0.3">
      <c r="A872">
        <v>2022</v>
      </c>
      <c r="B872" s="2" t="s">
        <v>22</v>
      </c>
      <c r="C872" t="s">
        <v>16</v>
      </c>
      <c r="D872" t="s">
        <v>11</v>
      </c>
      <c r="E872">
        <v>2.38</v>
      </c>
      <c r="F872">
        <v>157</v>
      </c>
      <c r="G872">
        <v>3.21</v>
      </c>
      <c r="H872" s="3">
        <f t="shared" si="52"/>
        <v>44713</v>
      </c>
      <c r="I872">
        <f>MONTH(Table1[[#This Row],[Date]])</f>
        <v>6</v>
      </c>
      <c r="J872" t="str">
        <f t="shared" si="53"/>
        <v>Q2</v>
      </c>
      <c r="K872" t="str">
        <f t="shared" si="54"/>
        <v>Jun-2022</v>
      </c>
      <c r="L872" t="str">
        <f t="shared" si="55"/>
        <v>Medium</v>
      </c>
    </row>
    <row r="873" spans="1:12" x14ac:dyDescent="0.3">
      <c r="A873">
        <v>2022</v>
      </c>
      <c r="B873" s="2" t="s">
        <v>22</v>
      </c>
      <c r="C873" t="s">
        <v>16</v>
      </c>
      <c r="D873" t="s">
        <v>12</v>
      </c>
      <c r="E873">
        <v>6.53</v>
      </c>
      <c r="F873">
        <v>159</v>
      </c>
      <c r="G873">
        <v>3.29</v>
      </c>
      <c r="H873" s="3">
        <f t="shared" si="52"/>
        <v>44713</v>
      </c>
      <c r="I873">
        <f>MONTH(Table1[[#This Row],[Date]])</f>
        <v>6</v>
      </c>
      <c r="J873" t="str">
        <f t="shared" si="53"/>
        <v>Q2</v>
      </c>
      <c r="K873" t="str">
        <f t="shared" si="54"/>
        <v>Jun-2022</v>
      </c>
      <c r="L873" t="str">
        <f t="shared" si="55"/>
        <v>Medium</v>
      </c>
    </row>
    <row r="874" spans="1:12" x14ac:dyDescent="0.3">
      <c r="A874">
        <v>2022</v>
      </c>
      <c r="B874" s="2" t="s">
        <v>22</v>
      </c>
      <c r="C874" t="s">
        <v>16</v>
      </c>
      <c r="D874" t="s">
        <v>13</v>
      </c>
      <c r="E874">
        <v>10.07</v>
      </c>
      <c r="F874">
        <v>161</v>
      </c>
      <c r="G874">
        <v>3.37</v>
      </c>
      <c r="H874" s="3">
        <f t="shared" si="52"/>
        <v>44713</v>
      </c>
      <c r="I874">
        <f>MONTH(Table1[[#This Row],[Date]])</f>
        <v>6</v>
      </c>
      <c r="J874" t="str">
        <f t="shared" si="53"/>
        <v>Q2</v>
      </c>
      <c r="K874" t="str">
        <f t="shared" si="54"/>
        <v>Jun-2022</v>
      </c>
      <c r="L874" t="str">
        <f t="shared" si="55"/>
        <v>Medium</v>
      </c>
    </row>
    <row r="875" spans="1:12" x14ac:dyDescent="0.3">
      <c r="A875">
        <v>2022</v>
      </c>
      <c r="B875" s="2" t="s">
        <v>22</v>
      </c>
      <c r="C875" t="s">
        <v>16</v>
      </c>
      <c r="D875" t="s">
        <v>14</v>
      </c>
      <c r="E875">
        <v>6.84</v>
      </c>
      <c r="F875">
        <v>163</v>
      </c>
      <c r="G875">
        <v>3.45</v>
      </c>
      <c r="H875" s="3">
        <f t="shared" si="52"/>
        <v>44713</v>
      </c>
      <c r="I875">
        <f>MONTH(Table1[[#This Row],[Date]])</f>
        <v>6</v>
      </c>
      <c r="J875" t="str">
        <f t="shared" si="53"/>
        <v>Q2</v>
      </c>
      <c r="K875" t="str">
        <f t="shared" si="54"/>
        <v>Jun-2022</v>
      </c>
      <c r="L875" t="str">
        <f t="shared" si="55"/>
        <v>Medium</v>
      </c>
    </row>
    <row r="876" spans="1:12" x14ac:dyDescent="0.3">
      <c r="A876">
        <v>2022</v>
      </c>
      <c r="B876" s="2" t="s">
        <v>22</v>
      </c>
      <c r="C876" t="s">
        <v>16</v>
      </c>
      <c r="D876" t="s">
        <v>15</v>
      </c>
      <c r="E876">
        <v>28.32</v>
      </c>
      <c r="F876">
        <v>165</v>
      </c>
      <c r="G876">
        <v>3.53</v>
      </c>
      <c r="H876" s="3">
        <f t="shared" si="52"/>
        <v>44713</v>
      </c>
      <c r="I876">
        <f>MONTH(Table1[[#This Row],[Date]])</f>
        <v>6</v>
      </c>
      <c r="J876" t="str">
        <f t="shared" si="53"/>
        <v>Q2</v>
      </c>
      <c r="K876" t="str">
        <f t="shared" si="54"/>
        <v>Jun-2022</v>
      </c>
      <c r="L876" t="str">
        <f t="shared" si="55"/>
        <v>Medium</v>
      </c>
    </row>
    <row r="877" spans="1:12" x14ac:dyDescent="0.3">
      <c r="A877">
        <v>2022</v>
      </c>
      <c r="B877" s="2" t="s">
        <v>22</v>
      </c>
      <c r="C877" t="s">
        <v>17</v>
      </c>
      <c r="D877" t="s">
        <v>9</v>
      </c>
      <c r="E877">
        <v>100</v>
      </c>
      <c r="F877">
        <v>153.6</v>
      </c>
      <c r="G877">
        <v>3.05</v>
      </c>
      <c r="H877" s="3">
        <f t="shared" si="52"/>
        <v>44713</v>
      </c>
      <c r="I877">
        <f>MONTH(Table1[[#This Row],[Date]])</f>
        <v>6</v>
      </c>
      <c r="J877" t="str">
        <f t="shared" si="53"/>
        <v>Q2</v>
      </c>
      <c r="K877" t="str">
        <f t="shared" si="54"/>
        <v>Jun-2022</v>
      </c>
      <c r="L877" t="str">
        <f t="shared" si="55"/>
        <v>Medium</v>
      </c>
    </row>
    <row r="878" spans="1:12" x14ac:dyDescent="0.3">
      <c r="A878">
        <v>2022</v>
      </c>
      <c r="B878" s="2" t="s">
        <v>22</v>
      </c>
      <c r="C878" t="s">
        <v>17</v>
      </c>
      <c r="D878" t="s">
        <v>10</v>
      </c>
      <c r="E878">
        <v>45.86</v>
      </c>
      <c r="F878">
        <v>155.6</v>
      </c>
      <c r="G878">
        <v>3.13</v>
      </c>
      <c r="H878" s="3">
        <f t="shared" si="52"/>
        <v>44713</v>
      </c>
      <c r="I878">
        <f>MONTH(Table1[[#This Row],[Date]])</f>
        <v>6</v>
      </c>
      <c r="J878" t="str">
        <f t="shared" si="53"/>
        <v>Q2</v>
      </c>
      <c r="K878" t="str">
        <f t="shared" si="54"/>
        <v>Jun-2022</v>
      </c>
      <c r="L878" t="str">
        <f t="shared" si="55"/>
        <v>Medium</v>
      </c>
    </row>
    <row r="879" spans="1:12" x14ac:dyDescent="0.3">
      <c r="A879">
        <v>2022</v>
      </c>
      <c r="B879" s="2" t="s">
        <v>22</v>
      </c>
      <c r="C879" t="s">
        <v>17</v>
      </c>
      <c r="D879" t="s">
        <v>11</v>
      </c>
      <c r="E879">
        <v>2.38</v>
      </c>
      <c r="F879">
        <v>157.6</v>
      </c>
      <c r="G879">
        <v>3.21</v>
      </c>
      <c r="H879" s="3">
        <f t="shared" si="52"/>
        <v>44713</v>
      </c>
      <c r="I879">
        <f>MONTH(Table1[[#This Row],[Date]])</f>
        <v>6</v>
      </c>
      <c r="J879" t="str">
        <f t="shared" si="53"/>
        <v>Q2</v>
      </c>
      <c r="K879" t="str">
        <f t="shared" si="54"/>
        <v>Jun-2022</v>
      </c>
      <c r="L879" t="str">
        <f t="shared" si="55"/>
        <v>Medium</v>
      </c>
    </row>
    <row r="880" spans="1:12" x14ac:dyDescent="0.3">
      <c r="A880">
        <v>2022</v>
      </c>
      <c r="B880" s="2" t="s">
        <v>22</v>
      </c>
      <c r="C880" t="s">
        <v>17</v>
      </c>
      <c r="D880" t="s">
        <v>12</v>
      </c>
      <c r="E880">
        <v>6.53</v>
      </c>
      <c r="F880">
        <v>159.6</v>
      </c>
      <c r="G880">
        <v>3.29</v>
      </c>
      <c r="H880" s="3">
        <f t="shared" si="52"/>
        <v>44713</v>
      </c>
      <c r="I880">
        <f>MONTH(Table1[[#This Row],[Date]])</f>
        <v>6</v>
      </c>
      <c r="J880" t="str">
        <f t="shared" si="53"/>
        <v>Q2</v>
      </c>
      <c r="K880" t="str">
        <f t="shared" si="54"/>
        <v>Jun-2022</v>
      </c>
      <c r="L880" t="str">
        <f t="shared" si="55"/>
        <v>Medium</v>
      </c>
    </row>
    <row r="881" spans="1:12" x14ac:dyDescent="0.3">
      <c r="A881">
        <v>2022</v>
      </c>
      <c r="B881" s="2" t="s">
        <v>22</v>
      </c>
      <c r="C881" t="s">
        <v>17</v>
      </c>
      <c r="D881" t="s">
        <v>13</v>
      </c>
      <c r="E881">
        <v>10.07</v>
      </c>
      <c r="F881">
        <v>161.6</v>
      </c>
      <c r="G881">
        <v>3.37</v>
      </c>
      <c r="H881" s="3">
        <f t="shared" si="52"/>
        <v>44713</v>
      </c>
      <c r="I881">
        <f>MONTH(Table1[[#This Row],[Date]])</f>
        <v>6</v>
      </c>
      <c r="J881" t="str">
        <f t="shared" si="53"/>
        <v>Q2</v>
      </c>
      <c r="K881" t="str">
        <f t="shared" si="54"/>
        <v>Jun-2022</v>
      </c>
      <c r="L881" t="str">
        <f t="shared" si="55"/>
        <v>Medium</v>
      </c>
    </row>
    <row r="882" spans="1:12" x14ac:dyDescent="0.3">
      <c r="A882">
        <v>2022</v>
      </c>
      <c r="B882" s="2" t="s">
        <v>22</v>
      </c>
      <c r="C882" t="s">
        <v>17</v>
      </c>
      <c r="D882" t="s">
        <v>14</v>
      </c>
      <c r="E882">
        <v>6.84</v>
      </c>
      <c r="F882">
        <v>163.6</v>
      </c>
      <c r="G882">
        <v>3.45</v>
      </c>
      <c r="H882" s="3">
        <f t="shared" si="52"/>
        <v>44713</v>
      </c>
      <c r="I882">
        <f>MONTH(Table1[[#This Row],[Date]])</f>
        <v>6</v>
      </c>
      <c r="J882" t="str">
        <f t="shared" si="53"/>
        <v>Q2</v>
      </c>
      <c r="K882" t="str">
        <f t="shared" si="54"/>
        <v>Jun-2022</v>
      </c>
      <c r="L882" t="str">
        <f t="shared" si="55"/>
        <v>Medium</v>
      </c>
    </row>
    <row r="883" spans="1:12" x14ac:dyDescent="0.3">
      <c r="A883">
        <v>2022</v>
      </c>
      <c r="B883" s="2" t="s">
        <v>22</v>
      </c>
      <c r="C883" t="s">
        <v>17</v>
      </c>
      <c r="D883" t="s">
        <v>15</v>
      </c>
      <c r="E883">
        <v>28.32</v>
      </c>
      <c r="F883">
        <v>165.6</v>
      </c>
      <c r="G883">
        <v>3.53</v>
      </c>
      <c r="H883" s="3">
        <f t="shared" si="52"/>
        <v>44713</v>
      </c>
      <c r="I883">
        <f>MONTH(Table1[[#This Row],[Date]])</f>
        <v>6</v>
      </c>
      <c r="J883" t="str">
        <f t="shared" si="53"/>
        <v>Q2</v>
      </c>
      <c r="K883" t="str">
        <f t="shared" si="54"/>
        <v>Jun-2022</v>
      </c>
      <c r="L883" t="str">
        <f t="shared" si="55"/>
        <v>Medium</v>
      </c>
    </row>
    <row r="884" spans="1:12" x14ac:dyDescent="0.3">
      <c r="A884">
        <v>2022</v>
      </c>
      <c r="B884" s="2" t="s">
        <v>23</v>
      </c>
      <c r="C884" t="s">
        <v>8</v>
      </c>
      <c r="D884" t="s">
        <v>9</v>
      </c>
      <c r="E884">
        <v>100</v>
      </c>
      <c r="F884">
        <v>152.80000000000001</v>
      </c>
      <c r="G884">
        <v>3.2</v>
      </c>
      <c r="H884" s="3">
        <f t="shared" si="52"/>
        <v>44743</v>
      </c>
      <c r="I884">
        <f>MONTH(Table1[[#This Row],[Date]])</f>
        <v>7</v>
      </c>
      <c r="J884" t="str">
        <f t="shared" si="53"/>
        <v>Q3</v>
      </c>
      <c r="K884" t="str">
        <f t="shared" si="54"/>
        <v>Jul-2022</v>
      </c>
      <c r="L884" t="str">
        <f t="shared" si="55"/>
        <v>Medium</v>
      </c>
    </row>
    <row r="885" spans="1:12" x14ac:dyDescent="0.3">
      <c r="A885">
        <v>2022</v>
      </c>
      <c r="B885" s="2" t="s">
        <v>23</v>
      </c>
      <c r="C885" t="s">
        <v>8</v>
      </c>
      <c r="D885" t="s">
        <v>10</v>
      </c>
      <c r="E885">
        <v>45.86</v>
      </c>
      <c r="F885">
        <v>154.80000000000001</v>
      </c>
      <c r="G885">
        <v>3.28</v>
      </c>
      <c r="H885" s="3">
        <f t="shared" si="52"/>
        <v>44743</v>
      </c>
      <c r="I885">
        <f>MONTH(Table1[[#This Row],[Date]])</f>
        <v>7</v>
      </c>
      <c r="J885" t="str">
        <f t="shared" si="53"/>
        <v>Q3</v>
      </c>
      <c r="K885" t="str">
        <f t="shared" si="54"/>
        <v>Jul-2022</v>
      </c>
      <c r="L885" t="str">
        <f t="shared" si="55"/>
        <v>Medium</v>
      </c>
    </row>
    <row r="886" spans="1:12" x14ac:dyDescent="0.3">
      <c r="A886">
        <v>2022</v>
      </c>
      <c r="B886" s="2" t="s">
        <v>23</v>
      </c>
      <c r="C886" t="s">
        <v>8</v>
      </c>
      <c r="D886" t="s">
        <v>11</v>
      </c>
      <c r="E886">
        <v>2.38</v>
      </c>
      <c r="F886">
        <v>156.80000000000001</v>
      </c>
      <c r="G886">
        <v>3.36</v>
      </c>
      <c r="H886" s="3">
        <f t="shared" si="52"/>
        <v>44743</v>
      </c>
      <c r="I886">
        <f>MONTH(Table1[[#This Row],[Date]])</f>
        <v>7</v>
      </c>
      <c r="J886" t="str">
        <f t="shared" si="53"/>
        <v>Q3</v>
      </c>
      <c r="K886" t="str">
        <f t="shared" si="54"/>
        <v>Jul-2022</v>
      </c>
      <c r="L886" t="str">
        <f t="shared" si="55"/>
        <v>Medium</v>
      </c>
    </row>
    <row r="887" spans="1:12" x14ac:dyDescent="0.3">
      <c r="A887">
        <v>2022</v>
      </c>
      <c r="B887" s="2" t="s">
        <v>23</v>
      </c>
      <c r="C887" t="s">
        <v>8</v>
      </c>
      <c r="D887" t="s">
        <v>12</v>
      </c>
      <c r="E887">
        <v>6.53</v>
      </c>
      <c r="F887">
        <v>158.80000000000001</v>
      </c>
      <c r="G887">
        <v>3.44</v>
      </c>
      <c r="H887" s="3">
        <f t="shared" si="52"/>
        <v>44743</v>
      </c>
      <c r="I887">
        <f>MONTH(Table1[[#This Row],[Date]])</f>
        <v>7</v>
      </c>
      <c r="J887" t="str">
        <f t="shared" si="53"/>
        <v>Q3</v>
      </c>
      <c r="K887" t="str">
        <f t="shared" si="54"/>
        <v>Jul-2022</v>
      </c>
      <c r="L887" t="str">
        <f t="shared" si="55"/>
        <v>Medium</v>
      </c>
    </row>
    <row r="888" spans="1:12" x14ac:dyDescent="0.3">
      <c r="A888">
        <v>2022</v>
      </c>
      <c r="B888" s="2" t="s">
        <v>23</v>
      </c>
      <c r="C888" t="s">
        <v>8</v>
      </c>
      <c r="D888" t="s">
        <v>13</v>
      </c>
      <c r="E888">
        <v>10.07</v>
      </c>
      <c r="F888">
        <v>160.80000000000001</v>
      </c>
      <c r="G888">
        <v>3.52</v>
      </c>
      <c r="H888" s="3">
        <f t="shared" si="52"/>
        <v>44743</v>
      </c>
      <c r="I888">
        <f>MONTH(Table1[[#This Row],[Date]])</f>
        <v>7</v>
      </c>
      <c r="J888" t="str">
        <f t="shared" si="53"/>
        <v>Q3</v>
      </c>
      <c r="K888" t="str">
        <f t="shared" si="54"/>
        <v>Jul-2022</v>
      </c>
      <c r="L888" t="str">
        <f t="shared" si="55"/>
        <v>Medium</v>
      </c>
    </row>
    <row r="889" spans="1:12" x14ac:dyDescent="0.3">
      <c r="A889">
        <v>2022</v>
      </c>
      <c r="B889" s="2" t="s">
        <v>23</v>
      </c>
      <c r="C889" t="s">
        <v>8</v>
      </c>
      <c r="D889" t="s">
        <v>14</v>
      </c>
      <c r="E889">
        <v>6.84</v>
      </c>
      <c r="F889">
        <v>162.80000000000001</v>
      </c>
      <c r="G889">
        <v>3.6</v>
      </c>
      <c r="H889" s="3">
        <f t="shared" si="52"/>
        <v>44743</v>
      </c>
      <c r="I889">
        <f>MONTH(Table1[[#This Row],[Date]])</f>
        <v>7</v>
      </c>
      <c r="J889" t="str">
        <f t="shared" si="53"/>
        <v>Q3</v>
      </c>
      <c r="K889" t="str">
        <f t="shared" si="54"/>
        <v>Jul-2022</v>
      </c>
      <c r="L889" t="str">
        <f t="shared" si="55"/>
        <v>Medium</v>
      </c>
    </row>
    <row r="890" spans="1:12" x14ac:dyDescent="0.3">
      <c r="A890">
        <v>2022</v>
      </c>
      <c r="B890" s="2" t="s">
        <v>23</v>
      </c>
      <c r="C890" t="s">
        <v>8</v>
      </c>
      <c r="D890" t="s">
        <v>15</v>
      </c>
      <c r="E890">
        <v>28.32</v>
      </c>
      <c r="F890">
        <v>164.8</v>
      </c>
      <c r="G890">
        <v>3.68</v>
      </c>
      <c r="H890" s="3">
        <f t="shared" si="52"/>
        <v>44743</v>
      </c>
      <c r="I890">
        <f>MONTH(Table1[[#This Row],[Date]])</f>
        <v>7</v>
      </c>
      <c r="J890" t="str">
        <f t="shared" si="53"/>
        <v>Q3</v>
      </c>
      <c r="K890" t="str">
        <f t="shared" si="54"/>
        <v>Jul-2022</v>
      </c>
      <c r="L890" t="str">
        <f t="shared" si="55"/>
        <v>Medium</v>
      </c>
    </row>
    <row r="891" spans="1:12" x14ac:dyDescent="0.3">
      <c r="A891">
        <v>2022</v>
      </c>
      <c r="B891" s="2" t="s">
        <v>23</v>
      </c>
      <c r="C891" t="s">
        <v>16</v>
      </c>
      <c r="D891" t="s">
        <v>9</v>
      </c>
      <c r="E891">
        <v>100</v>
      </c>
      <c r="F891">
        <v>153.4</v>
      </c>
      <c r="G891">
        <v>3.2</v>
      </c>
      <c r="H891" s="3">
        <f t="shared" si="52"/>
        <v>44743</v>
      </c>
      <c r="I891">
        <f>MONTH(Table1[[#This Row],[Date]])</f>
        <v>7</v>
      </c>
      <c r="J891" t="str">
        <f t="shared" si="53"/>
        <v>Q3</v>
      </c>
      <c r="K891" t="str">
        <f t="shared" si="54"/>
        <v>Jul-2022</v>
      </c>
      <c r="L891" t="str">
        <f t="shared" si="55"/>
        <v>Medium</v>
      </c>
    </row>
    <row r="892" spans="1:12" x14ac:dyDescent="0.3">
      <c r="A892">
        <v>2022</v>
      </c>
      <c r="B892" s="2" t="s">
        <v>23</v>
      </c>
      <c r="C892" t="s">
        <v>16</v>
      </c>
      <c r="D892" t="s">
        <v>10</v>
      </c>
      <c r="E892">
        <v>45.86</v>
      </c>
      <c r="F892">
        <v>155.4</v>
      </c>
      <c r="G892">
        <v>3.28</v>
      </c>
      <c r="H892" s="3">
        <f t="shared" si="52"/>
        <v>44743</v>
      </c>
      <c r="I892">
        <f>MONTH(Table1[[#This Row],[Date]])</f>
        <v>7</v>
      </c>
      <c r="J892" t="str">
        <f t="shared" si="53"/>
        <v>Q3</v>
      </c>
      <c r="K892" t="str">
        <f t="shared" si="54"/>
        <v>Jul-2022</v>
      </c>
      <c r="L892" t="str">
        <f t="shared" si="55"/>
        <v>Medium</v>
      </c>
    </row>
    <row r="893" spans="1:12" x14ac:dyDescent="0.3">
      <c r="A893">
        <v>2022</v>
      </c>
      <c r="B893" s="2" t="s">
        <v>23</v>
      </c>
      <c r="C893" t="s">
        <v>16</v>
      </c>
      <c r="D893" t="s">
        <v>11</v>
      </c>
      <c r="E893">
        <v>2.38</v>
      </c>
      <c r="F893">
        <v>157.4</v>
      </c>
      <c r="G893">
        <v>3.36</v>
      </c>
      <c r="H893" s="3">
        <f t="shared" si="52"/>
        <v>44743</v>
      </c>
      <c r="I893">
        <f>MONTH(Table1[[#This Row],[Date]])</f>
        <v>7</v>
      </c>
      <c r="J893" t="str">
        <f t="shared" si="53"/>
        <v>Q3</v>
      </c>
      <c r="K893" t="str">
        <f t="shared" si="54"/>
        <v>Jul-2022</v>
      </c>
      <c r="L893" t="str">
        <f t="shared" si="55"/>
        <v>Medium</v>
      </c>
    </row>
    <row r="894" spans="1:12" x14ac:dyDescent="0.3">
      <c r="A894">
        <v>2022</v>
      </c>
      <c r="B894" s="2" t="s">
        <v>23</v>
      </c>
      <c r="C894" t="s">
        <v>16</v>
      </c>
      <c r="D894" t="s">
        <v>12</v>
      </c>
      <c r="E894">
        <v>6.53</v>
      </c>
      <c r="F894">
        <v>159.4</v>
      </c>
      <c r="G894">
        <v>3.44</v>
      </c>
      <c r="H894" s="3">
        <f t="shared" si="52"/>
        <v>44743</v>
      </c>
      <c r="I894">
        <f>MONTH(Table1[[#This Row],[Date]])</f>
        <v>7</v>
      </c>
      <c r="J894" t="str">
        <f t="shared" si="53"/>
        <v>Q3</v>
      </c>
      <c r="K894" t="str">
        <f t="shared" si="54"/>
        <v>Jul-2022</v>
      </c>
      <c r="L894" t="str">
        <f t="shared" si="55"/>
        <v>Medium</v>
      </c>
    </row>
    <row r="895" spans="1:12" x14ac:dyDescent="0.3">
      <c r="A895">
        <v>2022</v>
      </c>
      <c r="B895" s="2" t="s">
        <v>23</v>
      </c>
      <c r="C895" t="s">
        <v>16</v>
      </c>
      <c r="D895" t="s">
        <v>13</v>
      </c>
      <c r="E895">
        <v>10.07</v>
      </c>
      <c r="F895">
        <v>161.4</v>
      </c>
      <c r="G895">
        <v>3.52</v>
      </c>
      <c r="H895" s="3">
        <f t="shared" si="52"/>
        <v>44743</v>
      </c>
      <c r="I895">
        <f>MONTH(Table1[[#This Row],[Date]])</f>
        <v>7</v>
      </c>
      <c r="J895" t="str">
        <f t="shared" si="53"/>
        <v>Q3</v>
      </c>
      <c r="K895" t="str">
        <f t="shared" si="54"/>
        <v>Jul-2022</v>
      </c>
      <c r="L895" t="str">
        <f t="shared" si="55"/>
        <v>Medium</v>
      </c>
    </row>
    <row r="896" spans="1:12" x14ac:dyDescent="0.3">
      <c r="A896">
        <v>2022</v>
      </c>
      <c r="B896" s="2" t="s">
        <v>23</v>
      </c>
      <c r="C896" t="s">
        <v>16</v>
      </c>
      <c r="D896" t="s">
        <v>14</v>
      </c>
      <c r="E896">
        <v>6.84</v>
      </c>
      <c r="F896">
        <v>163.4</v>
      </c>
      <c r="G896">
        <v>3.6</v>
      </c>
      <c r="H896" s="3">
        <f t="shared" si="52"/>
        <v>44743</v>
      </c>
      <c r="I896">
        <f>MONTH(Table1[[#This Row],[Date]])</f>
        <v>7</v>
      </c>
      <c r="J896" t="str">
        <f t="shared" si="53"/>
        <v>Q3</v>
      </c>
      <c r="K896" t="str">
        <f t="shared" si="54"/>
        <v>Jul-2022</v>
      </c>
      <c r="L896" t="str">
        <f t="shared" si="55"/>
        <v>Medium</v>
      </c>
    </row>
    <row r="897" spans="1:12" x14ac:dyDescent="0.3">
      <c r="A897">
        <v>2022</v>
      </c>
      <c r="B897" s="2" t="s">
        <v>23</v>
      </c>
      <c r="C897" t="s">
        <v>16</v>
      </c>
      <c r="D897" t="s">
        <v>15</v>
      </c>
      <c r="E897">
        <v>28.32</v>
      </c>
      <c r="F897">
        <v>165.4</v>
      </c>
      <c r="G897">
        <v>3.68</v>
      </c>
      <c r="H897" s="3">
        <f t="shared" si="52"/>
        <v>44743</v>
      </c>
      <c r="I897">
        <f>MONTH(Table1[[#This Row],[Date]])</f>
        <v>7</v>
      </c>
      <c r="J897" t="str">
        <f t="shared" si="53"/>
        <v>Q3</v>
      </c>
      <c r="K897" t="str">
        <f t="shared" si="54"/>
        <v>Jul-2022</v>
      </c>
      <c r="L897" t="str">
        <f t="shared" si="55"/>
        <v>Medium</v>
      </c>
    </row>
    <row r="898" spans="1:12" x14ac:dyDescent="0.3">
      <c r="A898">
        <v>2022</v>
      </c>
      <c r="B898" s="2" t="s">
        <v>23</v>
      </c>
      <c r="C898" t="s">
        <v>17</v>
      </c>
      <c r="D898" t="s">
        <v>9</v>
      </c>
      <c r="E898">
        <v>100</v>
      </c>
      <c r="F898">
        <v>154</v>
      </c>
      <c r="G898">
        <v>3.2</v>
      </c>
      <c r="H898" s="3">
        <f t="shared" ref="H898:H961" si="56">DATE(A898,MONTH(DATEVALUE(B898&amp;" 1")),1)</f>
        <v>44743</v>
      </c>
      <c r="I898">
        <f>MONTH(Table1[[#This Row],[Date]])</f>
        <v>7</v>
      </c>
      <c r="J898" t="str">
        <f t="shared" ref="J898:J961" si="57">"Q"&amp;ROUNDUP(MONTH(H898)/3,0)</f>
        <v>Q3</v>
      </c>
      <c r="K898" t="str">
        <f t="shared" ref="K898:K961" si="58">TEXT(H898,"mmm-yyyy")</f>
        <v>Jul-2022</v>
      </c>
      <c r="L898" t="str">
        <f t="shared" ref="L898:L961" si="59">IF(G898&lt;3,"Low",IF(G898&lt;4,"Medium","High"))</f>
        <v>Medium</v>
      </c>
    </row>
    <row r="899" spans="1:12" x14ac:dyDescent="0.3">
      <c r="A899">
        <v>2022</v>
      </c>
      <c r="B899" s="2" t="s">
        <v>23</v>
      </c>
      <c r="C899" t="s">
        <v>17</v>
      </c>
      <c r="D899" t="s">
        <v>10</v>
      </c>
      <c r="E899">
        <v>45.86</v>
      </c>
      <c r="F899">
        <v>156</v>
      </c>
      <c r="G899">
        <v>3.28</v>
      </c>
      <c r="H899" s="3">
        <f t="shared" si="56"/>
        <v>44743</v>
      </c>
      <c r="I899">
        <f>MONTH(Table1[[#This Row],[Date]])</f>
        <v>7</v>
      </c>
      <c r="J899" t="str">
        <f t="shared" si="57"/>
        <v>Q3</v>
      </c>
      <c r="K899" t="str">
        <f t="shared" si="58"/>
        <v>Jul-2022</v>
      </c>
      <c r="L899" t="str">
        <f t="shared" si="59"/>
        <v>Medium</v>
      </c>
    </row>
    <row r="900" spans="1:12" x14ac:dyDescent="0.3">
      <c r="A900">
        <v>2022</v>
      </c>
      <c r="B900" s="2" t="s">
        <v>23</v>
      </c>
      <c r="C900" t="s">
        <v>17</v>
      </c>
      <c r="D900" t="s">
        <v>11</v>
      </c>
      <c r="E900">
        <v>2.38</v>
      </c>
      <c r="F900">
        <v>158</v>
      </c>
      <c r="G900">
        <v>3.36</v>
      </c>
      <c r="H900" s="3">
        <f t="shared" si="56"/>
        <v>44743</v>
      </c>
      <c r="I900">
        <f>MONTH(Table1[[#This Row],[Date]])</f>
        <v>7</v>
      </c>
      <c r="J900" t="str">
        <f t="shared" si="57"/>
        <v>Q3</v>
      </c>
      <c r="K900" t="str">
        <f t="shared" si="58"/>
        <v>Jul-2022</v>
      </c>
      <c r="L900" t="str">
        <f t="shared" si="59"/>
        <v>Medium</v>
      </c>
    </row>
    <row r="901" spans="1:12" x14ac:dyDescent="0.3">
      <c r="A901">
        <v>2022</v>
      </c>
      <c r="B901" s="2" t="s">
        <v>23</v>
      </c>
      <c r="C901" t="s">
        <v>17</v>
      </c>
      <c r="D901" t="s">
        <v>12</v>
      </c>
      <c r="E901">
        <v>6.53</v>
      </c>
      <c r="F901">
        <v>160</v>
      </c>
      <c r="G901">
        <v>3.44</v>
      </c>
      <c r="H901" s="3">
        <f t="shared" si="56"/>
        <v>44743</v>
      </c>
      <c r="I901">
        <f>MONTH(Table1[[#This Row],[Date]])</f>
        <v>7</v>
      </c>
      <c r="J901" t="str">
        <f t="shared" si="57"/>
        <v>Q3</v>
      </c>
      <c r="K901" t="str">
        <f t="shared" si="58"/>
        <v>Jul-2022</v>
      </c>
      <c r="L901" t="str">
        <f t="shared" si="59"/>
        <v>Medium</v>
      </c>
    </row>
    <row r="902" spans="1:12" x14ac:dyDescent="0.3">
      <c r="A902">
        <v>2022</v>
      </c>
      <c r="B902" s="2" t="s">
        <v>23</v>
      </c>
      <c r="C902" t="s">
        <v>17</v>
      </c>
      <c r="D902" t="s">
        <v>13</v>
      </c>
      <c r="E902">
        <v>10.07</v>
      </c>
      <c r="F902">
        <v>162</v>
      </c>
      <c r="G902">
        <v>3.52</v>
      </c>
      <c r="H902" s="3">
        <f t="shared" si="56"/>
        <v>44743</v>
      </c>
      <c r="I902">
        <f>MONTH(Table1[[#This Row],[Date]])</f>
        <v>7</v>
      </c>
      <c r="J902" t="str">
        <f t="shared" si="57"/>
        <v>Q3</v>
      </c>
      <c r="K902" t="str">
        <f t="shared" si="58"/>
        <v>Jul-2022</v>
      </c>
      <c r="L902" t="str">
        <f t="shared" si="59"/>
        <v>Medium</v>
      </c>
    </row>
    <row r="903" spans="1:12" x14ac:dyDescent="0.3">
      <c r="A903">
        <v>2022</v>
      </c>
      <c r="B903" s="2" t="s">
        <v>23</v>
      </c>
      <c r="C903" t="s">
        <v>17</v>
      </c>
      <c r="D903" t="s">
        <v>14</v>
      </c>
      <c r="E903">
        <v>6.84</v>
      </c>
      <c r="F903">
        <v>164</v>
      </c>
      <c r="G903">
        <v>3.6</v>
      </c>
      <c r="H903" s="3">
        <f t="shared" si="56"/>
        <v>44743</v>
      </c>
      <c r="I903">
        <f>MONTH(Table1[[#This Row],[Date]])</f>
        <v>7</v>
      </c>
      <c r="J903" t="str">
        <f t="shared" si="57"/>
        <v>Q3</v>
      </c>
      <c r="K903" t="str">
        <f t="shared" si="58"/>
        <v>Jul-2022</v>
      </c>
      <c r="L903" t="str">
        <f t="shared" si="59"/>
        <v>Medium</v>
      </c>
    </row>
    <row r="904" spans="1:12" x14ac:dyDescent="0.3">
      <c r="A904">
        <v>2022</v>
      </c>
      <c r="B904" s="2" t="s">
        <v>23</v>
      </c>
      <c r="C904" t="s">
        <v>17</v>
      </c>
      <c r="D904" t="s">
        <v>15</v>
      </c>
      <c r="E904">
        <v>28.32</v>
      </c>
      <c r="F904">
        <v>166</v>
      </c>
      <c r="G904">
        <v>3.68</v>
      </c>
      <c r="H904" s="3">
        <f t="shared" si="56"/>
        <v>44743</v>
      </c>
      <c r="I904">
        <f>MONTH(Table1[[#This Row],[Date]])</f>
        <v>7</v>
      </c>
      <c r="J904" t="str">
        <f t="shared" si="57"/>
        <v>Q3</v>
      </c>
      <c r="K904" t="str">
        <f t="shared" si="58"/>
        <v>Jul-2022</v>
      </c>
      <c r="L904" t="str">
        <f t="shared" si="59"/>
        <v>Medium</v>
      </c>
    </row>
    <row r="905" spans="1:12" x14ac:dyDescent="0.3">
      <c r="A905">
        <v>2022</v>
      </c>
      <c r="B905" s="2" t="s">
        <v>24</v>
      </c>
      <c r="C905" t="s">
        <v>8</v>
      </c>
      <c r="D905" t="s">
        <v>9</v>
      </c>
      <c r="E905">
        <v>100</v>
      </c>
      <c r="F905">
        <v>153.19999999999999</v>
      </c>
      <c r="G905">
        <v>3.35</v>
      </c>
      <c r="H905" s="3">
        <f t="shared" si="56"/>
        <v>44774</v>
      </c>
      <c r="I905">
        <f>MONTH(Table1[[#This Row],[Date]])</f>
        <v>8</v>
      </c>
      <c r="J905" t="str">
        <f t="shared" si="57"/>
        <v>Q3</v>
      </c>
      <c r="K905" t="str">
        <f t="shared" si="58"/>
        <v>Aug-2022</v>
      </c>
      <c r="L905" t="str">
        <f t="shared" si="59"/>
        <v>Medium</v>
      </c>
    </row>
    <row r="906" spans="1:12" x14ac:dyDescent="0.3">
      <c r="A906">
        <v>2022</v>
      </c>
      <c r="B906" s="2" t="s">
        <v>24</v>
      </c>
      <c r="C906" t="s">
        <v>8</v>
      </c>
      <c r="D906" t="s">
        <v>10</v>
      </c>
      <c r="E906">
        <v>45.86</v>
      </c>
      <c r="F906">
        <v>155.19999999999999</v>
      </c>
      <c r="G906">
        <v>3.43</v>
      </c>
      <c r="H906" s="3">
        <f t="shared" si="56"/>
        <v>44774</v>
      </c>
      <c r="I906">
        <f>MONTH(Table1[[#This Row],[Date]])</f>
        <v>8</v>
      </c>
      <c r="J906" t="str">
        <f t="shared" si="57"/>
        <v>Q3</v>
      </c>
      <c r="K906" t="str">
        <f t="shared" si="58"/>
        <v>Aug-2022</v>
      </c>
      <c r="L906" t="str">
        <f t="shared" si="59"/>
        <v>Medium</v>
      </c>
    </row>
    <row r="907" spans="1:12" x14ac:dyDescent="0.3">
      <c r="A907">
        <v>2022</v>
      </c>
      <c r="B907" s="2" t="s">
        <v>24</v>
      </c>
      <c r="C907" t="s">
        <v>8</v>
      </c>
      <c r="D907" t="s">
        <v>11</v>
      </c>
      <c r="E907">
        <v>2.38</v>
      </c>
      <c r="F907">
        <v>157.19999999999999</v>
      </c>
      <c r="G907">
        <v>3.51</v>
      </c>
      <c r="H907" s="3">
        <f t="shared" si="56"/>
        <v>44774</v>
      </c>
      <c r="I907">
        <f>MONTH(Table1[[#This Row],[Date]])</f>
        <v>8</v>
      </c>
      <c r="J907" t="str">
        <f t="shared" si="57"/>
        <v>Q3</v>
      </c>
      <c r="K907" t="str">
        <f t="shared" si="58"/>
        <v>Aug-2022</v>
      </c>
      <c r="L907" t="str">
        <f t="shared" si="59"/>
        <v>Medium</v>
      </c>
    </row>
    <row r="908" spans="1:12" x14ac:dyDescent="0.3">
      <c r="A908">
        <v>2022</v>
      </c>
      <c r="B908" s="2" t="s">
        <v>24</v>
      </c>
      <c r="C908" t="s">
        <v>8</v>
      </c>
      <c r="D908" t="s">
        <v>12</v>
      </c>
      <c r="E908">
        <v>6.53</v>
      </c>
      <c r="F908">
        <v>159.19999999999999</v>
      </c>
      <c r="G908">
        <v>3.59</v>
      </c>
      <c r="H908" s="3">
        <f t="shared" si="56"/>
        <v>44774</v>
      </c>
      <c r="I908">
        <f>MONTH(Table1[[#This Row],[Date]])</f>
        <v>8</v>
      </c>
      <c r="J908" t="str">
        <f t="shared" si="57"/>
        <v>Q3</v>
      </c>
      <c r="K908" t="str">
        <f t="shared" si="58"/>
        <v>Aug-2022</v>
      </c>
      <c r="L908" t="str">
        <f t="shared" si="59"/>
        <v>Medium</v>
      </c>
    </row>
    <row r="909" spans="1:12" x14ac:dyDescent="0.3">
      <c r="A909">
        <v>2022</v>
      </c>
      <c r="B909" s="2" t="s">
        <v>24</v>
      </c>
      <c r="C909" t="s">
        <v>8</v>
      </c>
      <c r="D909" t="s">
        <v>13</v>
      </c>
      <c r="E909">
        <v>10.07</v>
      </c>
      <c r="F909">
        <v>161.19999999999999</v>
      </c>
      <c r="G909">
        <v>3.67</v>
      </c>
      <c r="H909" s="3">
        <f t="shared" si="56"/>
        <v>44774</v>
      </c>
      <c r="I909">
        <f>MONTH(Table1[[#This Row],[Date]])</f>
        <v>8</v>
      </c>
      <c r="J909" t="str">
        <f t="shared" si="57"/>
        <v>Q3</v>
      </c>
      <c r="K909" t="str">
        <f t="shared" si="58"/>
        <v>Aug-2022</v>
      </c>
      <c r="L909" t="str">
        <f t="shared" si="59"/>
        <v>Medium</v>
      </c>
    </row>
    <row r="910" spans="1:12" x14ac:dyDescent="0.3">
      <c r="A910">
        <v>2022</v>
      </c>
      <c r="B910" s="2" t="s">
        <v>24</v>
      </c>
      <c r="C910" t="s">
        <v>8</v>
      </c>
      <c r="D910" t="s">
        <v>14</v>
      </c>
      <c r="E910">
        <v>6.84</v>
      </c>
      <c r="F910">
        <v>163.19999999999999</v>
      </c>
      <c r="G910">
        <v>3.75</v>
      </c>
      <c r="H910" s="3">
        <f t="shared" si="56"/>
        <v>44774</v>
      </c>
      <c r="I910">
        <f>MONTH(Table1[[#This Row],[Date]])</f>
        <v>8</v>
      </c>
      <c r="J910" t="str">
        <f t="shared" si="57"/>
        <v>Q3</v>
      </c>
      <c r="K910" t="str">
        <f t="shared" si="58"/>
        <v>Aug-2022</v>
      </c>
      <c r="L910" t="str">
        <f t="shared" si="59"/>
        <v>Medium</v>
      </c>
    </row>
    <row r="911" spans="1:12" x14ac:dyDescent="0.3">
      <c r="A911">
        <v>2022</v>
      </c>
      <c r="B911" s="2" t="s">
        <v>24</v>
      </c>
      <c r="C911" t="s">
        <v>8</v>
      </c>
      <c r="D911" t="s">
        <v>15</v>
      </c>
      <c r="E911">
        <v>28.32</v>
      </c>
      <c r="F911">
        <v>165.2</v>
      </c>
      <c r="G911">
        <v>3.83</v>
      </c>
      <c r="H911" s="3">
        <f t="shared" si="56"/>
        <v>44774</v>
      </c>
      <c r="I911">
        <f>MONTH(Table1[[#This Row],[Date]])</f>
        <v>8</v>
      </c>
      <c r="J911" t="str">
        <f t="shared" si="57"/>
        <v>Q3</v>
      </c>
      <c r="K911" t="str">
        <f t="shared" si="58"/>
        <v>Aug-2022</v>
      </c>
      <c r="L911" t="str">
        <f t="shared" si="59"/>
        <v>Medium</v>
      </c>
    </row>
    <row r="912" spans="1:12" x14ac:dyDescent="0.3">
      <c r="A912">
        <v>2022</v>
      </c>
      <c r="B912" s="2" t="s">
        <v>24</v>
      </c>
      <c r="C912" t="s">
        <v>16</v>
      </c>
      <c r="D912" t="s">
        <v>9</v>
      </c>
      <c r="E912">
        <v>100</v>
      </c>
      <c r="F912">
        <v>153.80000000000001</v>
      </c>
      <c r="G912">
        <v>3.35</v>
      </c>
      <c r="H912" s="3">
        <f t="shared" si="56"/>
        <v>44774</v>
      </c>
      <c r="I912">
        <f>MONTH(Table1[[#This Row],[Date]])</f>
        <v>8</v>
      </c>
      <c r="J912" t="str">
        <f t="shared" si="57"/>
        <v>Q3</v>
      </c>
      <c r="K912" t="str">
        <f t="shared" si="58"/>
        <v>Aug-2022</v>
      </c>
      <c r="L912" t="str">
        <f t="shared" si="59"/>
        <v>Medium</v>
      </c>
    </row>
    <row r="913" spans="1:12" x14ac:dyDescent="0.3">
      <c r="A913">
        <v>2022</v>
      </c>
      <c r="B913" s="2" t="s">
        <v>24</v>
      </c>
      <c r="C913" t="s">
        <v>16</v>
      </c>
      <c r="D913" t="s">
        <v>10</v>
      </c>
      <c r="E913">
        <v>45.86</v>
      </c>
      <c r="F913">
        <v>155.80000000000001</v>
      </c>
      <c r="G913">
        <v>3.43</v>
      </c>
      <c r="H913" s="3">
        <f t="shared" si="56"/>
        <v>44774</v>
      </c>
      <c r="I913">
        <f>MONTH(Table1[[#This Row],[Date]])</f>
        <v>8</v>
      </c>
      <c r="J913" t="str">
        <f t="shared" si="57"/>
        <v>Q3</v>
      </c>
      <c r="K913" t="str">
        <f t="shared" si="58"/>
        <v>Aug-2022</v>
      </c>
      <c r="L913" t="str">
        <f t="shared" si="59"/>
        <v>Medium</v>
      </c>
    </row>
    <row r="914" spans="1:12" x14ac:dyDescent="0.3">
      <c r="A914">
        <v>2022</v>
      </c>
      <c r="B914" s="2" t="s">
        <v>24</v>
      </c>
      <c r="C914" t="s">
        <v>16</v>
      </c>
      <c r="D914" t="s">
        <v>11</v>
      </c>
      <c r="E914">
        <v>2.38</v>
      </c>
      <c r="F914">
        <v>157.80000000000001</v>
      </c>
      <c r="G914">
        <v>3.51</v>
      </c>
      <c r="H914" s="3">
        <f t="shared" si="56"/>
        <v>44774</v>
      </c>
      <c r="I914">
        <f>MONTH(Table1[[#This Row],[Date]])</f>
        <v>8</v>
      </c>
      <c r="J914" t="str">
        <f t="shared" si="57"/>
        <v>Q3</v>
      </c>
      <c r="K914" t="str">
        <f t="shared" si="58"/>
        <v>Aug-2022</v>
      </c>
      <c r="L914" t="str">
        <f t="shared" si="59"/>
        <v>Medium</v>
      </c>
    </row>
    <row r="915" spans="1:12" x14ac:dyDescent="0.3">
      <c r="A915">
        <v>2022</v>
      </c>
      <c r="B915" s="2" t="s">
        <v>24</v>
      </c>
      <c r="C915" t="s">
        <v>16</v>
      </c>
      <c r="D915" t="s">
        <v>12</v>
      </c>
      <c r="E915">
        <v>6.53</v>
      </c>
      <c r="F915">
        <v>159.80000000000001</v>
      </c>
      <c r="G915">
        <v>3.59</v>
      </c>
      <c r="H915" s="3">
        <f t="shared" si="56"/>
        <v>44774</v>
      </c>
      <c r="I915">
        <f>MONTH(Table1[[#This Row],[Date]])</f>
        <v>8</v>
      </c>
      <c r="J915" t="str">
        <f t="shared" si="57"/>
        <v>Q3</v>
      </c>
      <c r="K915" t="str">
        <f t="shared" si="58"/>
        <v>Aug-2022</v>
      </c>
      <c r="L915" t="str">
        <f t="shared" si="59"/>
        <v>Medium</v>
      </c>
    </row>
    <row r="916" spans="1:12" x14ac:dyDescent="0.3">
      <c r="A916">
        <v>2022</v>
      </c>
      <c r="B916" s="2" t="s">
        <v>24</v>
      </c>
      <c r="C916" t="s">
        <v>16</v>
      </c>
      <c r="D916" t="s">
        <v>13</v>
      </c>
      <c r="E916">
        <v>10.07</v>
      </c>
      <c r="F916">
        <v>161.80000000000001</v>
      </c>
      <c r="G916">
        <v>3.67</v>
      </c>
      <c r="H916" s="3">
        <f t="shared" si="56"/>
        <v>44774</v>
      </c>
      <c r="I916">
        <f>MONTH(Table1[[#This Row],[Date]])</f>
        <v>8</v>
      </c>
      <c r="J916" t="str">
        <f t="shared" si="57"/>
        <v>Q3</v>
      </c>
      <c r="K916" t="str">
        <f t="shared" si="58"/>
        <v>Aug-2022</v>
      </c>
      <c r="L916" t="str">
        <f t="shared" si="59"/>
        <v>Medium</v>
      </c>
    </row>
    <row r="917" spans="1:12" x14ac:dyDescent="0.3">
      <c r="A917">
        <v>2022</v>
      </c>
      <c r="B917" s="2" t="s">
        <v>24</v>
      </c>
      <c r="C917" t="s">
        <v>16</v>
      </c>
      <c r="D917" t="s">
        <v>14</v>
      </c>
      <c r="E917">
        <v>6.84</v>
      </c>
      <c r="F917">
        <v>163.80000000000001</v>
      </c>
      <c r="G917">
        <v>3.75</v>
      </c>
      <c r="H917" s="3">
        <f t="shared" si="56"/>
        <v>44774</v>
      </c>
      <c r="I917">
        <f>MONTH(Table1[[#This Row],[Date]])</f>
        <v>8</v>
      </c>
      <c r="J917" t="str">
        <f t="shared" si="57"/>
        <v>Q3</v>
      </c>
      <c r="K917" t="str">
        <f t="shared" si="58"/>
        <v>Aug-2022</v>
      </c>
      <c r="L917" t="str">
        <f t="shared" si="59"/>
        <v>Medium</v>
      </c>
    </row>
    <row r="918" spans="1:12" x14ac:dyDescent="0.3">
      <c r="A918">
        <v>2022</v>
      </c>
      <c r="B918" s="2" t="s">
        <v>24</v>
      </c>
      <c r="C918" t="s">
        <v>16</v>
      </c>
      <c r="D918" t="s">
        <v>15</v>
      </c>
      <c r="E918">
        <v>28.32</v>
      </c>
      <c r="F918">
        <v>165.8</v>
      </c>
      <c r="G918">
        <v>3.83</v>
      </c>
      <c r="H918" s="3">
        <f t="shared" si="56"/>
        <v>44774</v>
      </c>
      <c r="I918">
        <f>MONTH(Table1[[#This Row],[Date]])</f>
        <v>8</v>
      </c>
      <c r="J918" t="str">
        <f t="shared" si="57"/>
        <v>Q3</v>
      </c>
      <c r="K918" t="str">
        <f t="shared" si="58"/>
        <v>Aug-2022</v>
      </c>
      <c r="L918" t="str">
        <f t="shared" si="59"/>
        <v>Medium</v>
      </c>
    </row>
    <row r="919" spans="1:12" x14ac:dyDescent="0.3">
      <c r="A919">
        <v>2022</v>
      </c>
      <c r="B919" s="2" t="s">
        <v>24</v>
      </c>
      <c r="C919" t="s">
        <v>17</v>
      </c>
      <c r="D919" t="s">
        <v>9</v>
      </c>
      <c r="E919">
        <v>100</v>
      </c>
      <c r="F919">
        <v>154.4</v>
      </c>
      <c r="G919">
        <v>3.35</v>
      </c>
      <c r="H919" s="3">
        <f t="shared" si="56"/>
        <v>44774</v>
      </c>
      <c r="I919">
        <f>MONTH(Table1[[#This Row],[Date]])</f>
        <v>8</v>
      </c>
      <c r="J919" t="str">
        <f t="shared" si="57"/>
        <v>Q3</v>
      </c>
      <c r="K919" t="str">
        <f t="shared" si="58"/>
        <v>Aug-2022</v>
      </c>
      <c r="L919" t="str">
        <f t="shared" si="59"/>
        <v>Medium</v>
      </c>
    </row>
    <row r="920" spans="1:12" x14ac:dyDescent="0.3">
      <c r="A920">
        <v>2022</v>
      </c>
      <c r="B920" s="2" t="s">
        <v>24</v>
      </c>
      <c r="C920" t="s">
        <v>17</v>
      </c>
      <c r="D920" t="s">
        <v>10</v>
      </c>
      <c r="E920">
        <v>45.86</v>
      </c>
      <c r="F920">
        <v>156.4</v>
      </c>
      <c r="G920">
        <v>3.43</v>
      </c>
      <c r="H920" s="3">
        <f t="shared" si="56"/>
        <v>44774</v>
      </c>
      <c r="I920">
        <f>MONTH(Table1[[#This Row],[Date]])</f>
        <v>8</v>
      </c>
      <c r="J920" t="str">
        <f t="shared" si="57"/>
        <v>Q3</v>
      </c>
      <c r="K920" t="str">
        <f t="shared" si="58"/>
        <v>Aug-2022</v>
      </c>
      <c r="L920" t="str">
        <f t="shared" si="59"/>
        <v>Medium</v>
      </c>
    </row>
    <row r="921" spans="1:12" x14ac:dyDescent="0.3">
      <c r="A921">
        <v>2022</v>
      </c>
      <c r="B921" s="2" t="s">
        <v>24</v>
      </c>
      <c r="C921" t="s">
        <v>17</v>
      </c>
      <c r="D921" t="s">
        <v>11</v>
      </c>
      <c r="E921">
        <v>2.38</v>
      </c>
      <c r="F921">
        <v>158.4</v>
      </c>
      <c r="G921">
        <v>3.51</v>
      </c>
      <c r="H921" s="3">
        <f t="shared" si="56"/>
        <v>44774</v>
      </c>
      <c r="I921">
        <f>MONTH(Table1[[#This Row],[Date]])</f>
        <v>8</v>
      </c>
      <c r="J921" t="str">
        <f t="shared" si="57"/>
        <v>Q3</v>
      </c>
      <c r="K921" t="str">
        <f t="shared" si="58"/>
        <v>Aug-2022</v>
      </c>
      <c r="L921" t="str">
        <f t="shared" si="59"/>
        <v>Medium</v>
      </c>
    </row>
    <row r="922" spans="1:12" x14ac:dyDescent="0.3">
      <c r="A922">
        <v>2022</v>
      </c>
      <c r="B922" s="2" t="s">
        <v>24</v>
      </c>
      <c r="C922" t="s">
        <v>17</v>
      </c>
      <c r="D922" t="s">
        <v>12</v>
      </c>
      <c r="E922">
        <v>6.53</v>
      </c>
      <c r="F922">
        <v>160.4</v>
      </c>
      <c r="G922">
        <v>3.59</v>
      </c>
      <c r="H922" s="3">
        <f t="shared" si="56"/>
        <v>44774</v>
      </c>
      <c r="I922">
        <f>MONTH(Table1[[#This Row],[Date]])</f>
        <v>8</v>
      </c>
      <c r="J922" t="str">
        <f t="shared" si="57"/>
        <v>Q3</v>
      </c>
      <c r="K922" t="str">
        <f t="shared" si="58"/>
        <v>Aug-2022</v>
      </c>
      <c r="L922" t="str">
        <f t="shared" si="59"/>
        <v>Medium</v>
      </c>
    </row>
    <row r="923" spans="1:12" x14ac:dyDescent="0.3">
      <c r="A923">
        <v>2022</v>
      </c>
      <c r="B923" s="2" t="s">
        <v>24</v>
      </c>
      <c r="C923" t="s">
        <v>17</v>
      </c>
      <c r="D923" t="s">
        <v>13</v>
      </c>
      <c r="E923">
        <v>10.07</v>
      </c>
      <c r="F923">
        <v>162.4</v>
      </c>
      <c r="G923">
        <v>3.67</v>
      </c>
      <c r="H923" s="3">
        <f t="shared" si="56"/>
        <v>44774</v>
      </c>
      <c r="I923">
        <f>MONTH(Table1[[#This Row],[Date]])</f>
        <v>8</v>
      </c>
      <c r="J923" t="str">
        <f t="shared" si="57"/>
        <v>Q3</v>
      </c>
      <c r="K923" t="str">
        <f t="shared" si="58"/>
        <v>Aug-2022</v>
      </c>
      <c r="L923" t="str">
        <f t="shared" si="59"/>
        <v>Medium</v>
      </c>
    </row>
    <row r="924" spans="1:12" x14ac:dyDescent="0.3">
      <c r="A924">
        <v>2022</v>
      </c>
      <c r="B924" s="2" t="s">
        <v>24</v>
      </c>
      <c r="C924" t="s">
        <v>17</v>
      </c>
      <c r="D924" t="s">
        <v>14</v>
      </c>
      <c r="E924">
        <v>6.84</v>
      </c>
      <c r="F924">
        <v>164.4</v>
      </c>
      <c r="G924">
        <v>3.75</v>
      </c>
      <c r="H924" s="3">
        <f t="shared" si="56"/>
        <v>44774</v>
      </c>
      <c r="I924">
        <f>MONTH(Table1[[#This Row],[Date]])</f>
        <v>8</v>
      </c>
      <c r="J924" t="str">
        <f t="shared" si="57"/>
        <v>Q3</v>
      </c>
      <c r="K924" t="str">
        <f t="shared" si="58"/>
        <v>Aug-2022</v>
      </c>
      <c r="L924" t="str">
        <f t="shared" si="59"/>
        <v>Medium</v>
      </c>
    </row>
    <row r="925" spans="1:12" x14ac:dyDescent="0.3">
      <c r="A925">
        <v>2022</v>
      </c>
      <c r="B925" s="2" t="s">
        <v>24</v>
      </c>
      <c r="C925" t="s">
        <v>17</v>
      </c>
      <c r="D925" t="s">
        <v>15</v>
      </c>
      <c r="E925">
        <v>28.32</v>
      </c>
      <c r="F925">
        <v>166.4</v>
      </c>
      <c r="G925">
        <v>3.83</v>
      </c>
      <c r="H925" s="3">
        <f t="shared" si="56"/>
        <v>44774</v>
      </c>
      <c r="I925">
        <f>MONTH(Table1[[#This Row],[Date]])</f>
        <v>8</v>
      </c>
      <c r="J925" t="str">
        <f t="shared" si="57"/>
        <v>Q3</v>
      </c>
      <c r="K925" t="str">
        <f t="shared" si="58"/>
        <v>Aug-2022</v>
      </c>
      <c r="L925" t="str">
        <f t="shared" si="59"/>
        <v>Medium</v>
      </c>
    </row>
    <row r="926" spans="1:12" x14ac:dyDescent="0.3">
      <c r="A926">
        <v>2022</v>
      </c>
      <c r="B926" s="2" t="s">
        <v>25</v>
      </c>
      <c r="C926" t="s">
        <v>8</v>
      </c>
      <c r="D926" t="s">
        <v>9</v>
      </c>
      <c r="E926">
        <v>100</v>
      </c>
      <c r="F926">
        <v>153.6</v>
      </c>
      <c r="G926">
        <v>3.5</v>
      </c>
      <c r="H926" s="3">
        <f t="shared" si="56"/>
        <v>44805</v>
      </c>
      <c r="I926">
        <f>MONTH(Table1[[#This Row],[Date]])</f>
        <v>9</v>
      </c>
      <c r="J926" t="str">
        <f t="shared" si="57"/>
        <v>Q3</v>
      </c>
      <c r="K926" t="str">
        <f t="shared" si="58"/>
        <v>Sept-2022</v>
      </c>
      <c r="L926" t="str">
        <f t="shared" si="59"/>
        <v>Medium</v>
      </c>
    </row>
    <row r="927" spans="1:12" x14ac:dyDescent="0.3">
      <c r="A927">
        <v>2022</v>
      </c>
      <c r="B927" s="2" t="s">
        <v>25</v>
      </c>
      <c r="C927" t="s">
        <v>8</v>
      </c>
      <c r="D927" t="s">
        <v>10</v>
      </c>
      <c r="E927">
        <v>45.86</v>
      </c>
      <c r="F927">
        <v>155.6</v>
      </c>
      <c r="G927">
        <v>3.58</v>
      </c>
      <c r="H927" s="3">
        <f t="shared" si="56"/>
        <v>44805</v>
      </c>
      <c r="I927">
        <f>MONTH(Table1[[#This Row],[Date]])</f>
        <v>9</v>
      </c>
      <c r="J927" t="str">
        <f t="shared" si="57"/>
        <v>Q3</v>
      </c>
      <c r="K927" t="str">
        <f t="shared" si="58"/>
        <v>Sept-2022</v>
      </c>
      <c r="L927" t="str">
        <f t="shared" si="59"/>
        <v>Medium</v>
      </c>
    </row>
    <row r="928" spans="1:12" x14ac:dyDescent="0.3">
      <c r="A928">
        <v>2022</v>
      </c>
      <c r="B928" s="2" t="s">
        <v>25</v>
      </c>
      <c r="C928" t="s">
        <v>8</v>
      </c>
      <c r="D928" t="s">
        <v>11</v>
      </c>
      <c r="E928">
        <v>2.38</v>
      </c>
      <c r="F928">
        <v>157.6</v>
      </c>
      <c r="G928">
        <v>3.66</v>
      </c>
      <c r="H928" s="3">
        <f t="shared" si="56"/>
        <v>44805</v>
      </c>
      <c r="I928">
        <f>MONTH(Table1[[#This Row],[Date]])</f>
        <v>9</v>
      </c>
      <c r="J928" t="str">
        <f t="shared" si="57"/>
        <v>Q3</v>
      </c>
      <c r="K928" t="str">
        <f t="shared" si="58"/>
        <v>Sept-2022</v>
      </c>
      <c r="L928" t="str">
        <f t="shared" si="59"/>
        <v>Medium</v>
      </c>
    </row>
    <row r="929" spans="1:12" x14ac:dyDescent="0.3">
      <c r="A929">
        <v>2022</v>
      </c>
      <c r="B929" s="2" t="s">
        <v>25</v>
      </c>
      <c r="C929" t="s">
        <v>8</v>
      </c>
      <c r="D929" t="s">
        <v>12</v>
      </c>
      <c r="E929">
        <v>6.53</v>
      </c>
      <c r="F929">
        <v>159.6</v>
      </c>
      <c r="G929">
        <v>3.74</v>
      </c>
      <c r="H929" s="3">
        <f t="shared" si="56"/>
        <v>44805</v>
      </c>
      <c r="I929">
        <f>MONTH(Table1[[#This Row],[Date]])</f>
        <v>9</v>
      </c>
      <c r="J929" t="str">
        <f t="shared" si="57"/>
        <v>Q3</v>
      </c>
      <c r="K929" t="str">
        <f t="shared" si="58"/>
        <v>Sept-2022</v>
      </c>
      <c r="L929" t="str">
        <f t="shared" si="59"/>
        <v>Medium</v>
      </c>
    </row>
    <row r="930" spans="1:12" x14ac:dyDescent="0.3">
      <c r="A930">
        <v>2022</v>
      </c>
      <c r="B930" s="2" t="s">
        <v>25</v>
      </c>
      <c r="C930" t="s">
        <v>8</v>
      </c>
      <c r="D930" t="s">
        <v>13</v>
      </c>
      <c r="E930">
        <v>10.07</v>
      </c>
      <c r="F930">
        <v>161.6</v>
      </c>
      <c r="G930">
        <v>3.82</v>
      </c>
      <c r="H930" s="3">
        <f t="shared" si="56"/>
        <v>44805</v>
      </c>
      <c r="I930">
        <f>MONTH(Table1[[#This Row],[Date]])</f>
        <v>9</v>
      </c>
      <c r="J930" t="str">
        <f t="shared" si="57"/>
        <v>Q3</v>
      </c>
      <c r="K930" t="str">
        <f t="shared" si="58"/>
        <v>Sept-2022</v>
      </c>
      <c r="L930" t="str">
        <f t="shared" si="59"/>
        <v>Medium</v>
      </c>
    </row>
    <row r="931" spans="1:12" x14ac:dyDescent="0.3">
      <c r="A931">
        <v>2022</v>
      </c>
      <c r="B931" s="2" t="s">
        <v>25</v>
      </c>
      <c r="C931" t="s">
        <v>8</v>
      </c>
      <c r="D931" t="s">
        <v>14</v>
      </c>
      <c r="E931">
        <v>6.84</v>
      </c>
      <c r="F931">
        <v>163.6</v>
      </c>
      <c r="G931">
        <v>3.9</v>
      </c>
      <c r="H931" s="3">
        <f t="shared" si="56"/>
        <v>44805</v>
      </c>
      <c r="I931">
        <f>MONTH(Table1[[#This Row],[Date]])</f>
        <v>9</v>
      </c>
      <c r="J931" t="str">
        <f t="shared" si="57"/>
        <v>Q3</v>
      </c>
      <c r="K931" t="str">
        <f t="shared" si="58"/>
        <v>Sept-2022</v>
      </c>
      <c r="L931" t="str">
        <f t="shared" si="59"/>
        <v>Medium</v>
      </c>
    </row>
    <row r="932" spans="1:12" x14ac:dyDescent="0.3">
      <c r="A932">
        <v>2022</v>
      </c>
      <c r="B932" s="2" t="s">
        <v>25</v>
      </c>
      <c r="C932" t="s">
        <v>8</v>
      </c>
      <c r="D932" t="s">
        <v>15</v>
      </c>
      <c r="E932">
        <v>28.32</v>
      </c>
      <c r="F932">
        <v>165.6</v>
      </c>
      <c r="G932">
        <v>3.98</v>
      </c>
      <c r="H932" s="3">
        <f t="shared" si="56"/>
        <v>44805</v>
      </c>
      <c r="I932">
        <f>MONTH(Table1[[#This Row],[Date]])</f>
        <v>9</v>
      </c>
      <c r="J932" t="str">
        <f t="shared" si="57"/>
        <v>Q3</v>
      </c>
      <c r="K932" t="str">
        <f t="shared" si="58"/>
        <v>Sept-2022</v>
      </c>
      <c r="L932" t="str">
        <f t="shared" si="59"/>
        <v>Medium</v>
      </c>
    </row>
    <row r="933" spans="1:12" x14ac:dyDescent="0.3">
      <c r="A933">
        <v>2022</v>
      </c>
      <c r="B933" s="2" t="s">
        <v>25</v>
      </c>
      <c r="C933" t="s">
        <v>16</v>
      </c>
      <c r="D933" t="s">
        <v>9</v>
      </c>
      <c r="E933">
        <v>100</v>
      </c>
      <c r="F933">
        <v>154.19999999999999</v>
      </c>
      <c r="G933">
        <v>3.5</v>
      </c>
      <c r="H933" s="3">
        <f t="shared" si="56"/>
        <v>44805</v>
      </c>
      <c r="I933">
        <f>MONTH(Table1[[#This Row],[Date]])</f>
        <v>9</v>
      </c>
      <c r="J933" t="str">
        <f t="shared" si="57"/>
        <v>Q3</v>
      </c>
      <c r="K933" t="str">
        <f t="shared" si="58"/>
        <v>Sept-2022</v>
      </c>
      <c r="L933" t="str">
        <f t="shared" si="59"/>
        <v>Medium</v>
      </c>
    </row>
    <row r="934" spans="1:12" x14ac:dyDescent="0.3">
      <c r="A934">
        <v>2022</v>
      </c>
      <c r="B934" s="2" t="s">
        <v>25</v>
      </c>
      <c r="C934" t="s">
        <v>16</v>
      </c>
      <c r="D934" t="s">
        <v>10</v>
      </c>
      <c r="E934">
        <v>45.86</v>
      </c>
      <c r="F934">
        <v>156.19999999999999</v>
      </c>
      <c r="G934">
        <v>3.58</v>
      </c>
      <c r="H934" s="3">
        <f t="shared" si="56"/>
        <v>44805</v>
      </c>
      <c r="I934">
        <f>MONTH(Table1[[#This Row],[Date]])</f>
        <v>9</v>
      </c>
      <c r="J934" t="str">
        <f t="shared" si="57"/>
        <v>Q3</v>
      </c>
      <c r="K934" t="str">
        <f t="shared" si="58"/>
        <v>Sept-2022</v>
      </c>
      <c r="L934" t="str">
        <f t="shared" si="59"/>
        <v>Medium</v>
      </c>
    </row>
    <row r="935" spans="1:12" x14ac:dyDescent="0.3">
      <c r="A935">
        <v>2022</v>
      </c>
      <c r="B935" s="2" t="s">
        <v>25</v>
      </c>
      <c r="C935" t="s">
        <v>16</v>
      </c>
      <c r="D935" t="s">
        <v>11</v>
      </c>
      <c r="E935">
        <v>2.38</v>
      </c>
      <c r="F935">
        <v>158.19999999999999</v>
      </c>
      <c r="G935">
        <v>3.66</v>
      </c>
      <c r="H935" s="3">
        <f t="shared" si="56"/>
        <v>44805</v>
      </c>
      <c r="I935">
        <f>MONTH(Table1[[#This Row],[Date]])</f>
        <v>9</v>
      </c>
      <c r="J935" t="str">
        <f t="shared" si="57"/>
        <v>Q3</v>
      </c>
      <c r="K935" t="str">
        <f t="shared" si="58"/>
        <v>Sept-2022</v>
      </c>
      <c r="L935" t="str">
        <f t="shared" si="59"/>
        <v>Medium</v>
      </c>
    </row>
    <row r="936" spans="1:12" x14ac:dyDescent="0.3">
      <c r="A936">
        <v>2022</v>
      </c>
      <c r="B936" s="2" t="s">
        <v>25</v>
      </c>
      <c r="C936" t="s">
        <v>16</v>
      </c>
      <c r="D936" t="s">
        <v>12</v>
      </c>
      <c r="E936">
        <v>6.53</v>
      </c>
      <c r="F936">
        <v>160.19999999999999</v>
      </c>
      <c r="G936">
        <v>3.74</v>
      </c>
      <c r="H936" s="3">
        <f t="shared" si="56"/>
        <v>44805</v>
      </c>
      <c r="I936">
        <f>MONTH(Table1[[#This Row],[Date]])</f>
        <v>9</v>
      </c>
      <c r="J936" t="str">
        <f t="shared" si="57"/>
        <v>Q3</v>
      </c>
      <c r="K936" t="str">
        <f t="shared" si="58"/>
        <v>Sept-2022</v>
      </c>
      <c r="L936" t="str">
        <f t="shared" si="59"/>
        <v>Medium</v>
      </c>
    </row>
    <row r="937" spans="1:12" x14ac:dyDescent="0.3">
      <c r="A937">
        <v>2022</v>
      </c>
      <c r="B937" s="2" t="s">
        <v>25</v>
      </c>
      <c r="C937" t="s">
        <v>16</v>
      </c>
      <c r="D937" t="s">
        <v>13</v>
      </c>
      <c r="E937">
        <v>10.07</v>
      </c>
      <c r="F937">
        <v>162.19999999999999</v>
      </c>
      <c r="G937">
        <v>3.82</v>
      </c>
      <c r="H937" s="3">
        <f t="shared" si="56"/>
        <v>44805</v>
      </c>
      <c r="I937">
        <f>MONTH(Table1[[#This Row],[Date]])</f>
        <v>9</v>
      </c>
      <c r="J937" t="str">
        <f t="shared" si="57"/>
        <v>Q3</v>
      </c>
      <c r="K937" t="str">
        <f t="shared" si="58"/>
        <v>Sept-2022</v>
      </c>
      <c r="L937" t="str">
        <f t="shared" si="59"/>
        <v>Medium</v>
      </c>
    </row>
    <row r="938" spans="1:12" x14ac:dyDescent="0.3">
      <c r="A938">
        <v>2022</v>
      </c>
      <c r="B938" s="2" t="s">
        <v>25</v>
      </c>
      <c r="C938" t="s">
        <v>16</v>
      </c>
      <c r="D938" t="s">
        <v>14</v>
      </c>
      <c r="E938">
        <v>6.84</v>
      </c>
      <c r="F938">
        <v>164.2</v>
      </c>
      <c r="G938">
        <v>3.9</v>
      </c>
      <c r="H938" s="3">
        <f t="shared" si="56"/>
        <v>44805</v>
      </c>
      <c r="I938">
        <f>MONTH(Table1[[#This Row],[Date]])</f>
        <v>9</v>
      </c>
      <c r="J938" t="str">
        <f t="shared" si="57"/>
        <v>Q3</v>
      </c>
      <c r="K938" t="str">
        <f t="shared" si="58"/>
        <v>Sept-2022</v>
      </c>
      <c r="L938" t="str">
        <f t="shared" si="59"/>
        <v>Medium</v>
      </c>
    </row>
    <row r="939" spans="1:12" x14ac:dyDescent="0.3">
      <c r="A939">
        <v>2022</v>
      </c>
      <c r="B939" s="2" t="s">
        <v>25</v>
      </c>
      <c r="C939" t="s">
        <v>16</v>
      </c>
      <c r="D939" t="s">
        <v>15</v>
      </c>
      <c r="E939">
        <v>28.32</v>
      </c>
      <c r="F939">
        <v>166.2</v>
      </c>
      <c r="G939">
        <v>3.98</v>
      </c>
      <c r="H939" s="3">
        <f t="shared" si="56"/>
        <v>44805</v>
      </c>
      <c r="I939">
        <f>MONTH(Table1[[#This Row],[Date]])</f>
        <v>9</v>
      </c>
      <c r="J939" t="str">
        <f t="shared" si="57"/>
        <v>Q3</v>
      </c>
      <c r="K939" t="str">
        <f t="shared" si="58"/>
        <v>Sept-2022</v>
      </c>
      <c r="L939" t="str">
        <f t="shared" si="59"/>
        <v>Medium</v>
      </c>
    </row>
    <row r="940" spans="1:12" x14ac:dyDescent="0.3">
      <c r="A940">
        <v>2022</v>
      </c>
      <c r="B940" s="2" t="s">
        <v>25</v>
      </c>
      <c r="C940" t="s">
        <v>17</v>
      </c>
      <c r="D940" t="s">
        <v>9</v>
      </c>
      <c r="E940">
        <v>100</v>
      </c>
      <c r="F940">
        <v>154.80000000000001</v>
      </c>
      <c r="G940">
        <v>3.5</v>
      </c>
      <c r="H940" s="3">
        <f t="shared" si="56"/>
        <v>44805</v>
      </c>
      <c r="I940">
        <f>MONTH(Table1[[#This Row],[Date]])</f>
        <v>9</v>
      </c>
      <c r="J940" t="str">
        <f t="shared" si="57"/>
        <v>Q3</v>
      </c>
      <c r="K940" t="str">
        <f t="shared" si="58"/>
        <v>Sept-2022</v>
      </c>
      <c r="L940" t="str">
        <f t="shared" si="59"/>
        <v>Medium</v>
      </c>
    </row>
    <row r="941" spans="1:12" x14ac:dyDescent="0.3">
      <c r="A941">
        <v>2022</v>
      </c>
      <c r="B941" s="2" t="s">
        <v>25</v>
      </c>
      <c r="C941" t="s">
        <v>17</v>
      </c>
      <c r="D941" t="s">
        <v>10</v>
      </c>
      <c r="E941">
        <v>45.86</v>
      </c>
      <c r="F941">
        <v>156.80000000000001</v>
      </c>
      <c r="G941">
        <v>3.58</v>
      </c>
      <c r="H941" s="3">
        <f t="shared" si="56"/>
        <v>44805</v>
      </c>
      <c r="I941">
        <f>MONTH(Table1[[#This Row],[Date]])</f>
        <v>9</v>
      </c>
      <c r="J941" t="str">
        <f t="shared" si="57"/>
        <v>Q3</v>
      </c>
      <c r="K941" t="str">
        <f t="shared" si="58"/>
        <v>Sept-2022</v>
      </c>
      <c r="L941" t="str">
        <f t="shared" si="59"/>
        <v>Medium</v>
      </c>
    </row>
    <row r="942" spans="1:12" x14ac:dyDescent="0.3">
      <c r="A942">
        <v>2022</v>
      </c>
      <c r="B942" s="2" t="s">
        <v>25</v>
      </c>
      <c r="C942" t="s">
        <v>17</v>
      </c>
      <c r="D942" t="s">
        <v>11</v>
      </c>
      <c r="E942">
        <v>2.38</v>
      </c>
      <c r="F942">
        <v>158.80000000000001</v>
      </c>
      <c r="G942">
        <v>3.66</v>
      </c>
      <c r="H942" s="3">
        <f t="shared" si="56"/>
        <v>44805</v>
      </c>
      <c r="I942">
        <f>MONTH(Table1[[#This Row],[Date]])</f>
        <v>9</v>
      </c>
      <c r="J942" t="str">
        <f t="shared" si="57"/>
        <v>Q3</v>
      </c>
      <c r="K942" t="str">
        <f t="shared" si="58"/>
        <v>Sept-2022</v>
      </c>
      <c r="L942" t="str">
        <f t="shared" si="59"/>
        <v>Medium</v>
      </c>
    </row>
    <row r="943" spans="1:12" x14ac:dyDescent="0.3">
      <c r="A943">
        <v>2022</v>
      </c>
      <c r="B943" s="2" t="s">
        <v>25</v>
      </c>
      <c r="C943" t="s">
        <v>17</v>
      </c>
      <c r="D943" t="s">
        <v>12</v>
      </c>
      <c r="E943">
        <v>6.53</v>
      </c>
      <c r="F943">
        <v>160.80000000000001</v>
      </c>
      <c r="G943">
        <v>3.74</v>
      </c>
      <c r="H943" s="3">
        <f t="shared" si="56"/>
        <v>44805</v>
      </c>
      <c r="I943">
        <f>MONTH(Table1[[#This Row],[Date]])</f>
        <v>9</v>
      </c>
      <c r="J943" t="str">
        <f t="shared" si="57"/>
        <v>Q3</v>
      </c>
      <c r="K943" t="str">
        <f t="shared" si="58"/>
        <v>Sept-2022</v>
      </c>
      <c r="L943" t="str">
        <f t="shared" si="59"/>
        <v>Medium</v>
      </c>
    </row>
    <row r="944" spans="1:12" x14ac:dyDescent="0.3">
      <c r="A944">
        <v>2022</v>
      </c>
      <c r="B944" s="2" t="s">
        <v>25</v>
      </c>
      <c r="C944" t="s">
        <v>17</v>
      </c>
      <c r="D944" t="s">
        <v>13</v>
      </c>
      <c r="E944">
        <v>10.07</v>
      </c>
      <c r="F944">
        <v>162.80000000000001</v>
      </c>
      <c r="G944">
        <v>3.82</v>
      </c>
      <c r="H944" s="3">
        <f t="shared" si="56"/>
        <v>44805</v>
      </c>
      <c r="I944">
        <f>MONTH(Table1[[#This Row],[Date]])</f>
        <v>9</v>
      </c>
      <c r="J944" t="str">
        <f t="shared" si="57"/>
        <v>Q3</v>
      </c>
      <c r="K944" t="str">
        <f t="shared" si="58"/>
        <v>Sept-2022</v>
      </c>
      <c r="L944" t="str">
        <f t="shared" si="59"/>
        <v>Medium</v>
      </c>
    </row>
    <row r="945" spans="1:12" x14ac:dyDescent="0.3">
      <c r="A945">
        <v>2022</v>
      </c>
      <c r="B945" s="2" t="s">
        <v>25</v>
      </c>
      <c r="C945" t="s">
        <v>17</v>
      </c>
      <c r="D945" t="s">
        <v>14</v>
      </c>
      <c r="E945">
        <v>6.84</v>
      </c>
      <c r="F945">
        <v>164.8</v>
      </c>
      <c r="G945">
        <v>3.9</v>
      </c>
      <c r="H945" s="3">
        <f t="shared" si="56"/>
        <v>44805</v>
      </c>
      <c r="I945">
        <f>MONTH(Table1[[#This Row],[Date]])</f>
        <v>9</v>
      </c>
      <c r="J945" t="str">
        <f t="shared" si="57"/>
        <v>Q3</v>
      </c>
      <c r="K945" t="str">
        <f t="shared" si="58"/>
        <v>Sept-2022</v>
      </c>
      <c r="L945" t="str">
        <f t="shared" si="59"/>
        <v>Medium</v>
      </c>
    </row>
    <row r="946" spans="1:12" x14ac:dyDescent="0.3">
      <c r="A946">
        <v>2022</v>
      </c>
      <c r="B946" s="2" t="s">
        <v>25</v>
      </c>
      <c r="C946" t="s">
        <v>17</v>
      </c>
      <c r="D946" t="s">
        <v>15</v>
      </c>
      <c r="E946">
        <v>28.32</v>
      </c>
      <c r="F946">
        <v>166.8</v>
      </c>
      <c r="G946">
        <v>3.98</v>
      </c>
      <c r="H946" s="3">
        <f t="shared" si="56"/>
        <v>44805</v>
      </c>
      <c r="I946">
        <f>MONTH(Table1[[#This Row],[Date]])</f>
        <v>9</v>
      </c>
      <c r="J946" t="str">
        <f t="shared" si="57"/>
        <v>Q3</v>
      </c>
      <c r="K946" t="str">
        <f t="shared" si="58"/>
        <v>Sept-2022</v>
      </c>
      <c r="L946" t="str">
        <f t="shared" si="59"/>
        <v>Medium</v>
      </c>
    </row>
    <row r="947" spans="1:12" x14ac:dyDescent="0.3">
      <c r="A947">
        <v>2022</v>
      </c>
      <c r="B947" s="2" t="s">
        <v>26</v>
      </c>
      <c r="C947" t="s">
        <v>8</v>
      </c>
      <c r="D947" t="s">
        <v>9</v>
      </c>
      <c r="E947">
        <v>100</v>
      </c>
      <c r="F947">
        <v>154</v>
      </c>
      <c r="G947">
        <v>3.65</v>
      </c>
      <c r="H947" s="3">
        <f t="shared" si="56"/>
        <v>44835</v>
      </c>
      <c r="I947">
        <f>MONTH(Table1[[#This Row],[Date]])</f>
        <v>10</v>
      </c>
      <c r="J947" t="str">
        <f t="shared" si="57"/>
        <v>Q4</v>
      </c>
      <c r="K947" t="str">
        <f t="shared" si="58"/>
        <v>Oct-2022</v>
      </c>
      <c r="L947" t="str">
        <f t="shared" si="59"/>
        <v>Medium</v>
      </c>
    </row>
    <row r="948" spans="1:12" x14ac:dyDescent="0.3">
      <c r="A948">
        <v>2022</v>
      </c>
      <c r="B948" s="2" t="s">
        <v>26</v>
      </c>
      <c r="C948" t="s">
        <v>8</v>
      </c>
      <c r="D948" t="s">
        <v>10</v>
      </c>
      <c r="E948">
        <v>45.86</v>
      </c>
      <c r="F948">
        <v>156</v>
      </c>
      <c r="G948">
        <v>3.73</v>
      </c>
      <c r="H948" s="3">
        <f t="shared" si="56"/>
        <v>44835</v>
      </c>
      <c r="I948">
        <f>MONTH(Table1[[#This Row],[Date]])</f>
        <v>10</v>
      </c>
      <c r="J948" t="str">
        <f t="shared" si="57"/>
        <v>Q4</v>
      </c>
      <c r="K948" t="str">
        <f t="shared" si="58"/>
        <v>Oct-2022</v>
      </c>
      <c r="L948" t="str">
        <f t="shared" si="59"/>
        <v>Medium</v>
      </c>
    </row>
    <row r="949" spans="1:12" x14ac:dyDescent="0.3">
      <c r="A949">
        <v>2022</v>
      </c>
      <c r="B949" s="2" t="s">
        <v>26</v>
      </c>
      <c r="C949" t="s">
        <v>8</v>
      </c>
      <c r="D949" t="s">
        <v>11</v>
      </c>
      <c r="E949">
        <v>2.38</v>
      </c>
      <c r="F949">
        <v>158</v>
      </c>
      <c r="G949">
        <v>3.81</v>
      </c>
      <c r="H949" s="3">
        <f t="shared" si="56"/>
        <v>44835</v>
      </c>
      <c r="I949">
        <f>MONTH(Table1[[#This Row],[Date]])</f>
        <v>10</v>
      </c>
      <c r="J949" t="str">
        <f t="shared" si="57"/>
        <v>Q4</v>
      </c>
      <c r="K949" t="str">
        <f t="shared" si="58"/>
        <v>Oct-2022</v>
      </c>
      <c r="L949" t="str">
        <f t="shared" si="59"/>
        <v>Medium</v>
      </c>
    </row>
    <row r="950" spans="1:12" x14ac:dyDescent="0.3">
      <c r="A950">
        <v>2022</v>
      </c>
      <c r="B950" s="2" t="s">
        <v>26</v>
      </c>
      <c r="C950" t="s">
        <v>8</v>
      </c>
      <c r="D950" t="s">
        <v>12</v>
      </c>
      <c r="E950">
        <v>6.53</v>
      </c>
      <c r="F950">
        <v>160</v>
      </c>
      <c r="G950">
        <v>3.89</v>
      </c>
      <c r="H950" s="3">
        <f t="shared" si="56"/>
        <v>44835</v>
      </c>
      <c r="I950">
        <f>MONTH(Table1[[#This Row],[Date]])</f>
        <v>10</v>
      </c>
      <c r="J950" t="str">
        <f t="shared" si="57"/>
        <v>Q4</v>
      </c>
      <c r="K950" t="str">
        <f t="shared" si="58"/>
        <v>Oct-2022</v>
      </c>
      <c r="L950" t="str">
        <f t="shared" si="59"/>
        <v>Medium</v>
      </c>
    </row>
    <row r="951" spans="1:12" x14ac:dyDescent="0.3">
      <c r="A951">
        <v>2022</v>
      </c>
      <c r="B951" s="2" t="s">
        <v>26</v>
      </c>
      <c r="C951" t="s">
        <v>8</v>
      </c>
      <c r="D951" t="s">
        <v>13</v>
      </c>
      <c r="E951">
        <v>10.07</v>
      </c>
      <c r="F951">
        <v>162</v>
      </c>
      <c r="G951">
        <v>3.97</v>
      </c>
      <c r="H951" s="3">
        <f t="shared" si="56"/>
        <v>44835</v>
      </c>
      <c r="I951">
        <f>MONTH(Table1[[#This Row],[Date]])</f>
        <v>10</v>
      </c>
      <c r="J951" t="str">
        <f t="shared" si="57"/>
        <v>Q4</v>
      </c>
      <c r="K951" t="str">
        <f t="shared" si="58"/>
        <v>Oct-2022</v>
      </c>
      <c r="L951" t="str">
        <f t="shared" si="59"/>
        <v>Medium</v>
      </c>
    </row>
    <row r="952" spans="1:12" x14ac:dyDescent="0.3">
      <c r="A952">
        <v>2022</v>
      </c>
      <c r="B952" s="2" t="s">
        <v>26</v>
      </c>
      <c r="C952" t="s">
        <v>8</v>
      </c>
      <c r="D952" t="s">
        <v>14</v>
      </c>
      <c r="E952">
        <v>6.84</v>
      </c>
      <c r="F952">
        <v>164</v>
      </c>
      <c r="G952">
        <v>4.05</v>
      </c>
      <c r="H952" s="3">
        <f t="shared" si="56"/>
        <v>44835</v>
      </c>
      <c r="I952">
        <f>MONTH(Table1[[#This Row],[Date]])</f>
        <v>10</v>
      </c>
      <c r="J952" t="str">
        <f t="shared" si="57"/>
        <v>Q4</v>
      </c>
      <c r="K952" t="str">
        <f t="shared" si="58"/>
        <v>Oct-2022</v>
      </c>
      <c r="L952" t="str">
        <f t="shared" si="59"/>
        <v>High</v>
      </c>
    </row>
    <row r="953" spans="1:12" x14ac:dyDescent="0.3">
      <c r="A953">
        <v>2022</v>
      </c>
      <c r="B953" s="2" t="s">
        <v>26</v>
      </c>
      <c r="C953" t="s">
        <v>8</v>
      </c>
      <c r="D953" t="s">
        <v>15</v>
      </c>
      <c r="E953">
        <v>28.32</v>
      </c>
      <c r="F953">
        <v>166</v>
      </c>
      <c r="G953">
        <v>4.13</v>
      </c>
      <c r="H953" s="3">
        <f t="shared" si="56"/>
        <v>44835</v>
      </c>
      <c r="I953">
        <f>MONTH(Table1[[#This Row],[Date]])</f>
        <v>10</v>
      </c>
      <c r="J953" t="str">
        <f t="shared" si="57"/>
        <v>Q4</v>
      </c>
      <c r="K953" t="str">
        <f t="shared" si="58"/>
        <v>Oct-2022</v>
      </c>
      <c r="L953" t="str">
        <f t="shared" si="59"/>
        <v>High</v>
      </c>
    </row>
    <row r="954" spans="1:12" x14ac:dyDescent="0.3">
      <c r="A954">
        <v>2022</v>
      </c>
      <c r="B954" s="2" t="s">
        <v>26</v>
      </c>
      <c r="C954" t="s">
        <v>16</v>
      </c>
      <c r="D954" t="s">
        <v>9</v>
      </c>
      <c r="E954">
        <v>100</v>
      </c>
      <c r="F954">
        <v>154.6</v>
      </c>
      <c r="G954">
        <v>3.65</v>
      </c>
      <c r="H954" s="3">
        <f t="shared" si="56"/>
        <v>44835</v>
      </c>
      <c r="I954">
        <f>MONTH(Table1[[#This Row],[Date]])</f>
        <v>10</v>
      </c>
      <c r="J954" t="str">
        <f t="shared" si="57"/>
        <v>Q4</v>
      </c>
      <c r="K954" t="str">
        <f t="shared" si="58"/>
        <v>Oct-2022</v>
      </c>
      <c r="L954" t="str">
        <f t="shared" si="59"/>
        <v>Medium</v>
      </c>
    </row>
    <row r="955" spans="1:12" x14ac:dyDescent="0.3">
      <c r="A955">
        <v>2022</v>
      </c>
      <c r="B955" s="2" t="s">
        <v>26</v>
      </c>
      <c r="C955" t="s">
        <v>16</v>
      </c>
      <c r="D955" t="s">
        <v>10</v>
      </c>
      <c r="E955">
        <v>45.86</v>
      </c>
      <c r="F955">
        <v>156.6</v>
      </c>
      <c r="G955">
        <v>3.73</v>
      </c>
      <c r="H955" s="3">
        <f t="shared" si="56"/>
        <v>44835</v>
      </c>
      <c r="I955">
        <f>MONTH(Table1[[#This Row],[Date]])</f>
        <v>10</v>
      </c>
      <c r="J955" t="str">
        <f t="shared" si="57"/>
        <v>Q4</v>
      </c>
      <c r="K955" t="str">
        <f t="shared" si="58"/>
        <v>Oct-2022</v>
      </c>
      <c r="L955" t="str">
        <f t="shared" si="59"/>
        <v>Medium</v>
      </c>
    </row>
    <row r="956" spans="1:12" x14ac:dyDescent="0.3">
      <c r="A956">
        <v>2022</v>
      </c>
      <c r="B956" s="2" t="s">
        <v>26</v>
      </c>
      <c r="C956" t="s">
        <v>16</v>
      </c>
      <c r="D956" t="s">
        <v>11</v>
      </c>
      <c r="E956">
        <v>2.38</v>
      </c>
      <c r="F956">
        <v>158.6</v>
      </c>
      <c r="G956">
        <v>3.81</v>
      </c>
      <c r="H956" s="3">
        <f t="shared" si="56"/>
        <v>44835</v>
      </c>
      <c r="I956">
        <f>MONTH(Table1[[#This Row],[Date]])</f>
        <v>10</v>
      </c>
      <c r="J956" t="str">
        <f t="shared" si="57"/>
        <v>Q4</v>
      </c>
      <c r="K956" t="str">
        <f t="shared" si="58"/>
        <v>Oct-2022</v>
      </c>
      <c r="L956" t="str">
        <f t="shared" si="59"/>
        <v>Medium</v>
      </c>
    </row>
    <row r="957" spans="1:12" x14ac:dyDescent="0.3">
      <c r="A957">
        <v>2022</v>
      </c>
      <c r="B957" s="2" t="s">
        <v>26</v>
      </c>
      <c r="C957" t="s">
        <v>16</v>
      </c>
      <c r="D957" t="s">
        <v>12</v>
      </c>
      <c r="E957">
        <v>6.53</v>
      </c>
      <c r="F957">
        <v>160.6</v>
      </c>
      <c r="G957">
        <v>3.89</v>
      </c>
      <c r="H957" s="3">
        <f t="shared" si="56"/>
        <v>44835</v>
      </c>
      <c r="I957">
        <f>MONTH(Table1[[#This Row],[Date]])</f>
        <v>10</v>
      </c>
      <c r="J957" t="str">
        <f t="shared" si="57"/>
        <v>Q4</v>
      </c>
      <c r="K957" t="str">
        <f t="shared" si="58"/>
        <v>Oct-2022</v>
      </c>
      <c r="L957" t="str">
        <f t="shared" si="59"/>
        <v>Medium</v>
      </c>
    </row>
    <row r="958" spans="1:12" x14ac:dyDescent="0.3">
      <c r="A958">
        <v>2022</v>
      </c>
      <c r="B958" s="2" t="s">
        <v>26</v>
      </c>
      <c r="C958" t="s">
        <v>16</v>
      </c>
      <c r="D958" t="s">
        <v>13</v>
      </c>
      <c r="E958">
        <v>10.07</v>
      </c>
      <c r="F958">
        <v>162.6</v>
      </c>
      <c r="G958">
        <v>3.97</v>
      </c>
      <c r="H958" s="3">
        <f t="shared" si="56"/>
        <v>44835</v>
      </c>
      <c r="I958">
        <f>MONTH(Table1[[#This Row],[Date]])</f>
        <v>10</v>
      </c>
      <c r="J958" t="str">
        <f t="shared" si="57"/>
        <v>Q4</v>
      </c>
      <c r="K958" t="str">
        <f t="shared" si="58"/>
        <v>Oct-2022</v>
      </c>
      <c r="L958" t="str">
        <f t="shared" si="59"/>
        <v>Medium</v>
      </c>
    </row>
    <row r="959" spans="1:12" x14ac:dyDescent="0.3">
      <c r="A959">
        <v>2022</v>
      </c>
      <c r="B959" s="2" t="s">
        <v>26</v>
      </c>
      <c r="C959" t="s">
        <v>16</v>
      </c>
      <c r="D959" t="s">
        <v>14</v>
      </c>
      <c r="E959">
        <v>6.84</v>
      </c>
      <c r="F959">
        <v>164.6</v>
      </c>
      <c r="G959">
        <v>4.05</v>
      </c>
      <c r="H959" s="3">
        <f t="shared" si="56"/>
        <v>44835</v>
      </c>
      <c r="I959">
        <f>MONTH(Table1[[#This Row],[Date]])</f>
        <v>10</v>
      </c>
      <c r="J959" t="str">
        <f t="shared" si="57"/>
        <v>Q4</v>
      </c>
      <c r="K959" t="str">
        <f t="shared" si="58"/>
        <v>Oct-2022</v>
      </c>
      <c r="L959" t="str">
        <f t="shared" si="59"/>
        <v>High</v>
      </c>
    </row>
    <row r="960" spans="1:12" x14ac:dyDescent="0.3">
      <c r="A960">
        <v>2022</v>
      </c>
      <c r="B960" s="2" t="s">
        <v>26</v>
      </c>
      <c r="C960" t="s">
        <v>16</v>
      </c>
      <c r="D960" t="s">
        <v>15</v>
      </c>
      <c r="E960">
        <v>28.32</v>
      </c>
      <c r="F960">
        <v>166.6</v>
      </c>
      <c r="G960">
        <v>4.13</v>
      </c>
      <c r="H960" s="3">
        <f t="shared" si="56"/>
        <v>44835</v>
      </c>
      <c r="I960">
        <f>MONTH(Table1[[#This Row],[Date]])</f>
        <v>10</v>
      </c>
      <c r="J960" t="str">
        <f t="shared" si="57"/>
        <v>Q4</v>
      </c>
      <c r="K960" t="str">
        <f t="shared" si="58"/>
        <v>Oct-2022</v>
      </c>
      <c r="L960" t="str">
        <f t="shared" si="59"/>
        <v>High</v>
      </c>
    </row>
    <row r="961" spans="1:12" x14ac:dyDescent="0.3">
      <c r="A961">
        <v>2022</v>
      </c>
      <c r="B961" s="2" t="s">
        <v>26</v>
      </c>
      <c r="C961" t="s">
        <v>17</v>
      </c>
      <c r="D961" t="s">
        <v>9</v>
      </c>
      <c r="E961">
        <v>100</v>
      </c>
      <c r="F961">
        <v>155.19999999999999</v>
      </c>
      <c r="G961">
        <v>3.65</v>
      </c>
      <c r="H961" s="3">
        <f t="shared" si="56"/>
        <v>44835</v>
      </c>
      <c r="I961">
        <f>MONTH(Table1[[#This Row],[Date]])</f>
        <v>10</v>
      </c>
      <c r="J961" t="str">
        <f t="shared" si="57"/>
        <v>Q4</v>
      </c>
      <c r="K961" t="str">
        <f t="shared" si="58"/>
        <v>Oct-2022</v>
      </c>
      <c r="L961" t="str">
        <f t="shared" si="59"/>
        <v>Medium</v>
      </c>
    </row>
    <row r="962" spans="1:12" x14ac:dyDescent="0.3">
      <c r="A962">
        <v>2022</v>
      </c>
      <c r="B962" s="2" t="s">
        <v>26</v>
      </c>
      <c r="C962" t="s">
        <v>17</v>
      </c>
      <c r="D962" t="s">
        <v>10</v>
      </c>
      <c r="E962">
        <v>45.86</v>
      </c>
      <c r="F962">
        <v>157.19999999999999</v>
      </c>
      <c r="G962">
        <v>3.73</v>
      </c>
      <c r="H962" s="3">
        <f t="shared" ref="H962:H1025" si="60">DATE(A962,MONTH(DATEVALUE(B962&amp;" 1")),1)</f>
        <v>44835</v>
      </c>
      <c r="I962">
        <f>MONTH(Table1[[#This Row],[Date]])</f>
        <v>10</v>
      </c>
      <c r="J962" t="str">
        <f t="shared" ref="J962:J1025" si="61">"Q"&amp;ROUNDUP(MONTH(H962)/3,0)</f>
        <v>Q4</v>
      </c>
      <c r="K962" t="str">
        <f t="shared" ref="K962:K1025" si="62">TEXT(H962,"mmm-yyyy")</f>
        <v>Oct-2022</v>
      </c>
      <c r="L962" t="str">
        <f t="shared" ref="L962:L1025" si="63">IF(G962&lt;3,"Low",IF(G962&lt;4,"Medium","High"))</f>
        <v>Medium</v>
      </c>
    </row>
    <row r="963" spans="1:12" x14ac:dyDescent="0.3">
      <c r="A963">
        <v>2022</v>
      </c>
      <c r="B963" s="2" t="s">
        <v>26</v>
      </c>
      <c r="C963" t="s">
        <v>17</v>
      </c>
      <c r="D963" t="s">
        <v>11</v>
      </c>
      <c r="E963">
        <v>2.38</v>
      </c>
      <c r="F963">
        <v>159.19999999999999</v>
      </c>
      <c r="G963">
        <v>3.81</v>
      </c>
      <c r="H963" s="3">
        <f t="shared" si="60"/>
        <v>44835</v>
      </c>
      <c r="I963">
        <f>MONTH(Table1[[#This Row],[Date]])</f>
        <v>10</v>
      </c>
      <c r="J963" t="str">
        <f t="shared" si="61"/>
        <v>Q4</v>
      </c>
      <c r="K963" t="str">
        <f t="shared" si="62"/>
        <v>Oct-2022</v>
      </c>
      <c r="L963" t="str">
        <f t="shared" si="63"/>
        <v>Medium</v>
      </c>
    </row>
    <row r="964" spans="1:12" x14ac:dyDescent="0.3">
      <c r="A964">
        <v>2022</v>
      </c>
      <c r="B964" s="2" t="s">
        <v>26</v>
      </c>
      <c r="C964" t="s">
        <v>17</v>
      </c>
      <c r="D964" t="s">
        <v>12</v>
      </c>
      <c r="E964">
        <v>6.53</v>
      </c>
      <c r="F964">
        <v>161.19999999999999</v>
      </c>
      <c r="G964">
        <v>3.89</v>
      </c>
      <c r="H964" s="3">
        <f t="shared" si="60"/>
        <v>44835</v>
      </c>
      <c r="I964">
        <f>MONTH(Table1[[#This Row],[Date]])</f>
        <v>10</v>
      </c>
      <c r="J964" t="str">
        <f t="shared" si="61"/>
        <v>Q4</v>
      </c>
      <c r="K964" t="str">
        <f t="shared" si="62"/>
        <v>Oct-2022</v>
      </c>
      <c r="L964" t="str">
        <f t="shared" si="63"/>
        <v>Medium</v>
      </c>
    </row>
    <row r="965" spans="1:12" x14ac:dyDescent="0.3">
      <c r="A965">
        <v>2022</v>
      </c>
      <c r="B965" s="2" t="s">
        <v>26</v>
      </c>
      <c r="C965" t="s">
        <v>17</v>
      </c>
      <c r="D965" t="s">
        <v>13</v>
      </c>
      <c r="E965">
        <v>10.07</v>
      </c>
      <c r="F965">
        <v>163.19999999999999</v>
      </c>
      <c r="G965">
        <v>3.97</v>
      </c>
      <c r="H965" s="3">
        <f t="shared" si="60"/>
        <v>44835</v>
      </c>
      <c r="I965">
        <f>MONTH(Table1[[#This Row],[Date]])</f>
        <v>10</v>
      </c>
      <c r="J965" t="str">
        <f t="shared" si="61"/>
        <v>Q4</v>
      </c>
      <c r="K965" t="str">
        <f t="shared" si="62"/>
        <v>Oct-2022</v>
      </c>
      <c r="L965" t="str">
        <f t="shared" si="63"/>
        <v>Medium</v>
      </c>
    </row>
    <row r="966" spans="1:12" x14ac:dyDescent="0.3">
      <c r="A966">
        <v>2022</v>
      </c>
      <c r="B966" s="2" t="s">
        <v>26</v>
      </c>
      <c r="C966" t="s">
        <v>17</v>
      </c>
      <c r="D966" t="s">
        <v>14</v>
      </c>
      <c r="E966">
        <v>6.84</v>
      </c>
      <c r="F966">
        <v>165.2</v>
      </c>
      <c r="G966">
        <v>4.05</v>
      </c>
      <c r="H966" s="3">
        <f t="shared" si="60"/>
        <v>44835</v>
      </c>
      <c r="I966">
        <f>MONTH(Table1[[#This Row],[Date]])</f>
        <v>10</v>
      </c>
      <c r="J966" t="str">
        <f t="shared" si="61"/>
        <v>Q4</v>
      </c>
      <c r="K966" t="str">
        <f t="shared" si="62"/>
        <v>Oct-2022</v>
      </c>
      <c r="L966" t="str">
        <f t="shared" si="63"/>
        <v>High</v>
      </c>
    </row>
    <row r="967" spans="1:12" x14ac:dyDescent="0.3">
      <c r="A967">
        <v>2022</v>
      </c>
      <c r="B967" s="2" t="s">
        <v>26</v>
      </c>
      <c r="C967" t="s">
        <v>17</v>
      </c>
      <c r="D967" t="s">
        <v>15</v>
      </c>
      <c r="E967">
        <v>28.32</v>
      </c>
      <c r="F967">
        <v>167.2</v>
      </c>
      <c r="G967">
        <v>4.13</v>
      </c>
      <c r="H967" s="3">
        <f t="shared" si="60"/>
        <v>44835</v>
      </c>
      <c r="I967">
        <f>MONTH(Table1[[#This Row],[Date]])</f>
        <v>10</v>
      </c>
      <c r="J967" t="str">
        <f t="shared" si="61"/>
        <v>Q4</v>
      </c>
      <c r="K967" t="str">
        <f t="shared" si="62"/>
        <v>Oct-2022</v>
      </c>
      <c r="L967" t="str">
        <f t="shared" si="63"/>
        <v>High</v>
      </c>
    </row>
    <row r="968" spans="1:12" x14ac:dyDescent="0.3">
      <c r="A968">
        <v>2022</v>
      </c>
      <c r="B968" s="2" t="s">
        <v>27</v>
      </c>
      <c r="C968" t="s">
        <v>8</v>
      </c>
      <c r="D968" t="s">
        <v>9</v>
      </c>
      <c r="E968">
        <v>100</v>
      </c>
      <c r="F968">
        <v>154.4</v>
      </c>
      <c r="G968">
        <v>3.8</v>
      </c>
      <c r="H968" s="3">
        <f t="shared" si="60"/>
        <v>44866</v>
      </c>
      <c r="I968">
        <f>MONTH(Table1[[#This Row],[Date]])</f>
        <v>11</v>
      </c>
      <c r="J968" t="str">
        <f t="shared" si="61"/>
        <v>Q4</v>
      </c>
      <c r="K968" t="str">
        <f t="shared" si="62"/>
        <v>Nov-2022</v>
      </c>
      <c r="L968" t="str">
        <f t="shared" si="63"/>
        <v>Medium</v>
      </c>
    </row>
    <row r="969" spans="1:12" x14ac:dyDescent="0.3">
      <c r="A969">
        <v>2022</v>
      </c>
      <c r="B969" s="2" t="s">
        <v>27</v>
      </c>
      <c r="C969" t="s">
        <v>8</v>
      </c>
      <c r="D969" t="s">
        <v>10</v>
      </c>
      <c r="E969">
        <v>45.86</v>
      </c>
      <c r="F969">
        <v>156.4</v>
      </c>
      <c r="G969">
        <v>3.88</v>
      </c>
      <c r="H969" s="3">
        <f t="shared" si="60"/>
        <v>44866</v>
      </c>
      <c r="I969">
        <f>MONTH(Table1[[#This Row],[Date]])</f>
        <v>11</v>
      </c>
      <c r="J969" t="str">
        <f t="shared" si="61"/>
        <v>Q4</v>
      </c>
      <c r="K969" t="str">
        <f t="shared" si="62"/>
        <v>Nov-2022</v>
      </c>
      <c r="L969" t="str">
        <f t="shared" si="63"/>
        <v>Medium</v>
      </c>
    </row>
    <row r="970" spans="1:12" x14ac:dyDescent="0.3">
      <c r="A970">
        <v>2022</v>
      </c>
      <c r="B970" s="2" t="s">
        <v>27</v>
      </c>
      <c r="C970" t="s">
        <v>8</v>
      </c>
      <c r="D970" t="s">
        <v>11</v>
      </c>
      <c r="E970">
        <v>2.38</v>
      </c>
      <c r="F970">
        <v>158.4</v>
      </c>
      <c r="G970">
        <v>3.96</v>
      </c>
      <c r="H970" s="3">
        <f t="shared" si="60"/>
        <v>44866</v>
      </c>
      <c r="I970">
        <f>MONTH(Table1[[#This Row],[Date]])</f>
        <v>11</v>
      </c>
      <c r="J970" t="str">
        <f t="shared" si="61"/>
        <v>Q4</v>
      </c>
      <c r="K970" t="str">
        <f t="shared" si="62"/>
        <v>Nov-2022</v>
      </c>
      <c r="L970" t="str">
        <f t="shared" si="63"/>
        <v>Medium</v>
      </c>
    </row>
    <row r="971" spans="1:12" x14ac:dyDescent="0.3">
      <c r="A971">
        <v>2022</v>
      </c>
      <c r="B971" s="2" t="s">
        <v>27</v>
      </c>
      <c r="C971" t="s">
        <v>8</v>
      </c>
      <c r="D971" t="s">
        <v>12</v>
      </c>
      <c r="E971">
        <v>6.53</v>
      </c>
      <c r="F971">
        <v>160.4</v>
      </c>
      <c r="G971">
        <v>4.04</v>
      </c>
      <c r="H971" s="3">
        <f t="shared" si="60"/>
        <v>44866</v>
      </c>
      <c r="I971">
        <f>MONTH(Table1[[#This Row],[Date]])</f>
        <v>11</v>
      </c>
      <c r="J971" t="str">
        <f t="shared" si="61"/>
        <v>Q4</v>
      </c>
      <c r="K971" t="str">
        <f t="shared" si="62"/>
        <v>Nov-2022</v>
      </c>
      <c r="L971" t="str">
        <f t="shared" si="63"/>
        <v>High</v>
      </c>
    </row>
    <row r="972" spans="1:12" x14ac:dyDescent="0.3">
      <c r="A972">
        <v>2022</v>
      </c>
      <c r="B972" s="2" t="s">
        <v>27</v>
      </c>
      <c r="C972" t="s">
        <v>8</v>
      </c>
      <c r="D972" t="s">
        <v>13</v>
      </c>
      <c r="E972">
        <v>10.07</v>
      </c>
      <c r="F972">
        <v>162.4</v>
      </c>
      <c r="G972">
        <v>4.12</v>
      </c>
      <c r="H972" s="3">
        <f t="shared" si="60"/>
        <v>44866</v>
      </c>
      <c r="I972">
        <f>MONTH(Table1[[#This Row],[Date]])</f>
        <v>11</v>
      </c>
      <c r="J972" t="str">
        <f t="shared" si="61"/>
        <v>Q4</v>
      </c>
      <c r="K972" t="str">
        <f t="shared" si="62"/>
        <v>Nov-2022</v>
      </c>
      <c r="L972" t="str">
        <f t="shared" si="63"/>
        <v>High</v>
      </c>
    </row>
    <row r="973" spans="1:12" x14ac:dyDescent="0.3">
      <c r="A973">
        <v>2022</v>
      </c>
      <c r="B973" s="2" t="s">
        <v>27</v>
      </c>
      <c r="C973" t="s">
        <v>8</v>
      </c>
      <c r="D973" t="s">
        <v>14</v>
      </c>
      <c r="E973">
        <v>6.84</v>
      </c>
      <c r="F973">
        <v>164.4</v>
      </c>
      <c r="G973">
        <v>4.2</v>
      </c>
      <c r="H973" s="3">
        <f t="shared" si="60"/>
        <v>44866</v>
      </c>
      <c r="I973">
        <f>MONTH(Table1[[#This Row],[Date]])</f>
        <v>11</v>
      </c>
      <c r="J973" t="str">
        <f t="shared" si="61"/>
        <v>Q4</v>
      </c>
      <c r="K973" t="str">
        <f t="shared" si="62"/>
        <v>Nov-2022</v>
      </c>
      <c r="L973" t="str">
        <f t="shared" si="63"/>
        <v>High</v>
      </c>
    </row>
    <row r="974" spans="1:12" x14ac:dyDescent="0.3">
      <c r="A974">
        <v>2022</v>
      </c>
      <c r="B974" s="2" t="s">
        <v>27</v>
      </c>
      <c r="C974" t="s">
        <v>8</v>
      </c>
      <c r="D974" t="s">
        <v>15</v>
      </c>
      <c r="E974">
        <v>28.32</v>
      </c>
      <c r="F974">
        <v>166.4</v>
      </c>
      <c r="G974">
        <v>4.28</v>
      </c>
      <c r="H974" s="3">
        <f t="shared" si="60"/>
        <v>44866</v>
      </c>
      <c r="I974">
        <f>MONTH(Table1[[#This Row],[Date]])</f>
        <v>11</v>
      </c>
      <c r="J974" t="str">
        <f t="shared" si="61"/>
        <v>Q4</v>
      </c>
      <c r="K974" t="str">
        <f t="shared" si="62"/>
        <v>Nov-2022</v>
      </c>
      <c r="L974" t="str">
        <f t="shared" si="63"/>
        <v>High</v>
      </c>
    </row>
    <row r="975" spans="1:12" x14ac:dyDescent="0.3">
      <c r="A975">
        <v>2022</v>
      </c>
      <c r="B975" s="2" t="s">
        <v>27</v>
      </c>
      <c r="C975" t="s">
        <v>16</v>
      </c>
      <c r="D975" t="s">
        <v>9</v>
      </c>
      <c r="E975">
        <v>100</v>
      </c>
      <c r="F975">
        <v>155</v>
      </c>
      <c r="G975">
        <v>3.8</v>
      </c>
      <c r="H975" s="3">
        <f t="shared" si="60"/>
        <v>44866</v>
      </c>
      <c r="I975">
        <f>MONTH(Table1[[#This Row],[Date]])</f>
        <v>11</v>
      </c>
      <c r="J975" t="str">
        <f t="shared" si="61"/>
        <v>Q4</v>
      </c>
      <c r="K975" t="str">
        <f t="shared" si="62"/>
        <v>Nov-2022</v>
      </c>
      <c r="L975" t="str">
        <f t="shared" si="63"/>
        <v>Medium</v>
      </c>
    </row>
    <row r="976" spans="1:12" x14ac:dyDescent="0.3">
      <c r="A976">
        <v>2022</v>
      </c>
      <c r="B976" s="2" t="s">
        <v>27</v>
      </c>
      <c r="C976" t="s">
        <v>16</v>
      </c>
      <c r="D976" t="s">
        <v>10</v>
      </c>
      <c r="E976">
        <v>45.86</v>
      </c>
      <c r="F976">
        <v>157</v>
      </c>
      <c r="G976">
        <v>3.88</v>
      </c>
      <c r="H976" s="3">
        <f t="shared" si="60"/>
        <v>44866</v>
      </c>
      <c r="I976">
        <f>MONTH(Table1[[#This Row],[Date]])</f>
        <v>11</v>
      </c>
      <c r="J976" t="str">
        <f t="shared" si="61"/>
        <v>Q4</v>
      </c>
      <c r="K976" t="str">
        <f t="shared" si="62"/>
        <v>Nov-2022</v>
      </c>
      <c r="L976" t="str">
        <f t="shared" si="63"/>
        <v>Medium</v>
      </c>
    </row>
    <row r="977" spans="1:12" x14ac:dyDescent="0.3">
      <c r="A977">
        <v>2022</v>
      </c>
      <c r="B977" s="2" t="s">
        <v>27</v>
      </c>
      <c r="C977" t="s">
        <v>16</v>
      </c>
      <c r="D977" t="s">
        <v>11</v>
      </c>
      <c r="E977">
        <v>2.38</v>
      </c>
      <c r="F977">
        <v>159</v>
      </c>
      <c r="G977">
        <v>3.96</v>
      </c>
      <c r="H977" s="3">
        <f t="shared" si="60"/>
        <v>44866</v>
      </c>
      <c r="I977">
        <f>MONTH(Table1[[#This Row],[Date]])</f>
        <v>11</v>
      </c>
      <c r="J977" t="str">
        <f t="shared" si="61"/>
        <v>Q4</v>
      </c>
      <c r="K977" t="str">
        <f t="shared" si="62"/>
        <v>Nov-2022</v>
      </c>
      <c r="L977" t="str">
        <f t="shared" si="63"/>
        <v>Medium</v>
      </c>
    </row>
    <row r="978" spans="1:12" x14ac:dyDescent="0.3">
      <c r="A978">
        <v>2022</v>
      </c>
      <c r="B978" s="2" t="s">
        <v>27</v>
      </c>
      <c r="C978" t="s">
        <v>16</v>
      </c>
      <c r="D978" t="s">
        <v>12</v>
      </c>
      <c r="E978">
        <v>6.53</v>
      </c>
      <c r="F978">
        <v>161</v>
      </c>
      <c r="G978">
        <v>4.04</v>
      </c>
      <c r="H978" s="3">
        <f t="shared" si="60"/>
        <v>44866</v>
      </c>
      <c r="I978">
        <f>MONTH(Table1[[#This Row],[Date]])</f>
        <v>11</v>
      </c>
      <c r="J978" t="str">
        <f t="shared" si="61"/>
        <v>Q4</v>
      </c>
      <c r="K978" t="str">
        <f t="shared" si="62"/>
        <v>Nov-2022</v>
      </c>
      <c r="L978" t="str">
        <f t="shared" si="63"/>
        <v>High</v>
      </c>
    </row>
    <row r="979" spans="1:12" x14ac:dyDescent="0.3">
      <c r="A979">
        <v>2022</v>
      </c>
      <c r="B979" s="2" t="s">
        <v>27</v>
      </c>
      <c r="C979" t="s">
        <v>16</v>
      </c>
      <c r="D979" t="s">
        <v>13</v>
      </c>
      <c r="E979">
        <v>10.07</v>
      </c>
      <c r="F979">
        <v>163</v>
      </c>
      <c r="G979">
        <v>4.12</v>
      </c>
      <c r="H979" s="3">
        <f t="shared" si="60"/>
        <v>44866</v>
      </c>
      <c r="I979">
        <f>MONTH(Table1[[#This Row],[Date]])</f>
        <v>11</v>
      </c>
      <c r="J979" t="str">
        <f t="shared" si="61"/>
        <v>Q4</v>
      </c>
      <c r="K979" t="str">
        <f t="shared" si="62"/>
        <v>Nov-2022</v>
      </c>
      <c r="L979" t="str">
        <f t="shared" si="63"/>
        <v>High</v>
      </c>
    </row>
    <row r="980" spans="1:12" x14ac:dyDescent="0.3">
      <c r="A980">
        <v>2022</v>
      </c>
      <c r="B980" s="2" t="s">
        <v>27</v>
      </c>
      <c r="C980" t="s">
        <v>16</v>
      </c>
      <c r="D980" t="s">
        <v>14</v>
      </c>
      <c r="E980">
        <v>6.84</v>
      </c>
      <c r="F980">
        <v>165</v>
      </c>
      <c r="G980">
        <v>4.2</v>
      </c>
      <c r="H980" s="3">
        <f t="shared" si="60"/>
        <v>44866</v>
      </c>
      <c r="I980">
        <f>MONTH(Table1[[#This Row],[Date]])</f>
        <v>11</v>
      </c>
      <c r="J980" t="str">
        <f t="shared" si="61"/>
        <v>Q4</v>
      </c>
      <c r="K980" t="str">
        <f t="shared" si="62"/>
        <v>Nov-2022</v>
      </c>
      <c r="L980" t="str">
        <f t="shared" si="63"/>
        <v>High</v>
      </c>
    </row>
    <row r="981" spans="1:12" x14ac:dyDescent="0.3">
      <c r="A981">
        <v>2022</v>
      </c>
      <c r="B981" s="2" t="s">
        <v>27</v>
      </c>
      <c r="C981" t="s">
        <v>16</v>
      </c>
      <c r="D981" t="s">
        <v>15</v>
      </c>
      <c r="E981">
        <v>28.32</v>
      </c>
      <c r="F981">
        <v>167</v>
      </c>
      <c r="G981">
        <v>4.28</v>
      </c>
      <c r="H981" s="3">
        <f t="shared" si="60"/>
        <v>44866</v>
      </c>
      <c r="I981">
        <f>MONTH(Table1[[#This Row],[Date]])</f>
        <v>11</v>
      </c>
      <c r="J981" t="str">
        <f t="shared" si="61"/>
        <v>Q4</v>
      </c>
      <c r="K981" t="str">
        <f t="shared" si="62"/>
        <v>Nov-2022</v>
      </c>
      <c r="L981" t="str">
        <f t="shared" si="63"/>
        <v>High</v>
      </c>
    </row>
    <row r="982" spans="1:12" x14ac:dyDescent="0.3">
      <c r="A982">
        <v>2022</v>
      </c>
      <c r="B982" s="2" t="s">
        <v>27</v>
      </c>
      <c r="C982" t="s">
        <v>17</v>
      </c>
      <c r="D982" t="s">
        <v>9</v>
      </c>
      <c r="E982">
        <v>100</v>
      </c>
      <c r="F982">
        <v>155.6</v>
      </c>
      <c r="G982">
        <v>3.8</v>
      </c>
      <c r="H982" s="3">
        <f t="shared" si="60"/>
        <v>44866</v>
      </c>
      <c r="I982">
        <f>MONTH(Table1[[#This Row],[Date]])</f>
        <v>11</v>
      </c>
      <c r="J982" t="str">
        <f t="shared" si="61"/>
        <v>Q4</v>
      </c>
      <c r="K982" t="str">
        <f t="shared" si="62"/>
        <v>Nov-2022</v>
      </c>
      <c r="L982" t="str">
        <f t="shared" si="63"/>
        <v>Medium</v>
      </c>
    </row>
    <row r="983" spans="1:12" x14ac:dyDescent="0.3">
      <c r="A983">
        <v>2022</v>
      </c>
      <c r="B983" s="2" t="s">
        <v>27</v>
      </c>
      <c r="C983" t="s">
        <v>17</v>
      </c>
      <c r="D983" t="s">
        <v>10</v>
      </c>
      <c r="E983">
        <v>45.86</v>
      </c>
      <c r="F983">
        <v>157.6</v>
      </c>
      <c r="G983">
        <v>3.88</v>
      </c>
      <c r="H983" s="3">
        <f t="shared" si="60"/>
        <v>44866</v>
      </c>
      <c r="I983">
        <f>MONTH(Table1[[#This Row],[Date]])</f>
        <v>11</v>
      </c>
      <c r="J983" t="str">
        <f t="shared" si="61"/>
        <v>Q4</v>
      </c>
      <c r="K983" t="str">
        <f t="shared" si="62"/>
        <v>Nov-2022</v>
      </c>
      <c r="L983" t="str">
        <f t="shared" si="63"/>
        <v>Medium</v>
      </c>
    </row>
    <row r="984" spans="1:12" x14ac:dyDescent="0.3">
      <c r="A984">
        <v>2022</v>
      </c>
      <c r="B984" s="2" t="s">
        <v>27</v>
      </c>
      <c r="C984" t="s">
        <v>17</v>
      </c>
      <c r="D984" t="s">
        <v>11</v>
      </c>
      <c r="E984">
        <v>2.38</v>
      </c>
      <c r="F984">
        <v>159.6</v>
      </c>
      <c r="G984">
        <v>3.96</v>
      </c>
      <c r="H984" s="3">
        <f t="shared" si="60"/>
        <v>44866</v>
      </c>
      <c r="I984">
        <f>MONTH(Table1[[#This Row],[Date]])</f>
        <v>11</v>
      </c>
      <c r="J984" t="str">
        <f t="shared" si="61"/>
        <v>Q4</v>
      </c>
      <c r="K984" t="str">
        <f t="shared" si="62"/>
        <v>Nov-2022</v>
      </c>
      <c r="L984" t="str">
        <f t="shared" si="63"/>
        <v>Medium</v>
      </c>
    </row>
    <row r="985" spans="1:12" x14ac:dyDescent="0.3">
      <c r="A985">
        <v>2022</v>
      </c>
      <c r="B985" s="2" t="s">
        <v>27</v>
      </c>
      <c r="C985" t="s">
        <v>17</v>
      </c>
      <c r="D985" t="s">
        <v>12</v>
      </c>
      <c r="E985">
        <v>6.53</v>
      </c>
      <c r="F985">
        <v>161.6</v>
      </c>
      <c r="G985">
        <v>4.04</v>
      </c>
      <c r="H985" s="3">
        <f t="shared" si="60"/>
        <v>44866</v>
      </c>
      <c r="I985">
        <f>MONTH(Table1[[#This Row],[Date]])</f>
        <v>11</v>
      </c>
      <c r="J985" t="str">
        <f t="shared" si="61"/>
        <v>Q4</v>
      </c>
      <c r="K985" t="str">
        <f t="shared" si="62"/>
        <v>Nov-2022</v>
      </c>
      <c r="L985" t="str">
        <f t="shared" si="63"/>
        <v>High</v>
      </c>
    </row>
    <row r="986" spans="1:12" x14ac:dyDescent="0.3">
      <c r="A986">
        <v>2022</v>
      </c>
      <c r="B986" s="2" t="s">
        <v>27</v>
      </c>
      <c r="C986" t="s">
        <v>17</v>
      </c>
      <c r="D986" t="s">
        <v>13</v>
      </c>
      <c r="E986">
        <v>10.07</v>
      </c>
      <c r="F986">
        <v>163.6</v>
      </c>
      <c r="G986">
        <v>4.12</v>
      </c>
      <c r="H986" s="3">
        <f t="shared" si="60"/>
        <v>44866</v>
      </c>
      <c r="I986">
        <f>MONTH(Table1[[#This Row],[Date]])</f>
        <v>11</v>
      </c>
      <c r="J986" t="str">
        <f t="shared" si="61"/>
        <v>Q4</v>
      </c>
      <c r="K986" t="str">
        <f t="shared" si="62"/>
        <v>Nov-2022</v>
      </c>
      <c r="L986" t="str">
        <f t="shared" si="63"/>
        <v>High</v>
      </c>
    </row>
    <row r="987" spans="1:12" x14ac:dyDescent="0.3">
      <c r="A987">
        <v>2022</v>
      </c>
      <c r="B987" s="2" t="s">
        <v>27</v>
      </c>
      <c r="C987" t="s">
        <v>17</v>
      </c>
      <c r="D987" t="s">
        <v>14</v>
      </c>
      <c r="E987">
        <v>6.84</v>
      </c>
      <c r="F987">
        <v>165.6</v>
      </c>
      <c r="G987">
        <v>4.2</v>
      </c>
      <c r="H987" s="3">
        <f t="shared" si="60"/>
        <v>44866</v>
      </c>
      <c r="I987">
        <f>MONTH(Table1[[#This Row],[Date]])</f>
        <v>11</v>
      </c>
      <c r="J987" t="str">
        <f t="shared" si="61"/>
        <v>Q4</v>
      </c>
      <c r="K987" t="str">
        <f t="shared" si="62"/>
        <v>Nov-2022</v>
      </c>
      <c r="L987" t="str">
        <f t="shared" si="63"/>
        <v>High</v>
      </c>
    </row>
    <row r="988" spans="1:12" x14ac:dyDescent="0.3">
      <c r="A988">
        <v>2022</v>
      </c>
      <c r="B988" s="2" t="s">
        <v>27</v>
      </c>
      <c r="C988" t="s">
        <v>17</v>
      </c>
      <c r="D988" t="s">
        <v>15</v>
      </c>
      <c r="E988">
        <v>28.32</v>
      </c>
      <c r="F988">
        <v>167.6</v>
      </c>
      <c r="G988">
        <v>4.28</v>
      </c>
      <c r="H988" s="3">
        <f t="shared" si="60"/>
        <v>44866</v>
      </c>
      <c r="I988">
        <f>MONTH(Table1[[#This Row],[Date]])</f>
        <v>11</v>
      </c>
      <c r="J988" t="str">
        <f t="shared" si="61"/>
        <v>Q4</v>
      </c>
      <c r="K988" t="str">
        <f t="shared" si="62"/>
        <v>Nov-2022</v>
      </c>
      <c r="L988" t="str">
        <f t="shared" si="63"/>
        <v>High</v>
      </c>
    </row>
    <row r="989" spans="1:12" x14ac:dyDescent="0.3">
      <c r="A989">
        <v>2022</v>
      </c>
      <c r="B989" s="2" t="s">
        <v>28</v>
      </c>
      <c r="C989" t="s">
        <v>8</v>
      </c>
      <c r="D989" t="s">
        <v>9</v>
      </c>
      <c r="E989">
        <v>100</v>
      </c>
      <c r="F989">
        <v>154.80000000000001</v>
      </c>
      <c r="G989">
        <v>3.05</v>
      </c>
      <c r="H989" s="3">
        <f t="shared" si="60"/>
        <v>44896</v>
      </c>
      <c r="I989">
        <f>MONTH(Table1[[#This Row],[Date]])</f>
        <v>12</v>
      </c>
      <c r="J989" t="str">
        <f t="shared" si="61"/>
        <v>Q4</v>
      </c>
      <c r="K989" t="str">
        <f t="shared" si="62"/>
        <v>Dec-2022</v>
      </c>
      <c r="L989" t="str">
        <f t="shared" si="63"/>
        <v>Medium</v>
      </c>
    </row>
    <row r="990" spans="1:12" x14ac:dyDescent="0.3">
      <c r="A990">
        <v>2022</v>
      </c>
      <c r="B990" s="2" t="s">
        <v>28</v>
      </c>
      <c r="C990" t="s">
        <v>8</v>
      </c>
      <c r="D990" t="s">
        <v>10</v>
      </c>
      <c r="E990">
        <v>45.86</v>
      </c>
      <c r="F990">
        <v>156.80000000000001</v>
      </c>
      <c r="G990">
        <v>3.13</v>
      </c>
      <c r="H990" s="3">
        <f t="shared" si="60"/>
        <v>44896</v>
      </c>
      <c r="I990">
        <f>MONTH(Table1[[#This Row],[Date]])</f>
        <v>12</v>
      </c>
      <c r="J990" t="str">
        <f t="shared" si="61"/>
        <v>Q4</v>
      </c>
      <c r="K990" t="str">
        <f t="shared" si="62"/>
        <v>Dec-2022</v>
      </c>
      <c r="L990" t="str">
        <f t="shared" si="63"/>
        <v>Medium</v>
      </c>
    </row>
    <row r="991" spans="1:12" x14ac:dyDescent="0.3">
      <c r="A991">
        <v>2022</v>
      </c>
      <c r="B991" s="2" t="s">
        <v>28</v>
      </c>
      <c r="C991" t="s">
        <v>8</v>
      </c>
      <c r="D991" t="s">
        <v>11</v>
      </c>
      <c r="E991">
        <v>2.38</v>
      </c>
      <c r="F991">
        <v>158.80000000000001</v>
      </c>
      <c r="G991">
        <v>3.21</v>
      </c>
      <c r="H991" s="3">
        <f t="shared" si="60"/>
        <v>44896</v>
      </c>
      <c r="I991">
        <f>MONTH(Table1[[#This Row],[Date]])</f>
        <v>12</v>
      </c>
      <c r="J991" t="str">
        <f t="shared" si="61"/>
        <v>Q4</v>
      </c>
      <c r="K991" t="str">
        <f t="shared" si="62"/>
        <v>Dec-2022</v>
      </c>
      <c r="L991" t="str">
        <f t="shared" si="63"/>
        <v>Medium</v>
      </c>
    </row>
    <row r="992" spans="1:12" x14ac:dyDescent="0.3">
      <c r="A992">
        <v>2022</v>
      </c>
      <c r="B992" s="2" t="s">
        <v>28</v>
      </c>
      <c r="C992" t="s">
        <v>8</v>
      </c>
      <c r="D992" t="s">
        <v>12</v>
      </c>
      <c r="E992">
        <v>6.53</v>
      </c>
      <c r="F992">
        <v>160.80000000000001</v>
      </c>
      <c r="G992">
        <v>3.29</v>
      </c>
      <c r="H992" s="3">
        <f t="shared" si="60"/>
        <v>44896</v>
      </c>
      <c r="I992">
        <f>MONTH(Table1[[#This Row],[Date]])</f>
        <v>12</v>
      </c>
      <c r="J992" t="str">
        <f t="shared" si="61"/>
        <v>Q4</v>
      </c>
      <c r="K992" t="str">
        <f t="shared" si="62"/>
        <v>Dec-2022</v>
      </c>
      <c r="L992" t="str">
        <f t="shared" si="63"/>
        <v>Medium</v>
      </c>
    </row>
    <row r="993" spans="1:12" x14ac:dyDescent="0.3">
      <c r="A993">
        <v>2022</v>
      </c>
      <c r="B993" s="2" t="s">
        <v>28</v>
      </c>
      <c r="C993" t="s">
        <v>8</v>
      </c>
      <c r="D993" t="s">
        <v>13</v>
      </c>
      <c r="E993">
        <v>10.07</v>
      </c>
      <c r="F993">
        <v>162.80000000000001</v>
      </c>
      <c r="G993">
        <v>3.37</v>
      </c>
      <c r="H993" s="3">
        <f t="shared" si="60"/>
        <v>44896</v>
      </c>
      <c r="I993">
        <f>MONTH(Table1[[#This Row],[Date]])</f>
        <v>12</v>
      </c>
      <c r="J993" t="str">
        <f t="shared" si="61"/>
        <v>Q4</v>
      </c>
      <c r="K993" t="str">
        <f t="shared" si="62"/>
        <v>Dec-2022</v>
      </c>
      <c r="L993" t="str">
        <f t="shared" si="63"/>
        <v>Medium</v>
      </c>
    </row>
    <row r="994" spans="1:12" x14ac:dyDescent="0.3">
      <c r="A994">
        <v>2022</v>
      </c>
      <c r="B994" s="2" t="s">
        <v>28</v>
      </c>
      <c r="C994" t="s">
        <v>8</v>
      </c>
      <c r="D994" t="s">
        <v>14</v>
      </c>
      <c r="E994">
        <v>6.84</v>
      </c>
      <c r="F994">
        <v>164.8</v>
      </c>
      <c r="G994">
        <v>3.45</v>
      </c>
      <c r="H994" s="3">
        <f t="shared" si="60"/>
        <v>44896</v>
      </c>
      <c r="I994">
        <f>MONTH(Table1[[#This Row],[Date]])</f>
        <v>12</v>
      </c>
      <c r="J994" t="str">
        <f t="shared" si="61"/>
        <v>Q4</v>
      </c>
      <c r="K994" t="str">
        <f t="shared" si="62"/>
        <v>Dec-2022</v>
      </c>
      <c r="L994" t="str">
        <f t="shared" si="63"/>
        <v>Medium</v>
      </c>
    </row>
    <row r="995" spans="1:12" x14ac:dyDescent="0.3">
      <c r="A995">
        <v>2022</v>
      </c>
      <c r="B995" s="2" t="s">
        <v>28</v>
      </c>
      <c r="C995" t="s">
        <v>8</v>
      </c>
      <c r="D995" t="s">
        <v>15</v>
      </c>
      <c r="E995">
        <v>28.32</v>
      </c>
      <c r="F995">
        <v>166.8</v>
      </c>
      <c r="G995">
        <v>3.53</v>
      </c>
      <c r="H995" s="3">
        <f t="shared" si="60"/>
        <v>44896</v>
      </c>
      <c r="I995">
        <f>MONTH(Table1[[#This Row],[Date]])</f>
        <v>12</v>
      </c>
      <c r="J995" t="str">
        <f t="shared" si="61"/>
        <v>Q4</v>
      </c>
      <c r="K995" t="str">
        <f t="shared" si="62"/>
        <v>Dec-2022</v>
      </c>
      <c r="L995" t="str">
        <f t="shared" si="63"/>
        <v>Medium</v>
      </c>
    </row>
    <row r="996" spans="1:12" x14ac:dyDescent="0.3">
      <c r="A996">
        <v>2022</v>
      </c>
      <c r="B996" s="2" t="s">
        <v>28</v>
      </c>
      <c r="C996" t="s">
        <v>16</v>
      </c>
      <c r="D996" t="s">
        <v>9</v>
      </c>
      <c r="E996">
        <v>100</v>
      </c>
      <c r="F996">
        <v>155.4</v>
      </c>
      <c r="G996">
        <v>3.05</v>
      </c>
      <c r="H996" s="3">
        <f t="shared" si="60"/>
        <v>44896</v>
      </c>
      <c r="I996">
        <f>MONTH(Table1[[#This Row],[Date]])</f>
        <v>12</v>
      </c>
      <c r="J996" t="str">
        <f t="shared" si="61"/>
        <v>Q4</v>
      </c>
      <c r="K996" t="str">
        <f t="shared" si="62"/>
        <v>Dec-2022</v>
      </c>
      <c r="L996" t="str">
        <f t="shared" si="63"/>
        <v>Medium</v>
      </c>
    </row>
    <row r="997" spans="1:12" x14ac:dyDescent="0.3">
      <c r="A997">
        <v>2022</v>
      </c>
      <c r="B997" s="2" t="s">
        <v>28</v>
      </c>
      <c r="C997" t="s">
        <v>16</v>
      </c>
      <c r="D997" t="s">
        <v>10</v>
      </c>
      <c r="E997">
        <v>45.86</v>
      </c>
      <c r="F997">
        <v>157.4</v>
      </c>
      <c r="G997">
        <v>3.13</v>
      </c>
      <c r="H997" s="3">
        <f t="shared" si="60"/>
        <v>44896</v>
      </c>
      <c r="I997">
        <f>MONTH(Table1[[#This Row],[Date]])</f>
        <v>12</v>
      </c>
      <c r="J997" t="str">
        <f t="shared" si="61"/>
        <v>Q4</v>
      </c>
      <c r="K997" t="str">
        <f t="shared" si="62"/>
        <v>Dec-2022</v>
      </c>
      <c r="L997" t="str">
        <f t="shared" si="63"/>
        <v>Medium</v>
      </c>
    </row>
    <row r="998" spans="1:12" x14ac:dyDescent="0.3">
      <c r="A998">
        <v>2022</v>
      </c>
      <c r="B998" s="2" t="s">
        <v>28</v>
      </c>
      <c r="C998" t="s">
        <v>16</v>
      </c>
      <c r="D998" t="s">
        <v>11</v>
      </c>
      <c r="E998">
        <v>2.38</v>
      </c>
      <c r="F998">
        <v>159.4</v>
      </c>
      <c r="G998">
        <v>3.21</v>
      </c>
      <c r="H998" s="3">
        <f t="shared" si="60"/>
        <v>44896</v>
      </c>
      <c r="I998">
        <f>MONTH(Table1[[#This Row],[Date]])</f>
        <v>12</v>
      </c>
      <c r="J998" t="str">
        <f t="shared" si="61"/>
        <v>Q4</v>
      </c>
      <c r="K998" t="str">
        <f t="shared" si="62"/>
        <v>Dec-2022</v>
      </c>
      <c r="L998" t="str">
        <f t="shared" si="63"/>
        <v>Medium</v>
      </c>
    </row>
    <row r="999" spans="1:12" x14ac:dyDescent="0.3">
      <c r="A999">
        <v>2022</v>
      </c>
      <c r="B999" s="2" t="s">
        <v>28</v>
      </c>
      <c r="C999" t="s">
        <v>16</v>
      </c>
      <c r="D999" t="s">
        <v>12</v>
      </c>
      <c r="E999">
        <v>6.53</v>
      </c>
      <c r="F999">
        <v>161.4</v>
      </c>
      <c r="G999">
        <v>3.29</v>
      </c>
      <c r="H999" s="3">
        <f t="shared" si="60"/>
        <v>44896</v>
      </c>
      <c r="I999">
        <f>MONTH(Table1[[#This Row],[Date]])</f>
        <v>12</v>
      </c>
      <c r="J999" t="str">
        <f t="shared" si="61"/>
        <v>Q4</v>
      </c>
      <c r="K999" t="str">
        <f t="shared" si="62"/>
        <v>Dec-2022</v>
      </c>
      <c r="L999" t="str">
        <f t="shared" si="63"/>
        <v>Medium</v>
      </c>
    </row>
    <row r="1000" spans="1:12" x14ac:dyDescent="0.3">
      <c r="A1000">
        <v>2022</v>
      </c>
      <c r="B1000" s="2" t="s">
        <v>28</v>
      </c>
      <c r="C1000" t="s">
        <v>16</v>
      </c>
      <c r="D1000" t="s">
        <v>13</v>
      </c>
      <c r="E1000">
        <v>10.07</v>
      </c>
      <c r="F1000">
        <v>163.4</v>
      </c>
      <c r="G1000">
        <v>3.37</v>
      </c>
      <c r="H1000" s="3">
        <f t="shared" si="60"/>
        <v>44896</v>
      </c>
      <c r="I1000">
        <f>MONTH(Table1[[#This Row],[Date]])</f>
        <v>12</v>
      </c>
      <c r="J1000" t="str">
        <f t="shared" si="61"/>
        <v>Q4</v>
      </c>
      <c r="K1000" t="str">
        <f t="shared" si="62"/>
        <v>Dec-2022</v>
      </c>
      <c r="L1000" t="str">
        <f t="shared" si="63"/>
        <v>Medium</v>
      </c>
    </row>
    <row r="1001" spans="1:12" x14ac:dyDescent="0.3">
      <c r="A1001">
        <v>2022</v>
      </c>
      <c r="B1001" s="2" t="s">
        <v>28</v>
      </c>
      <c r="C1001" t="s">
        <v>16</v>
      </c>
      <c r="D1001" t="s">
        <v>14</v>
      </c>
      <c r="E1001">
        <v>6.84</v>
      </c>
      <c r="F1001">
        <v>165.4</v>
      </c>
      <c r="G1001">
        <v>3.45</v>
      </c>
      <c r="H1001" s="3">
        <f t="shared" si="60"/>
        <v>44896</v>
      </c>
      <c r="I1001">
        <f>MONTH(Table1[[#This Row],[Date]])</f>
        <v>12</v>
      </c>
      <c r="J1001" t="str">
        <f t="shared" si="61"/>
        <v>Q4</v>
      </c>
      <c r="K1001" t="str">
        <f t="shared" si="62"/>
        <v>Dec-2022</v>
      </c>
      <c r="L1001" t="str">
        <f t="shared" si="63"/>
        <v>Medium</v>
      </c>
    </row>
    <row r="1002" spans="1:12" x14ac:dyDescent="0.3">
      <c r="A1002">
        <v>2022</v>
      </c>
      <c r="B1002" s="2" t="s">
        <v>28</v>
      </c>
      <c r="C1002" t="s">
        <v>16</v>
      </c>
      <c r="D1002" t="s">
        <v>15</v>
      </c>
      <c r="E1002">
        <v>28.32</v>
      </c>
      <c r="F1002">
        <v>167.4</v>
      </c>
      <c r="G1002">
        <v>3.53</v>
      </c>
      <c r="H1002" s="3">
        <f t="shared" si="60"/>
        <v>44896</v>
      </c>
      <c r="I1002">
        <f>MONTH(Table1[[#This Row],[Date]])</f>
        <v>12</v>
      </c>
      <c r="J1002" t="str">
        <f t="shared" si="61"/>
        <v>Q4</v>
      </c>
      <c r="K1002" t="str">
        <f t="shared" si="62"/>
        <v>Dec-2022</v>
      </c>
      <c r="L1002" t="str">
        <f t="shared" si="63"/>
        <v>Medium</v>
      </c>
    </row>
    <row r="1003" spans="1:12" x14ac:dyDescent="0.3">
      <c r="A1003">
        <v>2022</v>
      </c>
      <c r="B1003" s="2" t="s">
        <v>28</v>
      </c>
      <c r="C1003" t="s">
        <v>17</v>
      </c>
      <c r="D1003" t="s">
        <v>9</v>
      </c>
      <c r="E1003">
        <v>100</v>
      </c>
      <c r="F1003">
        <v>156</v>
      </c>
      <c r="G1003">
        <v>3.05</v>
      </c>
      <c r="H1003" s="3">
        <f t="shared" si="60"/>
        <v>44896</v>
      </c>
      <c r="I1003">
        <f>MONTH(Table1[[#This Row],[Date]])</f>
        <v>12</v>
      </c>
      <c r="J1003" t="str">
        <f t="shared" si="61"/>
        <v>Q4</v>
      </c>
      <c r="K1003" t="str">
        <f t="shared" si="62"/>
        <v>Dec-2022</v>
      </c>
      <c r="L1003" t="str">
        <f t="shared" si="63"/>
        <v>Medium</v>
      </c>
    </row>
    <row r="1004" spans="1:12" x14ac:dyDescent="0.3">
      <c r="A1004">
        <v>2022</v>
      </c>
      <c r="B1004" s="2" t="s">
        <v>28</v>
      </c>
      <c r="C1004" t="s">
        <v>17</v>
      </c>
      <c r="D1004" t="s">
        <v>10</v>
      </c>
      <c r="E1004">
        <v>45.86</v>
      </c>
      <c r="F1004">
        <v>158</v>
      </c>
      <c r="G1004">
        <v>3.13</v>
      </c>
      <c r="H1004" s="3">
        <f t="shared" si="60"/>
        <v>44896</v>
      </c>
      <c r="I1004">
        <f>MONTH(Table1[[#This Row],[Date]])</f>
        <v>12</v>
      </c>
      <c r="J1004" t="str">
        <f t="shared" si="61"/>
        <v>Q4</v>
      </c>
      <c r="K1004" t="str">
        <f t="shared" si="62"/>
        <v>Dec-2022</v>
      </c>
      <c r="L1004" t="str">
        <f t="shared" si="63"/>
        <v>Medium</v>
      </c>
    </row>
    <row r="1005" spans="1:12" x14ac:dyDescent="0.3">
      <c r="A1005">
        <v>2022</v>
      </c>
      <c r="B1005" s="2" t="s">
        <v>28</v>
      </c>
      <c r="C1005" t="s">
        <v>17</v>
      </c>
      <c r="D1005" t="s">
        <v>11</v>
      </c>
      <c r="E1005">
        <v>2.38</v>
      </c>
      <c r="F1005">
        <v>160</v>
      </c>
      <c r="G1005">
        <v>3.21</v>
      </c>
      <c r="H1005" s="3">
        <f t="shared" si="60"/>
        <v>44896</v>
      </c>
      <c r="I1005">
        <f>MONTH(Table1[[#This Row],[Date]])</f>
        <v>12</v>
      </c>
      <c r="J1005" t="str">
        <f t="shared" si="61"/>
        <v>Q4</v>
      </c>
      <c r="K1005" t="str">
        <f t="shared" si="62"/>
        <v>Dec-2022</v>
      </c>
      <c r="L1005" t="str">
        <f t="shared" si="63"/>
        <v>Medium</v>
      </c>
    </row>
    <row r="1006" spans="1:12" x14ac:dyDescent="0.3">
      <c r="A1006">
        <v>2022</v>
      </c>
      <c r="B1006" s="2" t="s">
        <v>28</v>
      </c>
      <c r="C1006" t="s">
        <v>17</v>
      </c>
      <c r="D1006" t="s">
        <v>12</v>
      </c>
      <c r="E1006">
        <v>6.53</v>
      </c>
      <c r="F1006">
        <v>162</v>
      </c>
      <c r="G1006">
        <v>3.29</v>
      </c>
      <c r="H1006" s="3">
        <f t="shared" si="60"/>
        <v>44896</v>
      </c>
      <c r="I1006">
        <f>MONTH(Table1[[#This Row],[Date]])</f>
        <v>12</v>
      </c>
      <c r="J1006" t="str">
        <f t="shared" si="61"/>
        <v>Q4</v>
      </c>
      <c r="K1006" t="str">
        <f t="shared" si="62"/>
        <v>Dec-2022</v>
      </c>
      <c r="L1006" t="str">
        <f t="shared" si="63"/>
        <v>Medium</v>
      </c>
    </row>
    <row r="1007" spans="1:12" x14ac:dyDescent="0.3">
      <c r="A1007">
        <v>2022</v>
      </c>
      <c r="B1007" s="2" t="s">
        <v>28</v>
      </c>
      <c r="C1007" t="s">
        <v>17</v>
      </c>
      <c r="D1007" t="s">
        <v>13</v>
      </c>
      <c r="E1007">
        <v>10.07</v>
      </c>
      <c r="F1007">
        <v>164</v>
      </c>
      <c r="G1007">
        <v>3.37</v>
      </c>
      <c r="H1007" s="3">
        <f t="shared" si="60"/>
        <v>44896</v>
      </c>
      <c r="I1007">
        <f>MONTH(Table1[[#This Row],[Date]])</f>
        <v>12</v>
      </c>
      <c r="J1007" t="str">
        <f t="shared" si="61"/>
        <v>Q4</v>
      </c>
      <c r="K1007" t="str">
        <f t="shared" si="62"/>
        <v>Dec-2022</v>
      </c>
      <c r="L1007" t="str">
        <f t="shared" si="63"/>
        <v>Medium</v>
      </c>
    </row>
    <row r="1008" spans="1:12" x14ac:dyDescent="0.3">
      <c r="A1008">
        <v>2022</v>
      </c>
      <c r="B1008" s="2" t="s">
        <v>28</v>
      </c>
      <c r="C1008" t="s">
        <v>17</v>
      </c>
      <c r="D1008" t="s">
        <v>14</v>
      </c>
      <c r="E1008">
        <v>6.84</v>
      </c>
      <c r="F1008">
        <v>166</v>
      </c>
      <c r="G1008">
        <v>3.45</v>
      </c>
      <c r="H1008" s="3">
        <f t="shared" si="60"/>
        <v>44896</v>
      </c>
      <c r="I1008">
        <f>MONTH(Table1[[#This Row],[Date]])</f>
        <v>12</v>
      </c>
      <c r="J1008" t="str">
        <f t="shared" si="61"/>
        <v>Q4</v>
      </c>
      <c r="K1008" t="str">
        <f t="shared" si="62"/>
        <v>Dec-2022</v>
      </c>
      <c r="L1008" t="str">
        <f t="shared" si="63"/>
        <v>Medium</v>
      </c>
    </row>
    <row r="1009" spans="1:12" x14ac:dyDescent="0.3">
      <c r="A1009">
        <v>2022</v>
      </c>
      <c r="B1009" s="2" t="s">
        <v>28</v>
      </c>
      <c r="C1009" t="s">
        <v>17</v>
      </c>
      <c r="D1009" t="s">
        <v>15</v>
      </c>
      <c r="E1009">
        <v>28.32</v>
      </c>
      <c r="F1009">
        <v>168</v>
      </c>
      <c r="G1009">
        <v>3.53</v>
      </c>
      <c r="H1009" s="3">
        <f t="shared" si="60"/>
        <v>44896</v>
      </c>
      <c r="I1009">
        <f>MONTH(Table1[[#This Row],[Date]])</f>
        <v>12</v>
      </c>
      <c r="J1009" t="str">
        <f t="shared" si="61"/>
        <v>Q4</v>
      </c>
      <c r="K1009" t="str">
        <f t="shared" si="62"/>
        <v>Dec-2022</v>
      </c>
      <c r="L1009" t="str">
        <f t="shared" si="63"/>
        <v>Medium</v>
      </c>
    </row>
    <row r="1010" spans="1:12" x14ac:dyDescent="0.3">
      <c r="A1010">
        <v>2023</v>
      </c>
      <c r="B1010" s="2" t="s">
        <v>7</v>
      </c>
      <c r="C1010" t="s">
        <v>8</v>
      </c>
      <c r="D1010" t="s">
        <v>9</v>
      </c>
      <c r="E1010">
        <v>100</v>
      </c>
      <c r="F1010">
        <v>155.4</v>
      </c>
      <c r="G1010">
        <v>3.55</v>
      </c>
      <c r="H1010" s="3">
        <f t="shared" si="60"/>
        <v>44927</v>
      </c>
      <c r="I1010">
        <f>MONTH(Table1[[#This Row],[Date]])</f>
        <v>1</v>
      </c>
      <c r="J1010" t="str">
        <f t="shared" si="61"/>
        <v>Q1</v>
      </c>
      <c r="K1010" t="str">
        <f t="shared" si="62"/>
        <v>Jan-2023</v>
      </c>
      <c r="L1010" t="str">
        <f t="shared" si="63"/>
        <v>Medium</v>
      </c>
    </row>
    <row r="1011" spans="1:12" x14ac:dyDescent="0.3">
      <c r="A1011">
        <v>2023</v>
      </c>
      <c r="B1011" s="2" t="s">
        <v>7</v>
      </c>
      <c r="C1011" t="s">
        <v>8</v>
      </c>
      <c r="D1011" t="s">
        <v>10</v>
      </c>
      <c r="E1011">
        <v>45.86</v>
      </c>
      <c r="F1011">
        <v>157.4</v>
      </c>
      <c r="G1011">
        <v>3.63</v>
      </c>
      <c r="H1011" s="3">
        <f t="shared" si="60"/>
        <v>44927</v>
      </c>
      <c r="I1011">
        <f>MONTH(Table1[[#This Row],[Date]])</f>
        <v>1</v>
      </c>
      <c r="J1011" t="str">
        <f t="shared" si="61"/>
        <v>Q1</v>
      </c>
      <c r="K1011" t="str">
        <f t="shared" si="62"/>
        <v>Jan-2023</v>
      </c>
      <c r="L1011" t="str">
        <f t="shared" si="63"/>
        <v>Medium</v>
      </c>
    </row>
    <row r="1012" spans="1:12" x14ac:dyDescent="0.3">
      <c r="A1012">
        <v>2023</v>
      </c>
      <c r="B1012" s="2" t="s">
        <v>7</v>
      </c>
      <c r="C1012" t="s">
        <v>8</v>
      </c>
      <c r="D1012" t="s">
        <v>11</v>
      </c>
      <c r="E1012">
        <v>2.38</v>
      </c>
      <c r="F1012">
        <v>159.4</v>
      </c>
      <c r="G1012">
        <v>3.71</v>
      </c>
      <c r="H1012" s="3">
        <f t="shared" si="60"/>
        <v>44927</v>
      </c>
      <c r="I1012">
        <f>MONTH(Table1[[#This Row],[Date]])</f>
        <v>1</v>
      </c>
      <c r="J1012" t="str">
        <f t="shared" si="61"/>
        <v>Q1</v>
      </c>
      <c r="K1012" t="str">
        <f t="shared" si="62"/>
        <v>Jan-2023</v>
      </c>
      <c r="L1012" t="str">
        <f t="shared" si="63"/>
        <v>Medium</v>
      </c>
    </row>
    <row r="1013" spans="1:12" x14ac:dyDescent="0.3">
      <c r="A1013">
        <v>2023</v>
      </c>
      <c r="B1013" s="2" t="s">
        <v>7</v>
      </c>
      <c r="C1013" t="s">
        <v>8</v>
      </c>
      <c r="D1013" t="s">
        <v>12</v>
      </c>
      <c r="E1013">
        <v>6.53</v>
      </c>
      <c r="F1013">
        <v>161.4</v>
      </c>
      <c r="G1013">
        <v>3.79</v>
      </c>
      <c r="H1013" s="3">
        <f t="shared" si="60"/>
        <v>44927</v>
      </c>
      <c r="I1013">
        <f>MONTH(Table1[[#This Row],[Date]])</f>
        <v>1</v>
      </c>
      <c r="J1013" t="str">
        <f t="shared" si="61"/>
        <v>Q1</v>
      </c>
      <c r="K1013" t="str">
        <f t="shared" si="62"/>
        <v>Jan-2023</v>
      </c>
      <c r="L1013" t="str">
        <f t="shared" si="63"/>
        <v>Medium</v>
      </c>
    </row>
    <row r="1014" spans="1:12" x14ac:dyDescent="0.3">
      <c r="A1014">
        <v>2023</v>
      </c>
      <c r="B1014" s="2" t="s">
        <v>7</v>
      </c>
      <c r="C1014" t="s">
        <v>8</v>
      </c>
      <c r="D1014" t="s">
        <v>13</v>
      </c>
      <c r="E1014">
        <v>10.07</v>
      </c>
      <c r="F1014">
        <v>163.4</v>
      </c>
      <c r="G1014">
        <v>3.87</v>
      </c>
      <c r="H1014" s="3">
        <f t="shared" si="60"/>
        <v>44927</v>
      </c>
      <c r="I1014">
        <f>MONTH(Table1[[#This Row],[Date]])</f>
        <v>1</v>
      </c>
      <c r="J1014" t="str">
        <f t="shared" si="61"/>
        <v>Q1</v>
      </c>
      <c r="K1014" t="str">
        <f t="shared" si="62"/>
        <v>Jan-2023</v>
      </c>
      <c r="L1014" t="str">
        <f t="shared" si="63"/>
        <v>Medium</v>
      </c>
    </row>
    <row r="1015" spans="1:12" x14ac:dyDescent="0.3">
      <c r="A1015">
        <v>2023</v>
      </c>
      <c r="B1015" s="2" t="s">
        <v>7</v>
      </c>
      <c r="C1015" t="s">
        <v>8</v>
      </c>
      <c r="D1015" t="s">
        <v>14</v>
      </c>
      <c r="E1015">
        <v>6.84</v>
      </c>
      <c r="F1015">
        <v>165.4</v>
      </c>
      <c r="G1015">
        <v>3.95</v>
      </c>
      <c r="H1015" s="3">
        <f t="shared" si="60"/>
        <v>44927</v>
      </c>
      <c r="I1015">
        <f>MONTH(Table1[[#This Row],[Date]])</f>
        <v>1</v>
      </c>
      <c r="J1015" t="str">
        <f t="shared" si="61"/>
        <v>Q1</v>
      </c>
      <c r="K1015" t="str">
        <f t="shared" si="62"/>
        <v>Jan-2023</v>
      </c>
      <c r="L1015" t="str">
        <f t="shared" si="63"/>
        <v>Medium</v>
      </c>
    </row>
    <row r="1016" spans="1:12" x14ac:dyDescent="0.3">
      <c r="A1016">
        <v>2023</v>
      </c>
      <c r="B1016" s="2" t="s">
        <v>7</v>
      </c>
      <c r="C1016" t="s">
        <v>8</v>
      </c>
      <c r="D1016" t="s">
        <v>15</v>
      </c>
      <c r="E1016">
        <v>28.32</v>
      </c>
      <c r="F1016">
        <v>167.4</v>
      </c>
      <c r="G1016">
        <v>4.03</v>
      </c>
      <c r="H1016" s="3">
        <f t="shared" si="60"/>
        <v>44927</v>
      </c>
      <c r="I1016">
        <f>MONTH(Table1[[#This Row],[Date]])</f>
        <v>1</v>
      </c>
      <c r="J1016" t="str">
        <f t="shared" si="61"/>
        <v>Q1</v>
      </c>
      <c r="K1016" t="str">
        <f t="shared" si="62"/>
        <v>Jan-2023</v>
      </c>
      <c r="L1016" t="str">
        <f t="shared" si="63"/>
        <v>High</v>
      </c>
    </row>
    <row r="1017" spans="1:12" x14ac:dyDescent="0.3">
      <c r="A1017">
        <v>2023</v>
      </c>
      <c r="B1017" s="2" t="s">
        <v>7</v>
      </c>
      <c r="C1017" t="s">
        <v>16</v>
      </c>
      <c r="D1017" t="s">
        <v>9</v>
      </c>
      <c r="E1017">
        <v>100</v>
      </c>
      <c r="F1017">
        <v>156</v>
      </c>
      <c r="G1017">
        <v>3.55</v>
      </c>
      <c r="H1017" s="3">
        <f t="shared" si="60"/>
        <v>44927</v>
      </c>
      <c r="I1017">
        <f>MONTH(Table1[[#This Row],[Date]])</f>
        <v>1</v>
      </c>
      <c r="J1017" t="str">
        <f t="shared" si="61"/>
        <v>Q1</v>
      </c>
      <c r="K1017" t="str">
        <f t="shared" si="62"/>
        <v>Jan-2023</v>
      </c>
      <c r="L1017" t="str">
        <f t="shared" si="63"/>
        <v>Medium</v>
      </c>
    </row>
    <row r="1018" spans="1:12" x14ac:dyDescent="0.3">
      <c r="A1018">
        <v>2023</v>
      </c>
      <c r="B1018" s="2" t="s">
        <v>7</v>
      </c>
      <c r="C1018" t="s">
        <v>16</v>
      </c>
      <c r="D1018" t="s">
        <v>10</v>
      </c>
      <c r="E1018">
        <v>45.86</v>
      </c>
      <c r="F1018">
        <v>158</v>
      </c>
      <c r="G1018">
        <v>3.63</v>
      </c>
      <c r="H1018" s="3">
        <f t="shared" si="60"/>
        <v>44927</v>
      </c>
      <c r="I1018">
        <f>MONTH(Table1[[#This Row],[Date]])</f>
        <v>1</v>
      </c>
      <c r="J1018" t="str">
        <f t="shared" si="61"/>
        <v>Q1</v>
      </c>
      <c r="K1018" t="str">
        <f t="shared" si="62"/>
        <v>Jan-2023</v>
      </c>
      <c r="L1018" t="str">
        <f t="shared" si="63"/>
        <v>Medium</v>
      </c>
    </row>
    <row r="1019" spans="1:12" x14ac:dyDescent="0.3">
      <c r="A1019">
        <v>2023</v>
      </c>
      <c r="B1019" s="2" t="s">
        <v>7</v>
      </c>
      <c r="C1019" t="s">
        <v>16</v>
      </c>
      <c r="D1019" t="s">
        <v>11</v>
      </c>
      <c r="E1019">
        <v>2.38</v>
      </c>
      <c r="F1019">
        <v>160</v>
      </c>
      <c r="G1019">
        <v>3.71</v>
      </c>
      <c r="H1019" s="3">
        <f t="shared" si="60"/>
        <v>44927</v>
      </c>
      <c r="I1019">
        <f>MONTH(Table1[[#This Row],[Date]])</f>
        <v>1</v>
      </c>
      <c r="J1019" t="str">
        <f t="shared" si="61"/>
        <v>Q1</v>
      </c>
      <c r="K1019" t="str">
        <f t="shared" si="62"/>
        <v>Jan-2023</v>
      </c>
      <c r="L1019" t="str">
        <f t="shared" si="63"/>
        <v>Medium</v>
      </c>
    </row>
    <row r="1020" spans="1:12" x14ac:dyDescent="0.3">
      <c r="A1020">
        <v>2023</v>
      </c>
      <c r="B1020" s="2" t="s">
        <v>7</v>
      </c>
      <c r="C1020" t="s">
        <v>16</v>
      </c>
      <c r="D1020" t="s">
        <v>12</v>
      </c>
      <c r="E1020">
        <v>6.53</v>
      </c>
      <c r="F1020">
        <v>162</v>
      </c>
      <c r="G1020">
        <v>3.79</v>
      </c>
      <c r="H1020" s="3">
        <f t="shared" si="60"/>
        <v>44927</v>
      </c>
      <c r="I1020">
        <f>MONTH(Table1[[#This Row],[Date]])</f>
        <v>1</v>
      </c>
      <c r="J1020" t="str">
        <f t="shared" si="61"/>
        <v>Q1</v>
      </c>
      <c r="K1020" t="str">
        <f t="shared" si="62"/>
        <v>Jan-2023</v>
      </c>
      <c r="L1020" t="str">
        <f t="shared" si="63"/>
        <v>Medium</v>
      </c>
    </row>
    <row r="1021" spans="1:12" x14ac:dyDescent="0.3">
      <c r="A1021">
        <v>2023</v>
      </c>
      <c r="B1021" s="2" t="s">
        <v>7</v>
      </c>
      <c r="C1021" t="s">
        <v>16</v>
      </c>
      <c r="D1021" t="s">
        <v>13</v>
      </c>
      <c r="E1021">
        <v>10.07</v>
      </c>
      <c r="F1021">
        <v>164</v>
      </c>
      <c r="G1021">
        <v>3.87</v>
      </c>
      <c r="H1021" s="3">
        <f t="shared" si="60"/>
        <v>44927</v>
      </c>
      <c r="I1021">
        <f>MONTH(Table1[[#This Row],[Date]])</f>
        <v>1</v>
      </c>
      <c r="J1021" t="str">
        <f t="shared" si="61"/>
        <v>Q1</v>
      </c>
      <c r="K1021" t="str">
        <f t="shared" si="62"/>
        <v>Jan-2023</v>
      </c>
      <c r="L1021" t="str">
        <f t="shared" si="63"/>
        <v>Medium</v>
      </c>
    </row>
    <row r="1022" spans="1:12" x14ac:dyDescent="0.3">
      <c r="A1022">
        <v>2023</v>
      </c>
      <c r="B1022" s="2" t="s">
        <v>7</v>
      </c>
      <c r="C1022" t="s">
        <v>16</v>
      </c>
      <c r="D1022" t="s">
        <v>14</v>
      </c>
      <c r="E1022">
        <v>6.84</v>
      </c>
      <c r="F1022">
        <v>166</v>
      </c>
      <c r="G1022">
        <v>3.95</v>
      </c>
      <c r="H1022" s="3">
        <f t="shared" si="60"/>
        <v>44927</v>
      </c>
      <c r="I1022">
        <f>MONTH(Table1[[#This Row],[Date]])</f>
        <v>1</v>
      </c>
      <c r="J1022" t="str">
        <f t="shared" si="61"/>
        <v>Q1</v>
      </c>
      <c r="K1022" t="str">
        <f t="shared" si="62"/>
        <v>Jan-2023</v>
      </c>
      <c r="L1022" t="str">
        <f t="shared" si="63"/>
        <v>Medium</v>
      </c>
    </row>
    <row r="1023" spans="1:12" x14ac:dyDescent="0.3">
      <c r="A1023">
        <v>2023</v>
      </c>
      <c r="B1023" s="2" t="s">
        <v>7</v>
      </c>
      <c r="C1023" t="s">
        <v>16</v>
      </c>
      <c r="D1023" t="s">
        <v>15</v>
      </c>
      <c r="E1023">
        <v>28.32</v>
      </c>
      <c r="F1023">
        <v>168</v>
      </c>
      <c r="G1023">
        <v>4.03</v>
      </c>
      <c r="H1023" s="3">
        <f t="shared" si="60"/>
        <v>44927</v>
      </c>
      <c r="I1023">
        <f>MONTH(Table1[[#This Row],[Date]])</f>
        <v>1</v>
      </c>
      <c r="J1023" t="str">
        <f t="shared" si="61"/>
        <v>Q1</v>
      </c>
      <c r="K1023" t="str">
        <f t="shared" si="62"/>
        <v>Jan-2023</v>
      </c>
      <c r="L1023" t="str">
        <f t="shared" si="63"/>
        <v>High</v>
      </c>
    </row>
    <row r="1024" spans="1:12" x14ac:dyDescent="0.3">
      <c r="A1024">
        <v>2023</v>
      </c>
      <c r="B1024" s="2" t="s">
        <v>7</v>
      </c>
      <c r="C1024" t="s">
        <v>17</v>
      </c>
      <c r="D1024" t="s">
        <v>9</v>
      </c>
      <c r="E1024">
        <v>100</v>
      </c>
      <c r="F1024">
        <v>156.6</v>
      </c>
      <c r="G1024">
        <v>3.55</v>
      </c>
      <c r="H1024" s="3">
        <f t="shared" si="60"/>
        <v>44927</v>
      </c>
      <c r="I1024">
        <f>MONTH(Table1[[#This Row],[Date]])</f>
        <v>1</v>
      </c>
      <c r="J1024" t="str">
        <f t="shared" si="61"/>
        <v>Q1</v>
      </c>
      <c r="K1024" t="str">
        <f t="shared" si="62"/>
        <v>Jan-2023</v>
      </c>
      <c r="L1024" t="str">
        <f t="shared" si="63"/>
        <v>Medium</v>
      </c>
    </row>
    <row r="1025" spans="1:12" x14ac:dyDescent="0.3">
      <c r="A1025">
        <v>2023</v>
      </c>
      <c r="B1025" s="2" t="s">
        <v>7</v>
      </c>
      <c r="C1025" t="s">
        <v>17</v>
      </c>
      <c r="D1025" t="s">
        <v>10</v>
      </c>
      <c r="E1025">
        <v>45.86</v>
      </c>
      <c r="F1025">
        <v>158.6</v>
      </c>
      <c r="G1025">
        <v>3.63</v>
      </c>
      <c r="H1025" s="3">
        <f t="shared" si="60"/>
        <v>44927</v>
      </c>
      <c r="I1025">
        <f>MONTH(Table1[[#This Row],[Date]])</f>
        <v>1</v>
      </c>
      <c r="J1025" t="str">
        <f t="shared" si="61"/>
        <v>Q1</v>
      </c>
      <c r="K1025" t="str">
        <f t="shared" si="62"/>
        <v>Jan-2023</v>
      </c>
      <c r="L1025" t="str">
        <f t="shared" si="63"/>
        <v>Medium</v>
      </c>
    </row>
    <row r="1026" spans="1:12" x14ac:dyDescent="0.3">
      <c r="A1026">
        <v>2023</v>
      </c>
      <c r="B1026" s="2" t="s">
        <v>7</v>
      </c>
      <c r="C1026" t="s">
        <v>17</v>
      </c>
      <c r="D1026" t="s">
        <v>11</v>
      </c>
      <c r="E1026">
        <v>2.38</v>
      </c>
      <c r="F1026">
        <v>160.6</v>
      </c>
      <c r="G1026">
        <v>3.71</v>
      </c>
      <c r="H1026" s="3">
        <f t="shared" ref="H1026:H1089" si="64">DATE(A1026,MONTH(DATEVALUE(B1026&amp;" 1")),1)</f>
        <v>44927</v>
      </c>
      <c r="I1026">
        <f>MONTH(Table1[[#This Row],[Date]])</f>
        <v>1</v>
      </c>
      <c r="J1026" t="str">
        <f t="shared" ref="J1026:J1089" si="65">"Q"&amp;ROUNDUP(MONTH(H1026)/3,0)</f>
        <v>Q1</v>
      </c>
      <c r="K1026" t="str">
        <f t="shared" ref="K1026:K1089" si="66">TEXT(H1026,"mmm-yyyy")</f>
        <v>Jan-2023</v>
      </c>
      <c r="L1026" t="str">
        <f t="shared" ref="L1026:L1089" si="67">IF(G1026&lt;3,"Low",IF(G1026&lt;4,"Medium","High"))</f>
        <v>Medium</v>
      </c>
    </row>
    <row r="1027" spans="1:12" x14ac:dyDescent="0.3">
      <c r="A1027">
        <v>2023</v>
      </c>
      <c r="B1027" s="2" t="s">
        <v>7</v>
      </c>
      <c r="C1027" t="s">
        <v>17</v>
      </c>
      <c r="D1027" t="s">
        <v>12</v>
      </c>
      <c r="E1027">
        <v>6.53</v>
      </c>
      <c r="F1027">
        <v>162.6</v>
      </c>
      <c r="G1027">
        <v>3.79</v>
      </c>
      <c r="H1027" s="3">
        <f t="shared" si="64"/>
        <v>44927</v>
      </c>
      <c r="I1027">
        <f>MONTH(Table1[[#This Row],[Date]])</f>
        <v>1</v>
      </c>
      <c r="J1027" t="str">
        <f t="shared" si="65"/>
        <v>Q1</v>
      </c>
      <c r="K1027" t="str">
        <f t="shared" si="66"/>
        <v>Jan-2023</v>
      </c>
      <c r="L1027" t="str">
        <f t="shared" si="67"/>
        <v>Medium</v>
      </c>
    </row>
    <row r="1028" spans="1:12" x14ac:dyDescent="0.3">
      <c r="A1028">
        <v>2023</v>
      </c>
      <c r="B1028" s="2" t="s">
        <v>7</v>
      </c>
      <c r="C1028" t="s">
        <v>17</v>
      </c>
      <c r="D1028" t="s">
        <v>13</v>
      </c>
      <c r="E1028">
        <v>10.07</v>
      </c>
      <c r="F1028">
        <v>164.6</v>
      </c>
      <c r="G1028">
        <v>3.87</v>
      </c>
      <c r="H1028" s="3">
        <f t="shared" si="64"/>
        <v>44927</v>
      </c>
      <c r="I1028">
        <f>MONTH(Table1[[#This Row],[Date]])</f>
        <v>1</v>
      </c>
      <c r="J1028" t="str">
        <f t="shared" si="65"/>
        <v>Q1</v>
      </c>
      <c r="K1028" t="str">
        <f t="shared" si="66"/>
        <v>Jan-2023</v>
      </c>
      <c r="L1028" t="str">
        <f t="shared" si="67"/>
        <v>Medium</v>
      </c>
    </row>
    <row r="1029" spans="1:12" x14ac:dyDescent="0.3">
      <c r="A1029">
        <v>2023</v>
      </c>
      <c r="B1029" s="2" t="s">
        <v>7</v>
      </c>
      <c r="C1029" t="s">
        <v>17</v>
      </c>
      <c r="D1029" t="s">
        <v>14</v>
      </c>
      <c r="E1029">
        <v>6.84</v>
      </c>
      <c r="F1029">
        <v>166.6</v>
      </c>
      <c r="G1029">
        <v>3.95</v>
      </c>
      <c r="H1029" s="3">
        <f t="shared" si="64"/>
        <v>44927</v>
      </c>
      <c r="I1029">
        <f>MONTH(Table1[[#This Row],[Date]])</f>
        <v>1</v>
      </c>
      <c r="J1029" t="str">
        <f t="shared" si="65"/>
        <v>Q1</v>
      </c>
      <c r="K1029" t="str">
        <f t="shared" si="66"/>
        <v>Jan-2023</v>
      </c>
      <c r="L1029" t="str">
        <f t="shared" si="67"/>
        <v>Medium</v>
      </c>
    </row>
    <row r="1030" spans="1:12" x14ac:dyDescent="0.3">
      <c r="A1030">
        <v>2023</v>
      </c>
      <c r="B1030" s="2" t="s">
        <v>7</v>
      </c>
      <c r="C1030" t="s">
        <v>17</v>
      </c>
      <c r="D1030" t="s">
        <v>15</v>
      </c>
      <c r="E1030">
        <v>28.32</v>
      </c>
      <c r="F1030">
        <v>168.6</v>
      </c>
      <c r="G1030">
        <v>4.03</v>
      </c>
      <c r="H1030" s="3">
        <f t="shared" si="64"/>
        <v>44927</v>
      </c>
      <c r="I1030">
        <f>MONTH(Table1[[#This Row],[Date]])</f>
        <v>1</v>
      </c>
      <c r="J1030" t="str">
        <f t="shared" si="65"/>
        <v>Q1</v>
      </c>
      <c r="K1030" t="str">
        <f t="shared" si="66"/>
        <v>Jan-2023</v>
      </c>
      <c r="L1030" t="str">
        <f t="shared" si="67"/>
        <v>High</v>
      </c>
    </row>
    <row r="1031" spans="1:12" x14ac:dyDescent="0.3">
      <c r="A1031">
        <v>2023</v>
      </c>
      <c r="B1031" s="2" t="s">
        <v>18</v>
      </c>
      <c r="C1031" t="s">
        <v>8</v>
      </c>
      <c r="D1031" t="s">
        <v>9</v>
      </c>
      <c r="E1031">
        <v>100</v>
      </c>
      <c r="F1031">
        <v>155.80000000000001</v>
      </c>
      <c r="G1031">
        <v>3.7</v>
      </c>
      <c r="H1031" s="3">
        <f t="shared" si="64"/>
        <v>44958</v>
      </c>
      <c r="I1031">
        <f>MONTH(Table1[[#This Row],[Date]])</f>
        <v>2</v>
      </c>
      <c r="J1031" t="str">
        <f t="shared" si="65"/>
        <v>Q1</v>
      </c>
      <c r="K1031" t="str">
        <f t="shared" si="66"/>
        <v>Feb-2023</v>
      </c>
      <c r="L1031" t="str">
        <f t="shared" si="67"/>
        <v>Medium</v>
      </c>
    </row>
    <row r="1032" spans="1:12" x14ac:dyDescent="0.3">
      <c r="A1032">
        <v>2023</v>
      </c>
      <c r="B1032" s="2" t="s">
        <v>18</v>
      </c>
      <c r="C1032" t="s">
        <v>8</v>
      </c>
      <c r="D1032" t="s">
        <v>10</v>
      </c>
      <c r="E1032">
        <v>45.86</v>
      </c>
      <c r="F1032">
        <v>157.80000000000001</v>
      </c>
      <c r="G1032">
        <v>3.78</v>
      </c>
      <c r="H1032" s="3">
        <f t="shared" si="64"/>
        <v>44958</v>
      </c>
      <c r="I1032">
        <f>MONTH(Table1[[#This Row],[Date]])</f>
        <v>2</v>
      </c>
      <c r="J1032" t="str">
        <f t="shared" si="65"/>
        <v>Q1</v>
      </c>
      <c r="K1032" t="str">
        <f t="shared" si="66"/>
        <v>Feb-2023</v>
      </c>
      <c r="L1032" t="str">
        <f t="shared" si="67"/>
        <v>Medium</v>
      </c>
    </row>
    <row r="1033" spans="1:12" x14ac:dyDescent="0.3">
      <c r="A1033">
        <v>2023</v>
      </c>
      <c r="B1033" s="2" t="s">
        <v>18</v>
      </c>
      <c r="C1033" t="s">
        <v>8</v>
      </c>
      <c r="D1033" t="s">
        <v>11</v>
      </c>
      <c r="E1033">
        <v>2.38</v>
      </c>
      <c r="F1033">
        <v>159.80000000000001</v>
      </c>
      <c r="G1033">
        <v>3.86</v>
      </c>
      <c r="H1033" s="3">
        <f t="shared" si="64"/>
        <v>44958</v>
      </c>
      <c r="I1033">
        <f>MONTH(Table1[[#This Row],[Date]])</f>
        <v>2</v>
      </c>
      <c r="J1033" t="str">
        <f t="shared" si="65"/>
        <v>Q1</v>
      </c>
      <c r="K1033" t="str">
        <f t="shared" si="66"/>
        <v>Feb-2023</v>
      </c>
      <c r="L1033" t="str">
        <f t="shared" si="67"/>
        <v>Medium</v>
      </c>
    </row>
    <row r="1034" spans="1:12" x14ac:dyDescent="0.3">
      <c r="A1034">
        <v>2023</v>
      </c>
      <c r="B1034" s="2" t="s">
        <v>18</v>
      </c>
      <c r="C1034" t="s">
        <v>8</v>
      </c>
      <c r="D1034" t="s">
        <v>12</v>
      </c>
      <c r="E1034">
        <v>6.53</v>
      </c>
      <c r="F1034">
        <v>161.80000000000001</v>
      </c>
      <c r="G1034">
        <v>3.94</v>
      </c>
      <c r="H1034" s="3">
        <f t="shared" si="64"/>
        <v>44958</v>
      </c>
      <c r="I1034">
        <f>MONTH(Table1[[#This Row],[Date]])</f>
        <v>2</v>
      </c>
      <c r="J1034" t="str">
        <f t="shared" si="65"/>
        <v>Q1</v>
      </c>
      <c r="K1034" t="str">
        <f t="shared" si="66"/>
        <v>Feb-2023</v>
      </c>
      <c r="L1034" t="str">
        <f t="shared" si="67"/>
        <v>Medium</v>
      </c>
    </row>
    <row r="1035" spans="1:12" x14ac:dyDescent="0.3">
      <c r="A1035">
        <v>2023</v>
      </c>
      <c r="B1035" s="2" t="s">
        <v>18</v>
      </c>
      <c r="C1035" t="s">
        <v>8</v>
      </c>
      <c r="D1035" t="s">
        <v>13</v>
      </c>
      <c r="E1035">
        <v>10.07</v>
      </c>
      <c r="F1035">
        <v>163.80000000000001</v>
      </c>
      <c r="G1035">
        <v>4.0199999999999996</v>
      </c>
      <c r="H1035" s="3">
        <f t="shared" si="64"/>
        <v>44958</v>
      </c>
      <c r="I1035">
        <f>MONTH(Table1[[#This Row],[Date]])</f>
        <v>2</v>
      </c>
      <c r="J1035" t="str">
        <f t="shared" si="65"/>
        <v>Q1</v>
      </c>
      <c r="K1035" t="str">
        <f t="shared" si="66"/>
        <v>Feb-2023</v>
      </c>
      <c r="L1035" t="str">
        <f t="shared" si="67"/>
        <v>High</v>
      </c>
    </row>
    <row r="1036" spans="1:12" x14ac:dyDescent="0.3">
      <c r="A1036">
        <v>2023</v>
      </c>
      <c r="B1036" s="2" t="s">
        <v>18</v>
      </c>
      <c r="C1036" t="s">
        <v>8</v>
      </c>
      <c r="D1036" t="s">
        <v>14</v>
      </c>
      <c r="E1036">
        <v>6.84</v>
      </c>
      <c r="F1036">
        <v>165.8</v>
      </c>
      <c r="G1036">
        <v>4.0999999999999996</v>
      </c>
      <c r="H1036" s="3">
        <f t="shared" si="64"/>
        <v>44958</v>
      </c>
      <c r="I1036">
        <f>MONTH(Table1[[#This Row],[Date]])</f>
        <v>2</v>
      </c>
      <c r="J1036" t="str">
        <f t="shared" si="65"/>
        <v>Q1</v>
      </c>
      <c r="K1036" t="str">
        <f t="shared" si="66"/>
        <v>Feb-2023</v>
      </c>
      <c r="L1036" t="str">
        <f t="shared" si="67"/>
        <v>High</v>
      </c>
    </row>
    <row r="1037" spans="1:12" x14ac:dyDescent="0.3">
      <c r="A1037">
        <v>2023</v>
      </c>
      <c r="B1037" s="2" t="s">
        <v>18</v>
      </c>
      <c r="C1037" t="s">
        <v>8</v>
      </c>
      <c r="D1037" t="s">
        <v>15</v>
      </c>
      <c r="E1037">
        <v>28.32</v>
      </c>
      <c r="F1037">
        <v>167.8</v>
      </c>
      <c r="G1037">
        <v>4.18</v>
      </c>
      <c r="H1037" s="3">
        <f t="shared" si="64"/>
        <v>44958</v>
      </c>
      <c r="I1037">
        <f>MONTH(Table1[[#This Row],[Date]])</f>
        <v>2</v>
      </c>
      <c r="J1037" t="str">
        <f t="shared" si="65"/>
        <v>Q1</v>
      </c>
      <c r="K1037" t="str">
        <f t="shared" si="66"/>
        <v>Feb-2023</v>
      </c>
      <c r="L1037" t="str">
        <f t="shared" si="67"/>
        <v>High</v>
      </c>
    </row>
    <row r="1038" spans="1:12" x14ac:dyDescent="0.3">
      <c r="A1038">
        <v>2023</v>
      </c>
      <c r="B1038" s="2" t="s">
        <v>18</v>
      </c>
      <c r="C1038" t="s">
        <v>16</v>
      </c>
      <c r="D1038" t="s">
        <v>9</v>
      </c>
      <c r="E1038">
        <v>100</v>
      </c>
      <c r="F1038">
        <v>156.4</v>
      </c>
      <c r="G1038">
        <v>3.7</v>
      </c>
      <c r="H1038" s="3">
        <f t="shared" si="64"/>
        <v>44958</v>
      </c>
      <c r="I1038">
        <f>MONTH(Table1[[#This Row],[Date]])</f>
        <v>2</v>
      </c>
      <c r="J1038" t="str">
        <f t="shared" si="65"/>
        <v>Q1</v>
      </c>
      <c r="K1038" t="str">
        <f t="shared" si="66"/>
        <v>Feb-2023</v>
      </c>
      <c r="L1038" t="str">
        <f t="shared" si="67"/>
        <v>Medium</v>
      </c>
    </row>
    <row r="1039" spans="1:12" x14ac:dyDescent="0.3">
      <c r="A1039">
        <v>2023</v>
      </c>
      <c r="B1039" s="2" t="s">
        <v>18</v>
      </c>
      <c r="C1039" t="s">
        <v>16</v>
      </c>
      <c r="D1039" t="s">
        <v>10</v>
      </c>
      <c r="E1039">
        <v>45.86</v>
      </c>
      <c r="F1039">
        <v>158.4</v>
      </c>
      <c r="G1039">
        <v>3.78</v>
      </c>
      <c r="H1039" s="3">
        <f t="shared" si="64"/>
        <v>44958</v>
      </c>
      <c r="I1039">
        <f>MONTH(Table1[[#This Row],[Date]])</f>
        <v>2</v>
      </c>
      <c r="J1039" t="str">
        <f t="shared" si="65"/>
        <v>Q1</v>
      </c>
      <c r="K1039" t="str">
        <f t="shared" si="66"/>
        <v>Feb-2023</v>
      </c>
      <c r="L1039" t="str">
        <f t="shared" si="67"/>
        <v>Medium</v>
      </c>
    </row>
    <row r="1040" spans="1:12" x14ac:dyDescent="0.3">
      <c r="A1040">
        <v>2023</v>
      </c>
      <c r="B1040" s="2" t="s">
        <v>18</v>
      </c>
      <c r="C1040" t="s">
        <v>16</v>
      </c>
      <c r="D1040" t="s">
        <v>11</v>
      </c>
      <c r="E1040">
        <v>2.38</v>
      </c>
      <c r="F1040">
        <v>160.4</v>
      </c>
      <c r="G1040">
        <v>3.86</v>
      </c>
      <c r="H1040" s="3">
        <f t="shared" si="64"/>
        <v>44958</v>
      </c>
      <c r="I1040">
        <f>MONTH(Table1[[#This Row],[Date]])</f>
        <v>2</v>
      </c>
      <c r="J1040" t="str">
        <f t="shared" si="65"/>
        <v>Q1</v>
      </c>
      <c r="K1040" t="str">
        <f t="shared" si="66"/>
        <v>Feb-2023</v>
      </c>
      <c r="L1040" t="str">
        <f t="shared" si="67"/>
        <v>Medium</v>
      </c>
    </row>
    <row r="1041" spans="1:12" x14ac:dyDescent="0.3">
      <c r="A1041">
        <v>2023</v>
      </c>
      <c r="B1041" s="2" t="s">
        <v>18</v>
      </c>
      <c r="C1041" t="s">
        <v>16</v>
      </c>
      <c r="D1041" t="s">
        <v>12</v>
      </c>
      <c r="E1041">
        <v>6.53</v>
      </c>
      <c r="F1041">
        <v>162.4</v>
      </c>
      <c r="G1041">
        <v>3.94</v>
      </c>
      <c r="H1041" s="3">
        <f t="shared" si="64"/>
        <v>44958</v>
      </c>
      <c r="I1041">
        <f>MONTH(Table1[[#This Row],[Date]])</f>
        <v>2</v>
      </c>
      <c r="J1041" t="str">
        <f t="shared" si="65"/>
        <v>Q1</v>
      </c>
      <c r="K1041" t="str">
        <f t="shared" si="66"/>
        <v>Feb-2023</v>
      </c>
      <c r="L1041" t="str">
        <f t="shared" si="67"/>
        <v>Medium</v>
      </c>
    </row>
    <row r="1042" spans="1:12" x14ac:dyDescent="0.3">
      <c r="A1042">
        <v>2023</v>
      </c>
      <c r="B1042" s="2" t="s">
        <v>18</v>
      </c>
      <c r="C1042" t="s">
        <v>16</v>
      </c>
      <c r="D1042" t="s">
        <v>13</v>
      </c>
      <c r="E1042">
        <v>10.07</v>
      </c>
      <c r="F1042">
        <v>164.4</v>
      </c>
      <c r="G1042">
        <v>4.0199999999999996</v>
      </c>
      <c r="H1042" s="3">
        <f t="shared" si="64"/>
        <v>44958</v>
      </c>
      <c r="I1042">
        <f>MONTH(Table1[[#This Row],[Date]])</f>
        <v>2</v>
      </c>
      <c r="J1042" t="str">
        <f t="shared" si="65"/>
        <v>Q1</v>
      </c>
      <c r="K1042" t="str">
        <f t="shared" si="66"/>
        <v>Feb-2023</v>
      </c>
      <c r="L1042" t="str">
        <f t="shared" si="67"/>
        <v>High</v>
      </c>
    </row>
    <row r="1043" spans="1:12" x14ac:dyDescent="0.3">
      <c r="A1043">
        <v>2023</v>
      </c>
      <c r="B1043" s="2" t="s">
        <v>18</v>
      </c>
      <c r="C1043" t="s">
        <v>16</v>
      </c>
      <c r="D1043" t="s">
        <v>14</v>
      </c>
      <c r="E1043">
        <v>6.84</v>
      </c>
      <c r="F1043">
        <v>166.4</v>
      </c>
      <c r="G1043">
        <v>4.0999999999999996</v>
      </c>
      <c r="H1043" s="3">
        <f t="shared" si="64"/>
        <v>44958</v>
      </c>
      <c r="I1043">
        <f>MONTH(Table1[[#This Row],[Date]])</f>
        <v>2</v>
      </c>
      <c r="J1043" t="str">
        <f t="shared" si="65"/>
        <v>Q1</v>
      </c>
      <c r="K1043" t="str">
        <f t="shared" si="66"/>
        <v>Feb-2023</v>
      </c>
      <c r="L1043" t="str">
        <f t="shared" si="67"/>
        <v>High</v>
      </c>
    </row>
    <row r="1044" spans="1:12" x14ac:dyDescent="0.3">
      <c r="A1044">
        <v>2023</v>
      </c>
      <c r="B1044" s="2" t="s">
        <v>18</v>
      </c>
      <c r="C1044" t="s">
        <v>16</v>
      </c>
      <c r="D1044" t="s">
        <v>15</v>
      </c>
      <c r="E1044">
        <v>28.32</v>
      </c>
      <c r="F1044">
        <v>168.4</v>
      </c>
      <c r="G1044">
        <v>4.18</v>
      </c>
      <c r="H1044" s="3">
        <f t="shared" si="64"/>
        <v>44958</v>
      </c>
      <c r="I1044">
        <f>MONTH(Table1[[#This Row],[Date]])</f>
        <v>2</v>
      </c>
      <c r="J1044" t="str">
        <f t="shared" si="65"/>
        <v>Q1</v>
      </c>
      <c r="K1044" t="str">
        <f t="shared" si="66"/>
        <v>Feb-2023</v>
      </c>
      <c r="L1044" t="str">
        <f t="shared" si="67"/>
        <v>High</v>
      </c>
    </row>
    <row r="1045" spans="1:12" x14ac:dyDescent="0.3">
      <c r="A1045">
        <v>2023</v>
      </c>
      <c r="B1045" s="2" t="s">
        <v>18</v>
      </c>
      <c r="C1045" t="s">
        <v>17</v>
      </c>
      <c r="D1045" t="s">
        <v>9</v>
      </c>
      <c r="E1045">
        <v>100</v>
      </c>
      <c r="F1045">
        <v>157</v>
      </c>
      <c r="G1045">
        <v>3.7</v>
      </c>
      <c r="H1045" s="3">
        <f t="shared" si="64"/>
        <v>44958</v>
      </c>
      <c r="I1045">
        <f>MONTH(Table1[[#This Row],[Date]])</f>
        <v>2</v>
      </c>
      <c r="J1045" t="str">
        <f t="shared" si="65"/>
        <v>Q1</v>
      </c>
      <c r="K1045" t="str">
        <f t="shared" si="66"/>
        <v>Feb-2023</v>
      </c>
      <c r="L1045" t="str">
        <f t="shared" si="67"/>
        <v>Medium</v>
      </c>
    </row>
    <row r="1046" spans="1:12" x14ac:dyDescent="0.3">
      <c r="A1046">
        <v>2023</v>
      </c>
      <c r="B1046" s="2" t="s">
        <v>18</v>
      </c>
      <c r="C1046" t="s">
        <v>17</v>
      </c>
      <c r="D1046" t="s">
        <v>10</v>
      </c>
      <c r="E1046">
        <v>45.86</v>
      </c>
      <c r="F1046">
        <v>159</v>
      </c>
      <c r="G1046">
        <v>3.78</v>
      </c>
      <c r="H1046" s="3">
        <f t="shared" si="64"/>
        <v>44958</v>
      </c>
      <c r="I1046">
        <f>MONTH(Table1[[#This Row],[Date]])</f>
        <v>2</v>
      </c>
      <c r="J1046" t="str">
        <f t="shared" si="65"/>
        <v>Q1</v>
      </c>
      <c r="K1046" t="str">
        <f t="shared" si="66"/>
        <v>Feb-2023</v>
      </c>
      <c r="L1046" t="str">
        <f t="shared" si="67"/>
        <v>Medium</v>
      </c>
    </row>
    <row r="1047" spans="1:12" x14ac:dyDescent="0.3">
      <c r="A1047">
        <v>2023</v>
      </c>
      <c r="B1047" s="2" t="s">
        <v>18</v>
      </c>
      <c r="C1047" t="s">
        <v>17</v>
      </c>
      <c r="D1047" t="s">
        <v>11</v>
      </c>
      <c r="E1047">
        <v>2.38</v>
      </c>
      <c r="F1047">
        <v>161</v>
      </c>
      <c r="G1047">
        <v>3.86</v>
      </c>
      <c r="H1047" s="3">
        <f t="shared" si="64"/>
        <v>44958</v>
      </c>
      <c r="I1047">
        <f>MONTH(Table1[[#This Row],[Date]])</f>
        <v>2</v>
      </c>
      <c r="J1047" t="str">
        <f t="shared" si="65"/>
        <v>Q1</v>
      </c>
      <c r="K1047" t="str">
        <f t="shared" si="66"/>
        <v>Feb-2023</v>
      </c>
      <c r="L1047" t="str">
        <f t="shared" si="67"/>
        <v>Medium</v>
      </c>
    </row>
    <row r="1048" spans="1:12" x14ac:dyDescent="0.3">
      <c r="A1048">
        <v>2023</v>
      </c>
      <c r="B1048" s="2" t="s">
        <v>18</v>
      </c>
      <c r="C1048" t="s">
        <v>17</v>
      </c>
      <c r="D1048" t="s">
        <v>12</v>
      </c>
      <c r="E1048">
        <v>6.53</v>
      </c>
      <c r="F1048">
        <v>163</v>
      </c>
      <c r="G1048">
        <v>3.94</v>
      </c>
      <c r="H1048" s="3">
        <f t="shared" si="64"/>
        <v>44958</v>
      </c>
      <c r="I1048">
        <f>MONTH(Table1[[#This Row],[Date]])</f>
        <v>2</v>
      </c>
      <c r="J1048" t="str">
        <f t="shared" si="65"/>
        <v>Q1</v>
      </c>
      <c r="K1048" t="str">
        <f t="shared" si="66"/>
        <v>Feb-2023</v>
      </c>
      <c r="L1048" t="str">
        <f t="shared" si="67"/>
        <v>Medium</v>
      </c>
    </row>
    <row r="1049" spans="1:12" x14ac:dyDescent="0.3">
      <c r="A1049">
        <v>2023</v>
      </c>
      <c r="B1049" s="2" t="s">
        <v>18</v>
      </c>
      <c r="C1049" t="s">
        <v>17</v>
      </c>
      <c r="D1049" t="s">
        <v>13</v>
      </c>
      <c r="E1049">
        <v>10.07</v>
      </c>
      <c r="F1049">
        <v>165</v>
      </c>
      <c r="G1049">
        <v>4.0199999999999996</v>
      </c>
      <c r="H1049" s="3">
        <f t="shared" si="64"/>
        <v>44958</v>
      </c>
      <c r="I1049">
        <f>MONTH(Table1[[#This Row],[Date]])</f>
        <v>2</v>
      </c>
      <c r="J1049" t="str">
        <f t="shared" si="65"/>
        <v>Q1</v>
      </c>
      <c r="K1049" t="str">
        <f t="shared" si="66"/>
        <v>Feb-2023</v>
      </c>
      <c r="L1049" t="str">
        <f t="shared" si="67"/>
        <v>High</v>
      </c>
    </row>
    <row r="1050" spans="1:12" x14ac:dyDescent="0.3">
      <c r="A1050">
        <v>2023</v>
      </c>
      <c r="B1050" s="2" t="s">
        <v>18</v>
      </c>
      <c r="C1050" t="s">
        <v>17</v>
      </c>
      <c r="D1050" t="s">
        <v>14</v>
      </c>
      <c r="E1050">
        <v>6.84</v>
      </c>
      <c r="F1050">
        <v>167</v>
      </c>
      <c r="G1050">
        <v>4.0999999999999996</v>
      </c>
      <c r="H1050" s="3">
        <f t="shared" si="64"/>
        <v>44958</v>
      </c>
      <c r="I1050">
        <f>MONTH(Table1[[#This Row],[Date]])</f>
        <v>2</v>
      </c>
      <c r="J1050" t="str">
        <f t="shared" si="65"/>
        <v>Q1</v>
      </c>
      <c r="K1050" t="str">
        <f t="shared" si="66"/>
        <v>Feb-2023</v>
      </c>
      <c r="L1050" t="str">
        <f t="shared" si="67"/>
        <v>High</v>
      </c>
    </row>
    <row r="1051" spans="1:12" x14ac:dyDescent="0.3">
      <c r="A1051">
        <v>2023</v>
      </c>
      <c r="B1051" s="2" t="s">
        <v>18</v>
      </c>
      <c r="C1051" t="s">
        <v>17</v>
      </c>
      <c r="D1051" t="s">
        <v>15</v>
      </c>
      <c r="E1051">
        <v>28.32</v>
      </c>
      <c r="F1051">
        <v>169</v>
      </c>
      <c r="G1051">
        <v>4.18</v>
      </c>
      <c r="H1051" s="3">
        <f t="shared" si="64"/>
        <v>44958</v>
      </c>
      <c r="I1051">
        <f>MONTH(Table1[[#This Row],[Date]])</f>
        <v>2</v>
      </c>
      <c r="J1051" t="str">
        <f t="shared" si="65"/>
        <v>Q1</v>
      </c>
      <c r="K1051" t="str">
        <f t="shared" si="66"/>
        <v>Feb-2023</v>
      </c>
      <c r="L1051" t="str">
        <f t="shared" si="67"/>
        <v>High</v>
      </c>
    </row>
    <row r="1052" spans="1:12" x14ac:dyDescent="0.3">
      <c r="A1052">
        <v>2023</v>
      </c>
      <c r="B1052" s="2" t="s">
        <v>19</v>
      </c>
      <c r="C1052" t="s">
        <v>8</v>
      </c>
      <c r="D1052" t="s">
        <v>9</v>
      </c>
      <c r="E1052">
        <v>100</v>
      </c>
      <c r="F1052">
        <v>156.19999999999999</v>
      </c>
      <c r="G1052">
        <v>3.85</v>
      </c>
      <c r="H1052" s="3">
        <f t="shared" si="64"/>
        <v>44986</v>
      </c>
      <c r="I1052">
        <f>MONTH(Table1[[#This Row],[Date]])</f>
        <v>3</v>
      </c>
      <c r="J1052" t="str">
        <f t="shared" si="65"/>
        <v>Q1</v>
      </c>
      <c r="K1052" t="str">
        <f t="shared" si="66"/>
        <v>Mar-2023</v>
      </c>
      <c r="L1052" t="str">
        <f t="shared" si="67"/>
        <v>Medium</v>
      </c>
    </row>
    <row r="1053" spans="1:12" x14ac:dyDescent="0.3">
      <c r="A1053">
        <v>2023</v>
      </c>
      <c r="B1053" s="2" t="s">
        <v>19</v>
      </c>
      <c r="C1053" t="s">
        <v>8</v>
      </c>
      <c r="D1053" t="s">
        <v>10</v>
      </c>
      <c r="E1053">
        <v>45.86</v>
      </c>
      <c r="F1053">
        <v>158.19999999999999</v>
      </c>
      <c r="G1053">
        <v>3.93</v>
      </c>
      <c r="H1053" s="3">
        <f t="shared" si="64"/>
        <v>44986</v>
      </c>
      <c r="I1053">
        <f>MONTH(Table1[[#This Row],[Date]])</f>
        <v>3</v>
      </c>
      <c r="J1053" t="str">
        <f t="shared" si="65"/>
        <v>Q1</v>
      </c>
      <c r="K1053" t="str">
        <f t="shared" si="66"/>
        <v>Mar-2023</v>
      </c>
      <c r="L1053" t="str">
        <f t="shared" si="67"/>
        <v>Medium</v>
      </c>
    </row>
    <row r="1054" spans="1:12" x14ac:dyDescent="0.3">
      <c r="A1054">
        <v>2023</v>
      </c>
      <c r="B1054" s="2" t="s">
        <v>19</v>
      </c>
      <c r="C1054" t="s">
        <v>8</v>
      </c>
      <c r="D1054" t="s">
        <v>11</v>
      </c>
      <c r="E1054">
        <v>2.38</v>
      </c>
      <c r="F1054">
        <v>160.19999999999999</v>
      </c>
      <c r="G1054">
        <v>4.01</v>
      </c>
      <c r="H1054" s="3">
        <f t="shared" si="64"/>
        <v>44986</v>
      </c>
      <c r="I1054">
        <f>MONTH(Table1[[#This Row],[Date]])</f>
        <v>3</v>
      </c>
      <c r="J1054" t="str">
        <f t="shared" si="65"/>
        <v>Q1</v>
      </c>
      <c r="K1054" t="str">
        <f t="shared" si="66"/>
        <v>Mar-2023</v>
      </c>
      <c r="L1054" t="str">
        <f t="shared" si="67"/>
        <v>High</v>
      </c>
    </row>
    <row r="1055" spans="1:12" x14ac:dyDescent="0.3">
      <c r="A1055">
        <v>2023</v>
      </c>
      <c r="B1055" s="2" t="s">
        <v>19</v>
      </c>
      <c r="C1055" t="s">
        <v>8</v>
      </c>
      <c r="D1055" t="s">
        <v>12</v>
      </c>
      <c r="E1055">
        <v>6.53</v>
      </c>
      <c r="F1055">
        <v>162.19999999999999</v>
      </c>
      <c r="G1055">
        <v>4.09</v>
      </c>
      <c r="H1055" s="3">
        <f t="shared" si="64"/>
        <v>44986</v>
      </c>
      <c r="I1055">
        <f>MONTH(Table1[[#This Row],[Date]])</f>
        <v>3</v>
      </c>
      <c r="J1055" t="str">
        <f t="shared" si="65"/>
        <v>Q1</v>
      </c>
      <c r="K1055" t="str">
        <f t="shared" si="66"/>
        <v>Mar-2023</v>
      </c>
      <c r="L1055" t="str">
        <f t="shared" si="67"/>
        <v>High</v>
      </c>
    </row>
    <row r="1056" spans="1:12" x14ac:dyDescent="0.3">
      <c r="A1056">
        <v>2023</v>
      </c>
      <c r="B1056" s="2" t="s">
        <v>19</v>
      </c>
      <c r="C1056" t="s">
        <v>8</v>
      </c>
      <c r="D1056" t="s">
        <v>13</v>
      </c>
      <c r="E1056">
        <v>10.07</v>
      </c>
      <c r="F1056">
        <v>164.2</v>
      </c>
      <c r="G1056">
        <v>4.17</v>
      </c>
      <c r="H1056" s="3">
        <f t="shared" si="64"/>
        <v>44986</v>
      </c>
      <c r="I1056">
        <f>MONTH(Table1[[#This Row],[Date]])</f>
        <v>3</v>
      </c>
      <c r="J1056" t="str">
        <f t="shared" si="65"/>
        <v>Q1</v>
      </c>
      <c r="K1056" t="str">
        <f t="shared" si="66"/>
        <v>Mar-2023</v>
      </c>
      <c r="L1056" t="str">
        <f t="shared" si="67"/>
        <v>High</v>
      </c>
    </row>
    <row r="1057" spans="1:12" x14ac:dyDescent="0.3">
      <c r="A1057">
        <v>2023</v>
      </c>
      <c r="B1057" s="2" t="s">
        <v>19</v>
      </c>
      <c r="C1057" t="s">
        <v>8</v>
      </c>
      <c r="D1057" t="s">
        <v>14</v>
      </c>
      <c r="E1057">
        <v>6.84</v>
      </c>
      <c r="F1057">
        <v>166.2</v>
      </c>
      <c r="G1057">
        <v>4.25</v>
      </c>
      <c r="H1057" s="3">
        <f t="shared" si="64"/>
        <v>44986</v>
      </c>
      <c r="I1057">
        <f>MONTH(Table1[[#This Row],[Date]])</f>
        <v>3</v>
      </c>
      <c r="J1057" t="str">
        <f t="shared" si="65"/>
        <v>Q1</v>
      </c>
      <c r="K1057" t="str">
        <f t="shared" si="66"/>
        <v>Mar-2023</v>
      </c>
      <c r="L1057" t="str">
        <f t="shared" si="67"/>
        <v>High</v>
      </c>
    </row>
    <row r="1058" spans="1:12" x14ac:dyDescent="0.3">
      <c r="A1058">
        <v>2023</v>
      </c>
      <c r="B1058" s="2" t="s">
        <v>19</v>
      </c>
      <c r="C1058" t="s">
        <v>8</v>
      </c>
      <c r="D1058" t="s">
        <v>15</v>
      </c>
      <c r="E1058">
        <v>28.32</v>
      </c>
      <c r="F1058">
        <v>168.2</v>
      </c>
      <c r="G1058">
        <v>4.33</v>
      </c>
      <c r="H1058" s="3">
        <f t="shared" si="64"/>
        <v>44986</v>
      </c>
      <c r="I1058">
        <f>MONTH(Table1[[#This Row],[Date]])</f>
        <v>3</v>
      </c>
      <c r="J1058" t="str">
        <f t="shared" si="65"/>
        <v>Q1</v>
      </c>
      <c r="K1058" t="str">
        <f t="shared" si="66"/>
        <v>Mar-2023</v>
      </c>
      <c r="L1058" t="str">
        <f t="shared" si="67"/>
        <v>High</v>
      </c>
    </row>
    <row r="1059" spans="1:12" x14ac:dyDescent="0.3">
      <c r="A1059">
        <v>2023</v>
      </c>
      <c r="B1059" s="2" t="s">
        <v>19</v>
      </c>
      <c r="C1059" t="s">
        <v>16</v>
      </c>
      <c r="D1059" t="s">
        <v>9</v>
      </c>
      <c r="E1059">
        <v>100</v>
      </c>
      <c r="F1059">
        <v>156.80000000000001</v>
      </c>
      <c r="G1059">
        <v>3.85</v>
      </c>
      <c r="H1059" s="3">
        <f t="shared" si="64"/>
        <v>44986</v>
      </c>
      <c r="I1059">
        <f>MONTH(Table1[[#This Row],[Date]])</f>
        <v>3</v>
      </c>
      <c r="J1059" t="str">
        <f t="shared" si="65"/>
        <v>Q1</v>
      </c>
      <c r="K1059" t="str">
        <f t="shared" si="66"/>
        <v>Mar-2023</v>
      </c>
      <c r="L1059" t="str">
        <f t="shared" si="67"/>
        <v>Medium</v>
      </c>
    </row>
    <row r="1060" spans="1:12" x14ac:dyDescent="0.3">
      <c r="A1060">
        <v>2023</v>
      </c>
      <c r="B1060" s="2" t="s">
        <v>19</v>
      </c>
      <c r="C1060" t="s">
        <v>16</v>
      </c>
      <c r="D1060" t="s">
        <v>10</v>
      </c>
      <c r="E1060">
        <v>45.86</v>
      </c>
      <c r="F1060">
        <v>158.80000000000001</v>
      </c>
      <c r="G1060">
        <v>3.93</v>
      </c>
      <c r="H1060" s="3">
        <f t="shared" si="64"/>
        <v>44986</v>
      </c>
      <c r="I1060">
        <f>MONTH(Table1[[#This Row],[Date]])</f>
        <v>3</v>
      </c>
      <c r="J1060" t="str">
        <f t="shared" si="65"/>
        <v>Q1</v>
      </c>
      <c r="K1060" t="str">
        <f t="shared" si="66"/>
        <v>Mar-2023</v>
      </c>
      <c r="L1060" t="str">
        <f t="shared" si="67"/>
        <v>Medium</v>
      </c>
    </row>
    <row r="1061" spans="1:12" x14ac:dyDescent="0.3">
      <c r="A1061">
        <v>2023</v>
      </c>
      <c r="B1061" s="2" t="s">
        <v>19</v>
      </c>
      <c r="C1061" t="s">
        <v>16</v>
      </c>
      <c r="D1061" t="s">
        <v>11</v>
      </c>
      <c r="E1061">
        <v>2.38</v>
      </c>
      <c r="F1061">
        <v>160.80000000000001</v>
      </c>
      <c r="G1061">
        <v>4.01</v>
      </c>
      <c r="H1061" s="3">
        <f t="shared" si="64"/>
        <v>44986</v>
      </c>
      <c r="I1061">
        <f>MONTH(Table1[[#This Row],[Date]])</f>
        <v>3</v>
      </c>
      <c r="J1061" t="str">
        <f t="shared" si="65"/>
        <v>Q1</v>
      </c>
      <c r="K1061" t="str">
        <f t="shared" si="66"/>
        <v>Mar-2023</v>
      </c>
      <c r="L1061" t="str">
        <f t="shared" si="67"/>
        <v>High</v>
      </c>
    </row>
    <row r="1062" spans="1:12" x14ac:dyDescent="0.3">
      <c r="A1062">
        <v>2023</v>
      </c>
      <c r="B1062" s="2" t="s">
        <v>19</v>
      </c>
      <c r="C1062" t="s">
        <v>16</v>
      </c>
      <c r="D1062" t="s">
        <v>12</v>
      </c>
      <c r="E1062">
        <v>6.53</v>
      </c>
      <c r="F1062">
        <v>162.80000000000001</v>
      </c>
      <c r="G1062">
        <v>4.09</v>
      </c>
      <c r="H1062" s="3">
        <f t="shared" si="64"/>
        <v>44986</v>
      </c>
      <c r="I1062">
        <f>MONTH(Table1[[#This Row],[Date]])</f>
        <v>3</v>
      </c>
      <c r="J1062" t="str">
        <f t="shared" si="65"/>
        <v>Q1</v>
      </c>
      <c r="K1062" t="str">
        <f t="shared" si="66"/>
        <v>Mar-2023</v>
      </c>
      <c r="L1062" t="str">
        <f t="shared" si="67"/>
        <v>High</v>
      </c>
    </row>
    <row r="1063" spans="1:12" x14ac:dyDescent="0.3">
      <c r="A1063">
        <v>2023</v>
      </c>
      <c r="B1063" s="2" t="s">
        <v>19</v>
      </c>
      <c r="C1063" t="s">
        <v>16</v>
      </c>
      <c r="D1063" t="s">
        <v>13</v>
      </c>
      <c r="E1063">
        <v>10.07</v>
      </c>
      <c r="F1063">
        <v>164.8</v>
      </c>
      <c r="G1063">
        <v>4.17</v>
      </c>
      <c r="H1063" s="3">
        <f t="shared" si="64"/>
        <v>44986</v>
      </c>
      <c r="I1063">
        <f>MONTH(Table1[[#This Row],[Date]])</f>
        <v>3</v>
      </c>
      <c r="J1063" t="str">
        <f t="shared" si="65"/>
        <v>Q1</v>
      </c>
      <c r="K1063" t="str">
        <f t="shared" si="66"/>
        <v>Mar-2023</v>
      </c>
      <c r="L1063" t="str">
        <f t="shared" si="67"/>
        <v>High</v>
      </c>
    </row>
    <row r="1064" spans="1:12" x14ac:dyDescent="0.3">
      <c r="A1064">
        <v>2023</v>
      </c>
      <c r="B1064" s="2" t="s">
        <v>19</v>
      </c>
      <c r="C1064" t="s">
        <v>16</v>
      </c>
      <c r="D1064" t="s">
        <v>14</v>
      </c>
      <c r="E1064">
        <v>6.84</v>
      </c>
      <c r="F1064">
        <v>166.8</v>
      </c>
      <c r="G1064">
        <v>4.25</v>
      </c>
      <c r="H1064" s="3">
        <f t="shared" si="64"/>
        <v>44986</v>
      </c>
      <c r="I1064">
        <f>MONTH(Table1[[#This Row],[Date]])</f>
        <v>3</v>
      </c>
      <c r="J1064" t="str">
        <f t="shared" si="65"/>
        <v>Q1</v>
      </c>
      <c r="K1064" t="str">
        <f t="shared" si="66"/>
        <v>Mar-2023</v>
      </c>
      <c r="L1064" t="str">
        <f t="shared" si="67"/>
        <v>High</v>
      </c>
    </row>
    <row r="1065" spans="1:12" x14ac:dyDescent="0.3">
      <c r="A1065">
        <v>2023</v>
      </c>
      <c r="B1065" s="2" t="s">
        <v>19</v>
      </c>
      <c r="C1065" t="s">
        <v>16</v>
      </c>
      <c r="D1065" t="s">
        <v>15</v>
      </c>
      <c r="E1065">
        <v>28.32</v>
      </c>
      <c r="F1065">
        <v>168.8</v>
      </c>
      <c r="G1065">
        <v>4.33</v>
      </c>
      <c r="H1065" s="3">
        <f t="shared" si="64"/>
        <v>44986</v>
      </c>
      <c r="I1065">
        <f>MONTH(Table1[[#This Row],[Date]])</f>
        <v>3</v>
      </c>
      <c r="J1065" t="str">
        <f t="shared" si="65"/>
        <v>Q1</v>
      </c>
      <c r="K1065" t="str">
        <f t="shared" si="66"/>
        <v>Mar-2023</v>
      </c>
      <c r="L1065" t="str">
        <f t="shared" si="67"/>
        <v>High</v>
      </c>
    </row>
    <row r="1066" spans="1:12" x14ac:dyDescent="0.3">
      <c r="A1066">
        <v>2023</v>
      </c>
      <c r="B1066" s="2" t="s">
        <v>19</v>
      </c>
      <c r="C1066" t="s">
        <v>17</v>
      </c>
      <c r="D1066" t="s">
        <v>9</v>
      </c>
      <c r="E1066">
        <v>100</v>
      </c>
      <c r="F1066">
        <v>157.4</v>
      </c>
      <c r="G1066">
        <v>3.85</v>
      </c>
      <c r="H1066" s="3">
        <f t="shared" si="64"/>
        <v>44986</v>
      </c>
      <c r="I1066">
        <f>MONTH(Table1[[#This Row],[Date]])</f>
        <v>3</v>
      </c>
      <c r="J1066" t="str">
        <f t="shared" si="65"/>
        <v>Q1</v>
      </c>
      <c r="K1066" t="str">
        <f t="shared" si="66"/>
        <v>Mar-2023</v>
      </c>
      <c r="L1066" t="str">
        <f t="shared" si="67"/>
        <v>Medium</v>
      </c>
    </row>
    <row r="1067" spans="1:12" x14ac:dyDescent="0.3">
      <c r="A1067">
        <v>2023</v>
      </c>
      <c r="B1067" s="2" t="s">
        <v>19</v>
      </c>
      <c r="C1067" t="s">
        <v>17</v>
      </c>
      <c r="D1067" t="s">
        <v>10</v>
      </c>
      <c r="E1067">
        <v>45.86</v>
      </c>
      <c r="F1067">
        <v>159.4</v>
      </c>
      <c r="G1067">
        <v>3.93</v>
      </c>
      <c r="H1067" s="3">
        <f t="shared" si="64"/>
        <v>44986</v>
      </c>
      <c r="I1067">
        <f>MONTH(Table1[[#This Row],[Date]])</f>
        <v>3</v>
      </c>
      <c r="J1067" t="str">
        <f t="shared" si="65"/>
        <v>Q1</v>
      </c>
      <c r="K1067" t="str">
        <f t="shared" si="66"/>
        <v>Mar-2023</v>
      </c>
      <c r="L1067" t="str">
        <f t="shared" si="67"/>
        <v>Medium</v>
      </c>
    </row>
    <row r="1068" spans="1:12" x14ac:dyDescent="0.3">
      <c r="A1068">
        <v>2023</v>
      </c>
      <c r="B1068" s="2" t="s">
        <v>19</v>
      </c>
      <c r="C1068" t="s">
        <v>17</v>
      </c>
      <c r="D1068" t="s">
        <v>11</v>
      </c>
      <c r="E1068">
        <v>2.38</v>
      </c>
      <c r="F1068">
        <v>161.4</v>
      </c>
      <c r="G1068">
        <v>4.01</v>
      </c>
      <c r="H1068" s="3">
        <f t="shared" si="64"/>
        <v>44986</v>
      </c>
      <c r="I1068">
        <f>MONTH(Table1[[#This Row],[Date]])</f>
        <v>3</v>
      </c>
      <c r="J1068" t="str">
        <f t="shared" si="65"/>
        <v>Q1</v>
      </c>
      <c r="K1068" t="str">
        <f t="shared" si="66"/>
        <v>Mar-2023</v>
      </c>
      <c r="L1068" t="str">
        <f t="shared" si="67"/>
        <v>High</v>
      </c>
    </row>
    <row r="1069" spans="1:12" x14ac:dyDescent="0.3">
      <c r="A1069">
        <v>2023</v>
      </c>
      <c r="B1069" s="2" t="s">
        <v>19</v>
      </c>
      <c r="C1069" t="s">
        <v>17</v>
      </c>
      <c r="D1069" t="s">
        <v>12</v>
      </c>
      <c r="E1069">
        <v>6.53</v>
      </c>
      <c r="F1069">
        <v>163.4</v>
      </c>
      <c r="G1069">
        <v>4.09</v>
      </c>
      <c r="H1069" s="3">
        <f t="shared" si="64"/>
        <v>44986</v>
      </c>
      <c r="I1069">
        <f>MONTH(Table1[[#This Row],[Date]])</f>
        <v>3</v>
      </c>
      <c r="J1069" t="str">
        <f t="shared" si="65"/>
        <v>Q1</v>
      </c>
      <c r="K1069" t="str">
        <f t="shared" si="66"/>
        <v>Mar-2023</v>
      </c>
      <c r="L1069" t="str">
        <f t="shared" si="67"/>
        <v>High</v>
      </c>
    </row>
    <row r="1070" spans="1:12" x14ac:dyDescent="0.3">
      <c r="A1070">
        <v>2023</v>
      </c>
      <c r="B1070" s="2" t="s">
        <v>19</v>
      </c>
      <c r="C1070" t="s">
        <v>17</v>
      </c>
      <c r="D1070" t="s">
        <v>13</v>
      </c>
      <c r="E1070">
        <v>10.07</v>
      </c>
      <c r="F1070">
        <v>165.4</v>
      </c>
      <c r="G1070">
        <v>4.17</v>
      </c>
      <c r="H1070" s="3">
        <f t="shared" si="64"/>
        <v>44986</v>
      </c>
      <c r="I1070">
        <f>MONTH(Table1[[#This Row],[Date]])</f>
        <v>3</v>
      </c>
      <c r="J1070" t="str">
        <f t="shared" si="65"/>
        <v>Q1</v>
      </c>
      <c r="K1070" t="str">
        <f t="shared" si="66"/>
        <v>Mar-2023</v>
      </c>
      <c r="L1070" t="str">
        <f t="shared" si="67"/>
        <v>High</v>
      </c>
    </row>
    <row r="1071" spans="1:12" x14ac:dyDescent="0.3">
      <c r="A1071">
        <v>2023</v>
      </c>
      <c r="B1071" s="2" t="s">
        <v>19</v>
      </c>
      <c r="C1071" t="s">
        <v>17</v>
      </c>
      <c r="D1071" t="s">
        <v>14</v>
      </c>
      <c r="E1071">
        <v>6.84</v>
      </c>
      <c r="F1071">
        <v>167.4</v>
      </c>
      <c r="G1071">
        <v>4.25</v>
      </c>
      <c r="H1071" s="3">
        <f t="shared" si="64"/>
        <v>44986</v>
      </c>
      <c r="I1071">
        <f>MONTH(Table1[[#This Row],[Date]])</f>
        <v>3</v>
      </c>
      <c r="J1071" t="str">
        <f t="shared" si="65"/>
        <v>Q1</v>
      </c>
      <c r="K1071" t="str">
        <f t="shared" si="66"/>
        <v>Mar-2023</v>
      </c>
      <c r="L1071" t="str">
        <f t="shared" si="67"/>
        <v>High</v>
      </c>
    </row>
    <row r="1072" spans="1:12" x14ac:dyDescent="0.3">
      <c r="A1072">
        <v>2023</v>
      </c>
      <c r="B1072" s="2" t="s">
        <v>19</v>
      </c>
      <c r="C1072" t="s">
        <v>17</v>
      </c>
      <c r="D1072" t="s">
        <v>15</v>
      </c>
      <c r="E1072">
        <v>28.32</v>
      </c>
      <c r="F1072">
        <v>169.4</v>
      </c>
      <c r="G1072">
        <v>4.33</v>
      </c>
      <c r="H1072" s="3">
        <f t="shared" si="64"/>
        <v>44986</v>
      </c>
      <c r="I1072">
        <f>MONTH(Table1[[#This Row],[Date]])</f>
        <v>3</v>
      </c>
      <c r="J1072" t="str">
        <f t="shared" si="65"/>
        <v>Q1</v>
      </c>
      <c r="K1072" t="str">
        <f t="shared" si="66"/>
        <v>Mar-2023</v>
      </c>
      <c r="L1072" t="str">
        <f t="shared" si="67"/>
        <v>High</v>
      </c>
    </row>
    <row r="1073" spans="1:12" x14ac:dyDescent="0.3">
      <c r="A1073">
        <v>2023</v>
      </c>
      <c r="B1073" s="2" t="s">
        <v>20</v>
      </c>
      <c r="C1073" t="s">
        <v>8</v>
      </c>
      <c r="D1073" t="s">
        <v>9</v>
      </c>
      <c r="E1073">
        <v>100</v>
      </c>
      <c r="F1073">
        <v>156.6</v>
      </c>
      <c r="G1073">
        <v>4</v>
      </c>
      <c r="H1073" s="3">
        <f t="shared" si="64"/>
        <v>45017</v>
      </c>
      <c r="I1073">
        <f>MONTH(Table1[[#This Row],[Date]])</f>
        <v>4</v>
      </c>
      <c r="J1073" t="str">
        <f t="shared" si="65"/>
        <v>Q2</v>
      </c>
      <c r="K1073" t="str">
        <f t="shared" si="66"/>
        <v>Apr-2023</v>
      </c>
      <c r="L1073" t="str">
        <f t="shared" si="67"/>
        <v>High</v>
      </c>
    </row>
    <row r="1074" spans="1:12" x14ac:dyDescent="0.3">
      <c r="A1074">
        <v>2023</v>
      </c>
      <c r="B1074" s="2" t="s">
        <v>20</v>
      </c>
      <c r="C1074" t="s">
        <v>8</v>
      </c>
      <c r="D1074" t="s">
        <v>10</v>
      </c>
      <c r="E1074">
        <v>45.86</v>
      </c>
      <c r="F1074">
        <v>158.6</v>
      </c>
      <c r="G1074">
        <v>4.08</v>
      </c>
      <c r="H1074" s="3">
        <f t="shared" si="64"/>
        <v>45017</v>
      </c>
      <c r="I1074">
        <f>MONTH(Table1[[#This Row],[Date]])</f>
        <v>4</v>
      </c>
      <c r="J1074" t="str">
        <f t="shared" si="65"/>
        <v>Q2</v>
      </c>
      <c r="K1074" t="str">
        <f t="shared" si="66"/>
        <v>Apr-2023</v>
      </c>
      <c r="L1074" t="str">
        <f t="shared" si="67"/>
        <v>High</v>
      </c>
    </row>
    <row r="1075" spans="1:12" x14ac:dyDescent="0.3">
      <c r="A1075">
        <v>2023</v>
      </c>
      <c r="B1075" s="2" t="s">
        <v>20</v>
      </c>
      <c r="C1075" t="s">
        <v>8</v>
      </c>
      <c r="D1075" t="s">
        <v>11</v>
      </c>
      <c r="E1075">
        <v>2.38</v>
      </c>
      <c r="F1075">
        <v>160.6</v>
      </c>
      <c r="G1075">
        <v>4.16</v>
      </c>
      <c r="H1075" s="3">
        <f t="shared" si="64"/>
        <v>45017</v>
      </c>
      <c r="I1075">
        <f>MONTH(Table1[[#This Row],[Date]])</f>
        <v>4</v>
      </c>
      <c r="J1075" t="str">
        <f t="shared" si="65"/>
        <v>Q2</v>
      </c>
      <c r="K1075" t="str">
        <f t="shared" si="66"/>
        <v>Apr-2023</v>
      </c>
      <c r="L1075" t="str">
        <f t="shared" si="67"/>
        <v>High</v>
      </c>
    </row>
    <row r="1076" spans="1:12" x14ac:dyDescent="0.3">
      <c r="A1076">
        <v>2023</v>
      </c>
      <c r="B1076" s="2" t="s">
        <v>20</v>
      </c>
      <c r="C1076" t="s">
        <v>8</v>
      </c>
      <c r="D1076" t="s">
        <v>12</v>
      </c>
      <c r="E1076">
        <v>6.53</v>
      </c>
      <c r="F1076">
        <v>162.6</v>
      </c>
      <c r="G1076">
        <v>4.24</v>
      </c>
      <c r="H1076" s="3">
        <f t="shared" si="64"/>
        <v>45017</v>
      </c>
      <c r="I1076">
        <f>MONTH(Table1[[#This Row],[Date]])</f>
        <v>4</v>
      </c>
      <c r="J1076" t="str">
        <f t="shared" si="65"/>
        <v>Q2</v>
      </c>
      <c r="K1076" t="str">
        <f t="shared" si="66"/>
        <v>Apr-2023</v>
      </c>
      <c r="L1076" t="str">
        <f t="shared" si="67"/>
        <v>High</v>
      </c>
    </row>
    <row r="1077" spans="1:12" x14ac:dyDescent="0.3">
      <c r="A1077">
        <v>2023</v>
      </c>
      <c r="B1077" s="2" t="s">
        <v>20</v>
      </c>
      <c r="C1077" t="s">
        <v>8</v>
      </c>
      <c r="D1077" t="s">
        <v>13</v>
      </c>
      <c r="E1077">
        <v>10.07</v>
      </c>
      <c r="F1077">
        <v>164.6</v>
      </c>
      <c r="G1077">
        <v>4.32</v>
      </c>
      <c r="H1077" s="3">
        <f t="shared" si="64"/>
        <v>45017</v>
      </c>
      <c r="I1077">
        <f>MONTH(Table1[[#This Row],[Date]])</f>
        <v>4</v>
      </c>
      <c r="J1077" t="str">
        <f t="shared" si="65"/>
        <v>Q2</v>
      </c>
      <c r="K1077" t="str">
        <f t="shared" si="66"/>
        <v>Apr-2023</v>
      </c>
      <c r="L1077" t="str">
        <f t="shared" si="67"/>
        <v>High</v>
      </c>
    </row>
    <row r="1078" spans="1:12" x14ac:dyDescent="0.3">
      <c r="A1078">
        <v>2023</v>
      </c>
      <c r="B1078" s="2" t="s">
        <v>20</v>
      </c>
      <c r="C1078" t="s">
        <v>8</v>
      </c>
      <c r="D1078" t="s">
        <v>14</v>
      </c>
      <c r="E1078">
        <v>6.84</v>
      </c>
      <c r="F1078">
        <v>166.6</v>
      </c>
      <c r="G1078">
        <v>4.4000000000000004</v>
      </c>
      <c r="H1078" s="3">
        <f t="shared" si="64"/>
        <v>45017</v>
      </c>
      <c r="I1078">
        <f>MONTH(Table1[[#This Row],[Date]])</f>
        <v>4</v>
      </c>
      <c r="J1078" t="str">
        <f t="shared" si="65"/>
        <v>Q2</v>
      </c>
      <c r="K1078" t="str">
        <f t="shared" si="66"/>
        <v>Apr-2023</v>
      </c>
      <c r="L1078" t="str">
        <f t="shared" si="67"/>
        <v>High</v>
      </c>
    </row>
    <row r="1079" spans="1:12" x14ac:dyDescent="0.3">
      <c r="A1079">
        <v>2023</v>
      </c>
      <c r="B1079" s="2" t="s">
        <v>20</v>
      </c>
      <c r="C1079" t="s">
        <v>8</v>
      </c>
      <c r="D1079" t="s">
        <v>15</v>
      </c>
      <c r="E1079">
        <v>28.32</v>
      </c>
      <c r="F1079">
        <v>168.6</v>
      </c>
      <c r="G1079">
        <v>4.4800000000000004</v>
      </c>
      <c r="H1079" s="3">
        <f t="shared" si="64"/>
        <v>45017</v>
      </c>
      <c r="I1079">
        <f>MONTH(Table1[[#This Row],[Date]])</f>
        <v>4</v>
      </c>
      <c r="J1079" t="str">
        <f t="shared" si="65"/>
        <v>Q2</v>
      </c>
      <c r="K1079" t="str">
        <f t="shared" si="66"/>
        <v>Apr-2023</v>
      </c>
      <c r="L1079" t="str">
        <f t="shared" si="67"/>
        <v>High</v>
      </c>
    </row>
    <row r="1080" spans="1:12" x14ac:dyDescent="0.3">
      <c r="A1080">
        <v>2023</v>
      </c>
      <c r="B1080" s="2" t="s">
        <v>20</v>
      </c>
      <c r="C1080" t="s">
        <v>16</v>
      </c>
      <c r="D1080" t="s">
        <v>9</v>
      </c>
      <c r="E1080">
        <v>100</v>
      </c>
      <c r="F1080">
        <v>157.19999999999999</v>
      </c>
      <c r="G1080">
        <v>4</v>
      </c>
      <c r="H1080" s="3">
        <f t="shared" si="64"/>
        <v>45017</v>
      </c>
      <c r="I1080">
        <f>MONTH(Table1[[#This Row],[Date]])</f>
        <v>4</v>
      </c>
      <c r="J1080" t="str">
        <f t="shared" si="65"/>
        <v>Q2</v>
      </c>
      <c r="K1080" t="str">
        <f t="shared" si="66"/>
        <v>Apr-2023</v>
      </c>
      <c r="L1080" t="str">
        <f t="shared" si="67"/>
        <v>High</v>
      </c>
    </row>
    <row r="1081" spans="1:12" x14ac:dyDescent="0.3">
      <c r="A1081">
        <v>2023</v>
      </c>
      <c r="B1081" s="2" t="s">
        <v>20</v>
      </c>
      <c r="C1081" t="s">
        <v>16</v>
      </c>
      <c r="D1081" t="s">
        <v>10</v>
      </c>
      <c r="E1081">
        <v>45.86</v>
      </c>
      <c r="F1081">
        <v>159.19999999999999</v>
      </c>
      <c r="G1081">
        <v>4.08</v>
      </c>
      <c r="H1081" s="3">
        <f t="shared" si="64"/>
        <v>45017</v>
      </c>
      <c r="I1081">
        <f>MONTH(Table1[[#This Row],[Date]])</f>
        <v>4</v>
      </c>
      <c r="J1081" t="str">
        <f t="shared" si="65"/>
        <v>Q2</v>
      </c>
      <c r="K1081" t="str">
        <f t="shared" si="66"/>
        <v>Apr-2023</v>
      </c>
      <c r="L1081" t="str">
        <f t="shared" si="67"/>
        <v>High</v>
      </c>
    </row>
    <row r="1082" spans="1:12" x14ac:dyDescent="0.3">
      <c r="A1082">
        <v>2023</v>
      </c>
      <c r="B1082" s="2" t="s">
        <v>20</v>
      </c>
      <c r="C1082" t="s">
        <v>16</v>
      </c>
      <c r="D1082" t="s">
        <v>11</v>
      </c>
      <c r="E1082">
        <v>2.38</v>
      </c>
      <c r="F1082">
        <v>161.19999999999999</v>
      </c>
      <c r="G1082">
        <v>4.16</v>
      </c>
      <c r="H1082" s="3">
        <f t="shared" si="64"/>
        <v>45017</v>
      </c>
      <c r="I1082">
        <f>MONTH(Table1[[#This Row],[Date]])</f>
        <v>4</v>
      </c>
      <c r="J1082" t="str">
        <f t="shared" si="65"/>
        <v>Q2</v>
      </c>
      <c r="K1082" t="str">
        <f t="shared" si="66"/>
        <v>Apr-2023</v>
      </c>
      <c r="L1082" t="str">
        <f t="shared" si="67"/>
        <v>High</v>
      </c>
    </row>
    <row r="1083" spans="1:12" x14ac:dyDescent="0.3">
      <c r="A1083">
        <v>2023</v>
      </c>
      <c r="B1083" s="2" t="s">
        <v>20</v>
      </c>
      <c r="C1083" t="s">
        <v>16</v>
      </c>
      <c r="D1083" t="s">
        <v>12</v>
      </c>
      <c r="E1083">
        <v>6.53</v>
      </c>
      <c r="F1083">
        <v>163.19999999999999</v>
      </c>
      <c r="G1083">
        <v>4.24</v>
      </c>
      <c r="H1083" s="3">
        <f t="shared" si="64"/>
        <v>45017</v>
      </c>
      <c r="I1083">
        <f>MONTH(Table1[[#This Row],[Date]])</f>
        <v>4</v>
      </c>
      <c r="J1083" t="str">
        <f t="shared" si="65"/>
        <v>Q2</v>
      </c>
      <c r="K1083" t="str">
        <f t="shared" si="66"/>
        <v>Apr-2023</v>
      </c>
      <c r="L1083" t="str">
        <f t="shared" si="67"/>
        <v>High</v>
      </c>
    </row>
    <row r="1084" spans="1:12" x14ac:dyDescent="0.3">
      <c r="A1084">
        <v>2023</v>
      </c>
      <c r="B1084" s="2" t="s">
        <v>20</v>
      </c>
      <c r="C1084" t="s">
        <v>16</v>
      </c>
      <c r="D1084" t="s">
        <v>13</v>
      </c>
      <c r="E1084">
        <v>10.07</v>
      </c>
      <c r="F1084">
        <v>165.2</v>
      </c>
      <c r="G1084">
        <v>4.32</v>
      </c>
      <c r="H1084" s="3">
        <f t="shared" si="64"/>
        <v>45017</v>
      </c>
      <c r="I1084">
        <f>MONTH(Table1[[#This Row],[Date]])</f>
        <v>4</v>
      </c>
      <c r="J1084" t="str">
        <f t="shared" si="65"/>
        <v>Q2</v>
      </c>
      <c r="K1084" t="str">
        <f t="shared" si="66"/>
        <v>Apr-2023</v>
      </c>
      <c r="L1084" t="str">
        <f t="shared" si="67"/>
        <v>High</v>
      </c>
    </row>
    <row r="1085" spans="1:12" x14ac:dyDescent="0.3">
      <c r="A1085">
        <v>2023</v>
      </c>
      <c r="B1085" s="2" t="s">
        <v>20</v>
      </c>
      <c r="C1085" t="s">
        <v>16</v>
      </c>
      <c r="D1085" t="s">
        <v>14</v>
      </c>
      <c r="E1085">
        <v>6.84</v>
      </c>
      <c r="F1085">
        <v>167.2</v>
      </c>
      <c r="G1085">
        <v>4.4000000000000004</v>
      </c>
      <c r="H1085" s="3">
        <f t="shared" si="64"/>
        <v>45017</v>
      </c>
      <c r="I1085">
        <f>MONTH(Table1[[#This Row],[Date]])</f>
        <v>4</v>
      </c>
      <c r="J1085" t="str">
        <f t="shared" si="65"/>
        <v>Q2</v>
      </c>
      <c r="K1085" t="str">
        <f t="shared" si="66"/>
        <v>Apr-2023</v>
      </c>
      <c r="L1085" t="str">
        <f t="shared" si="67"/>
        <v>High</v>
      </c>
    </row>
    <row r="1086" spans="1:12" x14ac:dyDescent="0.3">
      <c r="A1086">
        <v>2023</v>
      </c>
      <c r="B1086" s="2" t="s">
        <v>20</v>
      </c>
      <c r="C1086" t="s">
        <v>16</v>
      </c>
      <c r="D1086" t="s">
        <v>15</v>
      </c>
      <c r="E1086">
        <v>28.32</v>
      </c>
      <c r="F1086">
        <v>169.2</v>
      </c>
      <c r="G1086">
        <v>4.4800000000000004</v>
      </c>
      <c r="H1086" s="3">
        <f t="shared" si="64"/>
        <v>45017</v>
      </c>
      <c r="I1086">
        <f>MONTH(Table1[[#This Row],[Date]])</f>
        <v>4</v>
      </c>
      <c r="J1086" t="str">
        <f t="shared" si="65"/>
        <v>Q2</v>
      </c>
      <c r="K1086" t="str">
        <f t="shared" si="66"/>
        <v>Apr-2023</v>
      </c>
      <c r="L1086" t="str">
        <f t="shared" si="67"/>
        <v>High</v>
      </c>
    </row>
    <row r="1087" spans="1:12" x14ac:dyDescent="0.3">
      <c r="A1087">
        <v>2023</v>
      </c>
      <c r="B1087" s="2" t="s">
        <v>20</v>
      </c>
      <c r="C1087" t="s">
        <v>17</v>
      </c>
      <c r="D1087" t="s">
        <v>9</v>
      </c>
      <c r="E1087">
        <v>100</v>
      </c>
      <c r="F1087">
        <v>157.80000000000001</v>
      </c>
      <c r="G1087">
        <v>4</v>
      </c>
      <c r="H1087" s="3">
        <f t="shared" si="64"/>
        <v>45017</v>
      </c>
      <c r="I1087">
        <f>MONTH(Table1[[#This Row],[Date]])</f>
        <v>4</v>
      </c>
      <c r="J1087" t="str">
        <f t="shared" si="65"/>
        <v>Q2</v>
      </c>
      <c r="K1087" t="str">
        <f t="shared" si="66"/>
        <v>Apr-2023</v>
      </c>
      <c r="L1087" t="str">
        <f t="shared" si="67"/>
        <v>High</v>
      </c>
    </row>
    <row r="1088" spans="1:12" x14ac:dyDescent="0.3">
      <c r="A1088">
        <v>2023</v>
      </c>
      <c r="B1088" s="2" t="s">
        <v>20</v>
      </c>
      <c r="C1088" t="s">
        <v>17</v>
      </c>
      <c r="D1088" t="s">
        <v>10</v>
      </c>
      <c r="E1088">
        <v>45.86</v>
      </c>
      <c r="F1088">
        <v>159.80000000000001</v>
      </c>
      <c r="G1088">
        <v>4.08</v>
      </c>
      <c r="H1088" s="3">
        <f t="shared" si="64"/>
        <v>45017</v>
      </c>
      <c r="I1088">
        <f>MONTH(Table1[[#This Row],[Date]])</f>
        <v>4</v>
      </c>
      <c r="J1088" t="str">
        <f t="shared" si="65"/>
        <v>Q2</v>
      </c>
      <c r="K1088" t="str">
        <f t="shared" si="66"/>
        <v>Apr-2023</v>
      </c>
      <c r="L1088" t="str">
        <f t="shared" si="67"/>
        <v>High</v>
      </c>
    </row>
    <row r="1089" spans="1:12" x14ac:dyDescent="0.3">
      <c r="A1089">
        <v>2023</v>
      </c>
      <c r="B1089" s="2" t="s">
        <v>20</v>
      </c>
      <c r="C1089" t="s">
        <v>17</v>
      </c>
      <c r="D1089" t="s">
        <v>11</v>
      </c>
      <c r="E1089">
        <v>2.38</v>
      </c>
      <c r="F1089">
        <v>161.80000000000001</v>
      </c>
      <c r="G1089">
        <v>4.16</v>
      </c>
      <c r="H1089" s="3">
        <f t="shared" si="64"/>
        <v>45017</v>
      </c>
      <c r="I1089">
        <f>MONTH(Table1[[#This Row],[Date]])</f>
        <v>4</v>
      </c>
      <c r="J1089" t="str">
        <f t="shared" si="65"/>
        <v>Q2</v>
      </c>
      <c r="K1089" t="str">
        <f t="shared" si="66"/>
        <v>Apr-2023</v>
      </c>
      <c r="L1089" t="str">
        <f t="shared" si="67"/>
        <v>High</v>
      </c>
    </row>
    <row r="1090" spans="1:12" x14ac:dyDescent="0.3">
      <c r="A1090">
        <v>2023</v>
      </c>
      <c r="B1090" s="2" t="s">
        <v>20</v>
      </c>
      <c r="C1090" t="s">
        <v>17</v>
      </c>
      <c r="D1090" t="s">
        <v>12</v>
      </c>
      <c r="E1090">
        <v>6.53</v>
      </c>
      <c r="F1090">
        <v>163.80000000000001</v>
      </c>
      <c r="G1090">
        <v>4.24</v>
      </c>
      <c r="H1090" s="3">
        <f t="shared" ref="H1090:H1153" si="68">DATE(A1090,MONTH(DATEVALUE(B1090&amp;" 1")),1)</f>
        <v>45017</v>
      </c>
      <c r="I1090">
        <f>MONTH(Table1[[#This Row],[Date]])</f>
        <v>4</v>
      </c>
      <c r="J1090" t="str">
        <f t="shared" ref="J1090:J1153" si="69">"Q"&amp;ROUNDUP(MONTH(H1090)/3,0)</f>
        <v>Q2</v>
      </c>
      <c r="K1090" t="str">
        <f t="shared" ref="K1090:K1153" si="70">TEXT(H1090,"mmm-yyyy")</f>
        <v>Apr-2023</v>
      </c>
      <c r="L1090" t="str">
        <f t="shared" ref="L1090:L1153" si="71">IF(G1090&lt;3,"Low",IF(G1090&lt;4,"Medium","High"))</f>
        <v>High</v>
      </c>
    </row>
    <row r="1091" spans="1:12" x14ac:dyDescent="0.3">
      <c r="A1091">
        <v>2023</v>
      </c>
      <c r="B1091" s="2" t="s">
        <v>20</v>
      </c>
      <c r="C1091" t="s">
        <v>17</v>
      </c>
      <c r="D1091" t="s">
        <v>13</v>
      </c>
      <c r="E1091">
        <v>10.07</v>
      </c>
      <c r="F1091">
        <v>165.8</v>
      </c>
      <c r="G1091">
        <v>4.32</v>
      </c>
      <c r="H1091" s="3">
        <f t="shared" si="68"/>
        <v>45017</v>
      </c>
      <c r="I1091">
        <f>MONTH(Table1[[#This Row],[Date]])</f>
        <v>4</v>
      </c>
      <c r="J1091" t="str">
        <f t="shared" si="69"/>
        <v>Q2</v>
      </c>
      <c r="K1091" t="str">
        <f t="shared" si="70"/>
        <v>Apr-2023</v>
      </c>
      <c r="L1091" t="str">
        <f t="shared" si="71"/>
        <v>High</v>
      </c>
    </row>
    <row r="1092" spans="1:12" x14ac:dyDescent="0.3">
      <c r="A1092">
        <v>2023</v>
      </c>
      <c r="B1092" s="2" t="s">
        <v>20</v>
      </c>
      <c r="C1092" t="s">
        <v>17</v>
      </c>
      <c r="D1092" t="s">
        <v>14</v>
      </c>
      <c r="E1092">
        <v>6.84</v>
      </c>
      <c r="F1092">
        <v>167.8</v>
      </c>
      <c r="G1092">
        <v>4.4000000000000004</v>
      </c>
      <c r="H1092" s="3">
        <f t="shared" si="68"/>
        <v>45017</v>
      </c>
      <c r="I1092">
        <f>MONTH(Table1[[#This Row],[Date]])</f>
        <v>4</v>
      </c>
      <c r="J1092" t="str">
        <f t="shared" si="69"/>
        <v>Q2</v>
      </c>
      <c r="K1092" t="str">
        <f t="shared" si="70"/>
        <v>Apr-2023</v>
      </c>
      <c r="L1092" t="str">
        <f t="shared" si="71"/>
        <v>High</v>
      </c>
    </row>
    <row r="1093" spans="1:12" x14ac:dyDescent="0.3">
      <c r="A1093">
        <v>2023</v>
      </c>
      <c r="B1093" s="2" t="s">
        <v>20</v>
      </c>
      <c r="C1093" t="s">
        <v>17</v>
      </c>
      <c r="D1093" t="s">
        <v>15</v>
      </c>
      <c r="E1093">
        <v>28.32</v>
      </c>
      <c r="F1093">
        <v>169.8</v>
      </c>
      <c r="G1093">
        <v>4.4800000000000004</v>
      </c>
      <c r="H1093" s="3">
        <f t="shared" si="68"/>
        <v>45017</v>
      </c>
      <c r="I1093">
        <f>MONTH(Table1[[#This Row],[Date]])</f>
        <v>4</v>
      </c>
      <c r="J1093" t="str">
        <f t="shared" si="69"/>
        <v>Q2</v>
      </c>
      <c r="K1093" t="str">
        <f t="shared" si="70"/>
        <v>Apr-2023</v>
      </c>
      <c r="L1093" t="str">
        <f t="shared" si="71"/>
        <v>High</v>
      </c>
    </row>
    <row r="1094" spans="1:12" x14ac:dyDescent="0.3">
      <c r="A1094">
        <v>2023</v>
      </c>
      <c r="B1094" s="2" t="s">
        <v>21</v>
      </c>
      <c r="C1094" t="s">
        <v>8</v>
      </c>
      <c r="D1094" t="s">
        <v>9</v>
      </c>
      <c r="E1094">
        <v>100</v>
      </c>
      <c r="F1094">
        <v>157</v>
      </c>
      <c r="G1094">
        <v>4.1500000000000004</v>
      </c>
      <c r="H1094" s="3">
        <f t="shared" si="68"/>
        <v>45047</v>
      </c>
      <c r="I1094">
        <f>MONTH(Table1[[#This Row],[Date]])</f>
        <v>5</v>
      </c>
      <c r="J1094" t="str">
        <f t="shared" si="69"/>
        <v>Q2</v>
      </c>
      <c r="K1094" t="str">
        <f t="shared" si="70"/>
        <v>May-2023</v>
      </c>
      <c r="L1094" t="str">
        <f t="shared" si="71"/>
        <v>High</v>
      </c>
    </row>
    <row r="1095" spans="1:12" x14ac:dyDescent="0.3">
      <c r="A1095">
        <v>2023</v>
      </c>
      <c r="B1095" s="2" t="s">
        <v>21</v>
      </c>
      <c r="C1095" t="s">
        <v>8</v>
      </c>
      <c r="D1095" t="s">
        <v>10</v>
      </c>
      <c r="E1095">
        <v>45.86</v>
      </c>
      <c r="F1095">
        <v>159</v>
      </c>
      <c r="G1095">
        <v>4.2300000000000004</v>
      </c>
      <c r="H1095" s="3">
        <f t="shared" si="68"/>
        <v>45047</v>
      </c>
      <c r="I1095">
        <f>MONTH(Table1[[#This Row],[Date]])</f>
        <v>5</v>
      </c>
      <c r="J1095" t="str">
        <f t="shared" si="69"/>
        <v>Q2</v>
      </c>
      <c r="K1095" t="str">
        <f t="shared" si="70"/>
        <v>May-2023</v>
      </c>
      <c r="L1095" t="str">
        <f t="shared" si="71"/>
        <v>High</v>
      </c>
    </row>
    <row r="1096" spans="1:12" x14ac:dyDescent="0.3">
      <c r="A1096">
        <v>2023</v>
      </c>
      <c r="B1096" s="2" t="s">
        <v>21</v>
      </c>
      <c r="C1096" t="s">
        <v>8</v>
      </c>
      <c r="D1096" t="s">
        <v>11</v>
      </c>
      <c r="E1096">
        <v>2.38</v>
      </c>
      <c r="F1096">
        <v>161</v>
      </c>
      <c r="G1096">
        <v>4.3099999999999996</v>
      </c>
      <c r="H1096" s="3">
        <f t="shared" si="68"/>
        <v>45047</v>
      </c>
      <c r="I1096">
        <f>MONTH(Table1[[#This Row],[Date]])</f>
        <v>5</v>
      </c>
      <c r="J1096" t="str">
        <f t="shared" si="69"/>
        <v>Q2</v>
      </c>
      <c r="K1096" t="str">
        <f t="shared" si="70"/>
        <v>May-2023</v>
      </c>
      <c r="L1096" t="str">
        <f t="shared" si="71"/>
        <v>High</v>
      </c>
    </row>
    <row r="1097" spans="1:12" x14ac:dyDescent="0.3">
      <c r="A1097">
        <v>2023</v>
      </c>
      <c r="B1097" s="2" t="s">
        <v>21</v>
      </c>
      <c r="C1097" t="s">
        <v>8</v>
      </c>
      <c r="D1097" t="s">
        <v>12</v>
      </c>
      <c r="E1097">
        <v>6.53</v>
      </c>
      <c r="F1097">
        <v>163</v>
      </c>
      <c r="G1097">
        <v>4.3899999999999997</v>
      </c>
      <c r="H1097" s="3">
        <f t="shared" si="68"/>
        <v>45047</v>
      </c>
      <c r="I1097">
        <f>MONTH(Table1[[#This Row],[Date]])</f>
        <v>5</v>
      </c>
      <c r="J1097" t="str">
        <f t="shared" si="69"/>
        <v>Q2</v>
      </c>
      <c r="K1097" t="str">
        <f t="shared" si="70"/>
        <v>May-2023</v>
      </c>
      <c r="L1097" t="str">
        <f t="shared" si="71"/>
        <v>High</v>
      </c>
    </row>
    <row r="1098" spans="1:12" x14ac:dyDescent="0.3">
      <c r="A1098">
        <v>2023</v>
      </c>
      <c r="B1098" s="2" t="s">
        <v>21</v>
      </c>
      <c r="C1098" t="s">
        <v>8</v>
      </c>
      <c r="D1098" t="s">
        <v>13</v>
      </c>
      <c r="E1098">
        <v>10.07</v>
      </c>
      <c r="F1098">
        <v>165</v>
      </c>
      <c r="G1098">
        <v>4.47</v>
      </c>
      <c r="H1098" s="3">
        <f t="shared" si="68"/>
        <v>45047</v>
      </c>
      <c r="I1098">
        <f>MONTH(Table1[[#This Row],[Date]])</f>
        <v>5</v>
      </c>
      <c r="J1098" t="str">
        <f t="shared" si="69"/>
        <v>Q2</v>
      </c>
      <c r="K1098" t="str">
        <f t="shared" si="70"/>
        <v>May-2023</v>
      </c>
      <c r="L1098" t="str">
        <f t="shared" si="71"/>
        <v>High</v>
      </c>
    </row>
    <row r="1099" spans="1:12" x14ac:dyDescent="0.3">
      <c r="A1099">
        <v>2023</v>
      </c>
      <c r="B1099" s="2" t="s">
        <v>21</v>
      </c>
      <c r="C1099" t="s">
        <v>8</v>
      </c>
      <c r="D1099" t="s">
        <v>14</v>
      </c>
      <c r="E1099">
        <v>6.84</v>
      </c>
      <c r="F1099">
        <v>167</v>
      </c>
      <c r="G1099">
        <v>4.55</v>
      </c>
      <c r="H1099" s="3">
        <f t="shared" si="68"/>
        <v>45047</v>
      </c>
      <c r="I1099">
        <f>MONTH(Table1[[#This Row],[Date]])</f>
        <v>5</v>
      </c>
      <c r="J1099" t="str">
        <f t="shared" si="69"/>
        <v>Q2</v>
      </c>
      <c r="K1099" t="str">
        <f t="shared" si="70"/>
        <v>May-2023</v>
      </c>
      <c r="L1099" t="str">
        <f t="shared" si="71"/>
        <v>High</v>
      </c>
    </row>
    <row r="1100" spans="1:12" x14ac:dyDescent="0.3">
      <c r="A1100">
        <v>2023</v>
      </c>
      <c r="B1100" s="2" t="s">
        <v>21</v>
      </c>
      <c r="C1100" t="s">
        <v>8</v>
      </c>
      <c r="D1100" t="s">
        <v>15</v>
      </c>
      <c r="E1100">
        <v>28.32</v>
      </c>
      <c r="F1100">
        <v>169</v>
      </c>
      <c r="G1100">
        <v>4.63</v>
      </c>
      <c r="H1100" s="3">
        <f t="shared" si="68"/>
        <v>45047</v>
      </c>
      <c r="I1100">
        <f>MONTH(Table1[[#This Row],[Date]])</f>
        <v>5</v>
      </c>
      <c r="J1100" t="str">
        <f t="shared" si="69"/>
        <v>Q2</v>
      </c>
      <c r="K1100" t="str">
        <f t="shared" si="70"/>
        <v>May-2023</v>
      </c>
      <c r="L1100" t="str">
        <f t="shared" si="71"/>
        <v>High</v>
      </c>
    </row>
    <row r="1101" spans="1:12" x14ac:dyDescent="0.3">
      <c r="A1101">
        <v>2023</v>
      </c>
      <c r="B1101" s="2" t="s">
        <v>21</v>
      </c>
      <c r="C1101" t="s">
        <v>16</v>
      </c>
      <c r="D1101" t="s">
        <v>9</v>
      </c>
      <c r="E1101">
        <v>100</v>
      </c>
      <c r="F1101">
        <v>157.6</v>
      </c>
      <c r="G1101">
        <v>4.1500000000000004</v>
      </c>
      <c r="H1101" s="3">
        <f t="shared" si="68"/>
        <v>45047</v>
      </c>
      <c r="I1101">
        <f>MONTH(Table1[[#This Row],[Date]])</f>
        <v>5</v>
      </c>
      <c r="J1101" t="str">
        <f t="shared" si="69"/>
        <v>Q2</v>
      </c>
      <c r="K1101" t="str">
        <f t="shared" si="70"/>
        <v>May-2023</v>
      </c>
      <c r="L1101" t="str">
        <f t="shared" si="71"/>
        <v>High</v>
      </c>
    </row>
    <row r="1102" spans="1:12" x14ac:dyDescent="0.3">
      <c r="A1102">
        <v>2023</v>
      </c>
      <c r="B1102" s="2" t="s">
        <v>21</v>
      </c>
      <c r="C1102" t="s">
        <v>16</v>
      </c>
      <c r="D1102" t="s">
        <v>10</v>
      </c>
      <c r="E1102">
        <v>45.86</v>
      </c>
      <c r="F1102">
        <v>159.6</v>
      </c>
      <c r="G1102">
        <v>4.2300000000000004</v>
      </c>
      <c r="H1102" s="3">
        <f t="shared" si="68"/>
        <v>45047</v>
      </c>
      <c r="I1102">
        <f>MONTH(Table1[[#This Row],[Date]])</f>
        <v>5</v>
      </c>
      <c r="J1102" t="str">
        <f t="shared" si="69"/>
        <v>Q2</v>
      </c>
      <c r="K1102" t="str">
        <f t="shared" si="70"/>
        <v>May-2023</v>
      </c>
      <c r="L1102" t="str">
        <f t="shared" si="71"/>
        <v>High</v>
      </c>
    </row>
    <row r="1103" spans="1:12" x14ac:dyDescent="0.3">
      <c r="A1103">
        <v>2023</v>
      </c>
      <c r="B1103" s="2" t="s">
        <v>21</v>
      </c>
      <c r="C1103" t="s">
        <v>16</v>
      </c>
      <c r="D1103" t="s">
        <v>11</v>
      </c>
      <c r="E1103">
        <v>2.38</v>
      </c>
      <c r="F1103">
        <v>161.6</v>
      </c>
      <c r="G1103">
        <v>4.3099999999999996</v>
      </c>
      <c r="H1103" s="3">
        <f t="shared" si="68"/>
        <v>45047</v>
      </c>
      <c r="I1103">
        <f>MONTH(Table1[[#This Row],[Date]])</f>
        <v>5</v>
      </c>
      <c r="J1103" t="str">
        <f t="shared" si="69"/>
        <v>Q2</v>
      </c>
      <c r="K1103" t="str">
        <f t="shared" si="70"/>
        <v>May-2023</v>
      </c>
      <c r="L1103" t="str">
        <f t="shared" si="71"/>
        <v>High</v>
      </c>
    </row>
    <row r="1104" spans="1:12" x14ac:dyDescent="0.3">
      <c r="A1104">
        <v>2023</v>
      </c>
      <c r="B1104" s="2" t="s">
        <v>21</v>
      </c>
      <c r="C1104" t="s">
        <v>16</v>
      </c>
      <c r="D1104" t="s">
        <v>12</v>
      </c>
      <c r="E1104">
        <v>6.53</v>
      </c>
      <c r="F1104">
        <v>163.6</v>
      </c>
      <c r="G1104">
        <v>4.3899999999999997</v>
      </c>
      <c r="H1104" s="3">
        <f t="shared" si="68"/>
        <v>45047</v>
      </c>
      <c r="I1104">
        <f>MONTH(Table1[[#This Row],[Date]])</f>
        <v>5</v>
      </c>
      <c r="J1104" t="str">
        <f t="shared" si="69"/>
        <v>Q2</v>
      </c>
      <c r="K1104" t="str">
        <f t="shared" si="70"/>
        <v>May-2023</v>
      </c>
      <c r="L1104" t="str">
        <f t="shared" si="71"/>
        <v>High</v>
      </c>
    </row>
    <row r="1105" spans="1:12" x14ac:dyDescent="0.3">
      <c r="A1105">
        <v>2023</v>
      </c>
      <c r="B1105" s="2" t="s">
        <v>21</v>
      </c>
      <c r="C1105" t="s">
        <v>16</v>
      </c>
      <c r="D1105" t="s">
        <v>13</v>
      </c>
      <c r="E1105">
        <v>10.07</v>
      </c>
      <c r="F1105">
        <v>165.6</v>
      </c>
      <c r="G1105">
        <v>4.47</v>
      </c>
      <c r="H1105" s="3">
        <f t="shared" si="68"/>
        <v>45047</v>
      </c>
      <c r="I1105">
        <f>MONTH(Table1[[#This Row],[Date]])</f>
        <v>5</v>
      </c>
      <c r="J1105" t="str">
        <f t="shared" si="69"/>
        <v>Q2</v>
      </c>
      <c r="K1105" t="str">
        <f t="shared" si="70"/>
        <v>May-2023</v>
      </c>
      <c r="L1105" t="str">
        <f t="shared" si="71"/>
        <v>High</v>
      </c>
    </row>
    <row r="1106" spans="1:12" x14ac:dyDescent="0.3">
      <c r="A1106">
        <v>2023</v>
      </c>
      <c r="B1106" s="2" t="s">
        <v>21</v>
      </c>
      <c r="C1106" t="s">
        <v>16</v>
      </c>
      <c r="D1106" t="s">
        <v>14</v>
      </c>
      <c r="E1106">
        <v>6.84</v>
      </c>
      <c r="F1106">
        <v>167.6</v>
      </c>
      <c r="G1106">
        <v>4.55</v>
      </c>
      <c r="H1106" s="3">
        <f t="shared" si="68"/>
        <v>45047</v>
      </c>
      <c r="I1106">
        <f>MONTH(Table1[[#This Row],[Date]])</f>
        <v>5</v>
      </c>
      <c r="J1106" t="str">
        <f t="shared" si="69"/>
        <v>Q2</v>
      </c>
      <c r="K1106" t="str">
        <f t="shared" si="70"/>
        <v>May-2023</v>
      </c>
      <c r="L1106" t="str">
        <f t="shared" si="71"/>
        <v>High</v>
      </c>
    </row>
    <row r="1107" spans="1:12" x14ac:dyDescent="0.3">
      <c r="A1107">
        <v>2023</v>
      </c>
      <c r="B1107" s="2" t="s">
        <v>21</v>
      </c>
      <c r="C1107" t="s">
        <v>16</v>
      </c>
      <c r="D1107" t="s">
        <v>15</v>
      </c>
      <c r="E1107">
        <v>28.32</v>
      </c>
      <c r="F1107">
        <v>169.6</v>
      </c>
      <c r="G1107">
        <v>4.63</v>
      </c>
      <c r="H1107" s="3">
        <f t="shared" si="68"/>
        <v>45047</v>
      </c>
      <c r="I1107">
        <f>MONTH(Table1[[#This Row],[Date]])</f>
        <v>5</v>
      </c>
      <c r="J1107" t="str">
        <f t="shared" si="69"/>
        <v>Q2</v>
      </c>
      <c r="K1107" t="str">
        <f t="shared" si="70"/>
        <v>May-2023</v>
      </c>
      <c r="L1107" t="str">
        <f t="shared" si="71"/>
        <v>High</v>
      </c>
    </row>
    <row r="1108" spans="1:12" x14ac:dyDescent="0.3">
      <c r="A1108">
        <v>2023</v>
      </c>
      <c r="B1108" s="2" t="s">
        <v>21</v>
      </c>
      <c r="C1108" t="s">
        <v>17</v>
      </c>
      <c r="D1108" t="s">
        <v>9</v>
      </c>
      <c r="E1108">
        <v>100</v>
      </c>
      <c r="F1108">
        <v>158.19999999999999</v>
      </c>
      <c r="G1108">
        <v>4.1500000000000004</v>
      </c>
      <c r="H1108" s="3">
        <f t="shared" si="68"/>
        <v>45047</v>
      </c>
      <c r="I1108">
        <f>MONTH(Table1[[#This Row],[Date]])</f>
        <v>5</v>
      </c>
      <c r="J1108" t="str">
        <f t="shared" si="69"/>
        <v>Q2</v>
      </c>
      <c r="K1108" t="str">
        <f t="shared" si="70"/>
        <v>May-2023</v>
      </c>
      <c r="L1108" t="str">
        <f t="shared" si="71"/>
        <v>High</v>
      </c>
    </row>
    <row r="1109" spans="1:12" x14ac:dyDescent="0.3">
      <c r="A1109">
        <v>2023</v>
      </c>
      <c r="B1109" s="2" t="s">
        <v>21</v>
      </c>
      <c r="C1109" t="s">
        <v>17</v>
      </c>
      <c r="D1109" t="s">
        <v>10</v>
      </c>
      <c r="E1109">
        <v>45.86</v>
      </c>
      <c r="F1109">
        <v>160.19999999999999</v>
      </c>
      <c r="G1109">
        <v>4.2300000000000004</v>
      </c>
      <c r="H1109" s="3">
        <f t="shared" si="68"/>
        <v>45047</v>
      </c>
      <c r="I1109">
        <f>MONTH(Table1[[#This Row],[Date]])</f>
        <v>5</v>
      </c>
      <c r="J1109" t="str">
        <f t="shared" si="69"/>
        <v>Q2</v>
      </c>
      <c r="K1109" t="str">
        <f t="shared" si="70"/>
        <v>May-2023</v>
      </c>
      <c r="L1109" t="str">
        <f t="shared" si="71"/>
        <v>High</v>
      </c>
    </row>
    <row r="1110" spans="1:12" x14ac:dyDescent="0.3">
      <c r="A1110">
        <v>2023</v>
      </c>
      <c r="B1110" s="2" t="s">
        <v>21</v>
      </c>
      <c r="C1110" t="s">
        <v>17</v>
      </c>
      <c r="D1110" t="s">
        <v>11</v>
      </c>
      <c r="E1110">
        <v>2.38</v>
      </c>
      <c r="F1110">
        <v>162.19999999999999</v>
      </c>
      <c r="G1110">
        <v>4.3099999999999996</v>
      </c>
      <c r="H1110" s="3">
        <f t="shared" si="68"/>
        <v>45047</v>
      </c>
      <c r="I1110">
        <f>MONTH(Table1[[#This Row],[Date]])</f>
        <v>5</v>
      </c>
      <c r="J1110" t="str">
        <f t="shared" si="69"/>
        <v>Q2</v>
      </c>
      <c r="K1110" t="str">
        <f t="shared" si="70"/>
        <v>May-2023</v>
      </c>
      <c r="L1110" t="str">
        <f t="shared" si="71"/>
        <v>High</v>
      </c>
    </row>
    <row r="1111" spans="1:12" x14ac:dyDescent="0.3">
      <c r="A1111">
        <v>2023</v>
      </c>
      <c r="B1111" s="2" t="s">
        <v>21</v>
      </c>
      <c r="C1111" t="s">
        <v>17</v>
      </c>
      <c r="D1111" t="s">
        <v>12</v>
      </c>
      <c r="E1111">
        <v>6.53</v>
      </c>
      <c r="F1111">
        <v>164.2</v>
      </c>
      <c r="G1111">
        <v>4.3899999999999997</v>
      </c>
      <c r="H1111" s="3">
        <f t="shared" si="68"/>
        <v>45047</v>
      </c>
      <c r="I1111">
        <f>MONTH(Table1[[#This Row],[Date]])</f>
        <v>5</v>
      </c>
      <c r="J1111" t="str">
        <f t="shared" si="69"/>
        <v>Q2</v>
      </c>
      <c r="K1111" t="str">
        <f t="shared" si="70"/>
        <v>May-2023</v>
      </c>
      <c r="L1111" t="str">
        <f t="shared" si="71"/>
        <v>High</v>
      </c>
    </row>
    <row r="1112" spans="1:12" x14ac:dyDescent="0.3">
      <c r="A1112">
        <v>2023</v>
      </c>
      <c r="B1112" s="2" t="s">
        <v>21</v>
      </c>
      <c r="C1112" t="s">
        <v>17</v>
      </c>
      <c r="D1112" t="s">
        <v>13</v>
      </c>
      <c r="E1112">
        <v>10.07</v>
      </c>
      <c r="F1112">
        <v>166.2</v>
      </c>
      <c r="G1112">
        <v>4.47</v>
      </c>
      <c r="H1112" s="3">
        <f t="shared" si="68"/>
        <v>45047</v>
      </c>
      <c r="I1112">
        <f>MONTH(Table1[[#This Row],[Date]])</f>
        <v>5</v>
      </c>
      <c r="J1112" t="str">
        <f t="shared" si="69"/>
        <v>Q2</v>
      </c>
      <c r="K1112" t="str">
        <f t="shared" si="70"/>
        <v>May-2023</v>
      </c>
      <c r="L1112" t="str">
        <f t="shared" si="71"/>
        <v>High</v>
      </c>
    </row>
    <row r="1113" spans="1:12" x14ac:dyDescent="0.3">
      <c r="A1113">
        <v>2023</v>
      </c>
      <c r="B1113" s="2" t="s">
        <v>21</v>
      </c>
      <c r="C1113" t="s">
        <v>17</v>
      </c>
      <c r="D1113" t="s">
        <v>14</v>
      </c>
      <c r="E1113">
        <v>6.84</v>
      </c>
      <c r="F1113">
        <v>168.2</v>
      </c>
      <c r="G1113">
        <v>4.55</v>
      </c>
      <c r="H1113" s="3">
        <f t="shared" si="68"/>
        <v>45047</v>
      </c>
      <c r="I1113">
        <f>MONTH(Table1[[#This Row],[Date]])</f>
        <v>5</v>
      </c>
      <c r="J1113" t="str">
        <f t="shared" si="69"/>
        <v>Q2</v>
      </c>
      <c r="K1113" t="str">
        <f t="shared" si="70"/>
        <v>May-2023</v>
      </c>
      <c r="L1113" t="str">
        <f t="shared" si="71"/>
        <v>High</v>
      </c>
    </row>
    <row r="1114" spans="1:12" x14ac:dyDescent="0.3">
      <c r="A1114">
        <v>2023</v>
      </c>
      <c r="B1114" s="2" t="s">
        <v>21</v>
      </c>
      <c r="C1114" t="s">
        <v>17</v>
      </c>
      <c r="D1114" t="s">
        <v>15</v>
      </c>
      <c r="E1114">
        <v>28.32</v>
      </c>
      <c r="F1114">
        <v>170.2</v>
      </c>
      <c r="G1114">
        <v>4.63</v>
      </c>
      <c r="H1114" s="3">
        <f t="shared" si="68"/>
        <v>45047</v>
      </c>
      <c r="I1114">
        <f>MONTH(Table1[[#This Row],[Date]])</f>
        <v>5</v>
      </c>
      <c r="J1114" t="str">
        <f t="shared" si="69"/>
        <v>Q2</v>
      </c>
      <c r="K1114" t="str">
        <f t="shared" si="70"/>
        <v>May-2023</v>
      </c>
      <c r="L1114" t="str">
        <f t="shared" si="71"/>
        <v>High</v>
      </c>
    </row>
    <row r="1115" spans="1:12" x14ac:dyDescent="0.3">
      <c r="A1115">
        <v>2023</v>
      </c>
      <c r="B1115" s="2" t="s">
        <v>22</v>
      </c>
      <c r="C1115" t="s">
        <v>8</v>
      </c>
      <c r="D1115" t="s">
        <v>9</v>
      </c>
      <c r="E1115">
        <v>100</v>
      </c>
      <c r="F1115">
        <v>157.4</v>
      </c>
      <c r="G1115">
        <v>3.4</v>
      </c>
      <c r="H1115" s="3">
        <f t="shared" si="68"/>
        <v>45078</v>
      </c>
      <c r="I1115">
        <f>MONTH(Table1[[#This Row],[Date]])</f>
        <v>6</v>
      </c>
      <c r="J1115" t="str">
        <f t="shared" si="69"/>
        <v>Q2</v>
      </c>
      <c r="K1115" t="str">
        <f t="shared" si="70"/>
        <v>Jun-2023</v>
      </c>
      <c r="L1115" t="str">
        <f t="shared" si="71"/>
        <v>Medium</v>
      </c>
    </row>
    <row r="1116" spans="1:12" x14ac:dyDescent="0.3">
      <c r="A1116">
        <v>2023</v>
      </c>
      <c r="B1116" s="2" t="s">
        <v>22</v>
      </c>
      <c r="C1116" t="s">
        <v>8</v>
      </c>
      <c r="D1116" t="s">
        <v>10</v>
      </c>
      <c r="E1116">
        <v>45.86</v>
      </c>
      <c r="F1116">
        <v>159.4</v>
      </c>
      <c r="G1116">
        <v>3.48</v>
      </c>
      <c r="H1116" s="3">
        <f t="shared" si="68"/>
        <v>45078</v>
      </c>
      <c r="I1116">
        <f>MONTH(Table1[[#This Row],[Date]])</f>
        <v>6</v>
      </c>
      <c r="J1116" t="str">
        <f t="shared" si="69"/>
        <v>Q2</v>
      </c>
      <c r="K1116" t="str">
        <f t="shared" si="70"/>
        <v>Jun-2023</v>
      </c>
      <c r="L1116" t="str">
        <f t="shared" si="71"/>
        <v>Medium</v>
      </c>
    </row>
    <row r="1117" spans="1:12" x14ac:dyDescent="0.3">
      <c r="A1117">
        <v>2023</v>
      </c>
      <c r="B1117" s="2" t="s">
        <v>22</v>
      </c>
      <c r="C1117" t="s">
        <v>8</v>
      </c>
      <c r="D1117" t="s">
        <v>11</v>
      </c>
      <c r="E1117">
        <v>2.38</v>
      </c>
      <c r="F1117">
        <v>161.4</v>
      </c>
      <c r="G1117">
        <v>3.56</v>
      </c>
      <c r="H1117" s="3">
        <f t="shared" si="68"/>
        <v>45078</v>
      </c>
      <c r="I1117">
        <f>MONTH(Table1[[#This Row],[Date]])</f>
        <v>6</v>
      </c>
      <c r="J1117" t="str">
        <f t="shared" si="69"/>
        <v>Q2</v>
      </c>
      <c r="K1117" t="str">
        <f t="shared" si="70"/>
        <v>Jun-2023</v>
      </c>
      <c r="L1117" t="str">
        <f t="shared" si="71"/>
        <v>Medium</v>
      </c>
    </row>
    <row r="1118" spans="1:12" x14ac:dyDescent="0.3">
      <c r="A1118">
        <v>2023</v>
      </c>
      <c r="B1118" s="2" t="s">
        <v>22</v>
      </c>
      <c r="C1118" t="s">
        <v>8</v>
      </c>
      <c r="D1118" t="s">
        <v>12</v>
      </c>
      <c r="E1118">
        <v>6.53</v>
      </c>
      <c r="F1118">
        <v>163.4</v>
      </c>
      <c r="G1118">
        <v>3.64</v>
      </c>
      <c r="H1118" s="3">
        <f t="shared" si="68"/>
        <v>45078</v>
      </c>
      <c r="I1118">
        <f>MONTH(Table1[[#This Row],[Date]])</f>
        <v>6</v>
      </c>
      <c r="J1118" t="str">
        <f t="shared" si="69"/>
        <v>Q2</v>
      </c>
      <c r="K1118" t="str">
        <f t="shared" si="70"/>
        <v>Jun-2023</v>
      </c>
      <c r="L1118" t="str">
        <f t="shared" si="71"/>
        <v>Medium</v>
      </c>
    </row>
    <row r="1119" spans="1:12" x14ac:dyDescent="0.3">
      <c r="A1119">
        <v>2023</v>
      </c>
      <c r="B1119" s="2" t="s">
        <v>22</v>
      </c>
      <c r="C1119" t="s">
        <v>8</v>
      </c>
      <c r="D1119" t="s">
        <v>13</v>
      </c>
      <c r="E1119">
        <v>10.07</v>
      </c>
      <c r="F1119">
        <v>165.4</v>
      </c>
      <c r="G1119">
        <v>3.72</v>
      </c>
      <c r="H1119" s="3">
        <f t="shared" si="68"/>
        <v>45078</v>
      </c>
      <c r="I1119">
        <f>MONTH(Table1[[#This Row],[Date]])</f>
        <v>6</v>
      </c>
      <c r="J1119" t="str">
        <f t="shared" si="69"/>
        <v>Q2</v>
      </c>
      <c r="K1119" t="str">
        <f t="shared" si="70"/>
        <v>Jun-2023</v>
      </c>
      <c r="L1119" t="str">
        <f t="shared" si="71"/>
        <v>Medium</v>
      </c>
    </row>
    <row r="1120" spans="1:12" x14ac:dyDescent="0.3">
      <c r="A1120">
        <v>2023</v>
      </c>
      <c r="B1120" s="2" t="s">
        <v>22</v>
      </c>
      <c r="C1120" t="s">
        <v>8</v>
      </c>
      <c r="D1120" t="s">
        <v>14</v>
      </c>
      <c r="E1120">
        <v>6.84</v>
      </c>
      <c r="F1120">
        <v>167.4</v>
      </c>
      <c r="G1120">
        <v>3.8</v>
      </c>
      <c r="H1120" s="3">
        <f t="shared" si="68"/>
        <v>45078</v>
      </c>
      <c r="I1120">
        <f>MONTH(Table1[[#This Row],[Date]])</f>
        <v>6</v>
      </c>
      <c r="J1120" t="str">
        <f t="shared" si="69"/>
        <v>Q2</v>
      </c>
      <c r="K1120" t="str">
        <f t="shared" si="70"/>
        <v>Jun-2023</v>
      </c>
      <c r="L1120" t="str">
        <f t="shared" si="71"/>
        <v>Medium</v>
      </c>
    </row>
    <row r="1121" spans="1:12" x14ac:dyDescent="0.3">
      <c r="A1121">
        <v>2023</v>
      </c>
      <c r="B1121" s="2" t="s">
        <v>22</v>
      </c>
      <c r="C1121" t="s">
        <v>8</v>
      </c>
      <c r="D1121" t="s">
        <v>15</v>
      </c>
      <c r="E1121">
        <v>28.32</v>
      </c>
      <c r="F1121">
        <v>169.4</v>
      </c>
      <c r="G1121">
        <v>3.88</v>
      </c>
      <c r="H1121" s="3">
        <f t="shared" si="68"/>
        <v>45078</v>
      </c>
      <c r="I1121">
        <f>MONTH(Table1[[#This Row],[Date]])</f>
        <v>6</v>
      </c>
      <c r="J1121" t="str">
        <f t="shared" si="69"/>
        <v>Q2</v>
      </c>
      <c r="K1121" t="str">
        <f t="shared" si="70"/>
        <v>Jun-2023</v>
      </c>
      <c r="L1121" t="str">
        <f t="shared" si="71"/>
        <v>Medium</v>
      </c>
    </row>
    <row r="1122" spans="1:12" x14ac:dyDescent="0.3">
      <c r="A1122">
        <v>2023</v>
      </c>
      <c r="B1122" s="2" t="s">
        <v>22</v>
      </c>
      <c r="C1122" t="s">
        <v>16</v>
      </c>
      <c r="D1122" t="s">
        <v>9</v>
      </c>
      <c r="E1122">
        <v>100</v>
      </c>
      <c r="F1122">
        <v>158</v>
      </c>
      <c r="G1122">
        <v>3.4</v>
      </c>
      <c r="H1122" s="3">
        <f t="shared" si="68"/>
        <v>45078</v>
      </c>
      <c r="I1122">
        <f>MONTH(Table1[[#This Row],[Date]])</f>
        <v>6</v>
      </c>
      <c r="J1122" t="str">
        <f t="shared" si="69"/>
        <v>Q2</v>
      </c>
      <c r="K1122" t="str">
        <f t="shared" si="70"/>
        <v>Jun-2023</v>
      </c>
      <c r="L1122" t="str">
        <f t="shared" si="71"/>
        <v>Medium</v>
      </c>
    </row>
    <row r="1123" spans="1:12" x14ac:dyDescent="0.3">
      <c r="A1123">
        <v>2023</v>
      </c>
      <c r="B1123" s="2" t="s">
        <v>22</v>
      </c>
      <c r="C1123" t="s">
        <v>16</v>
      </c>
      <c r="D1123" t="s">
        <v>10</v>
      </c>
      <c r="E1123">
        <v>45.86</v>
      </c>
      <c r="F1123">
        <v>160</v>
      </c>
      <c r="G1123">
        <v>3.48</v>
      </c>
      <c r="H1123" s="3">
        <f t="shared" si="68"/>
        <v>45078</v>
      </c>
      <c r="I1123">
        <f>MONTH(Table1[[#This Row],[Date]])</f>
        <v>6</v>
      </c>
      <c r="J1123" t="str">
        <f t="shared" si="69"/>
        <v>Q2</v>
      </c>
      <c r="K1123" t="str">
        <f t="shared" si="70"/>
        <v>Jun-2023</v>
      </c>
      <c r="L1123" t="str">
        <f t="shared" si="71"/>
        <v>Medium</v>
      </c>
    </row>
    <row r="1124" spans="1:12" x14ac:dyDescent="0.3">
      <c r="A1124">
        <v>2023</v>
      </c>
      <c r="B1124" s="2" t="s">
        <v>22</v>
      </c>
      <c r="C1124" t="s">
        <v>16</v>
      </c>
      <c r="D1124" t="s">
        <v>11</v>
      </c>
      <c r="E1124">
        <v>2.38</v>
      </c>
      <c r="F1124">
        <v>162</v>
      </c>
      <c r="G1124">
        <v>3.56</v>
      </c>
      <c r="H1124" s="3">
        <f t="shared" si="68"/>
        <v>45078</v>
      </c>
      <c r="I1124">
        <f>MONTH(Table1[[#This Row],[Date]])</f>
        <v>6</v>
      </c>
      <c r="J1124" t="str">
        <f t="shared" si="69"/>
        <v>Q2</v>
      </c>
      <c r="K1124" t="str">
        <f t="shared" si="70"/>
        <v>Jun-2023</v>
      </c>
      <c r="L1124" t="str">
        <f t="shared" si="71"/>
        <v>Medium</v>
      </c>
    </row>
    <row r="1125" spans="1:12" x14ac:dyDescent="0.3">
      <c r="A1125">
        <v>2023</v>
      </c>
      <c r="B1125" s="2" t="s">
        <v>22</v>
      </c>
      <c r="C1125" t="s">
        <v>16</v>
      </c>
      <c r="D1125" t="s">
        <v>12</v>
      </c>
      <c r="E1125">
        <v>6.53</v>
      </c>
      <c r="F1125">
        <v>164</v>
      </c>
      <c r="G1125">
        <v>3.64</v>
      </c>
      <c r="H1125" s="3">
        <f t="shared" si="68"/>
        <v>45078</v>
      </c>
      <c r="I1125">
        <f>MONTH(Table1[[#This Row],[Date]])</f>
        <v>6</v>
      </c>
      <c r="J1125" t="str">
        <f t="shared" si="69"/>
        <v>Q2</v>
      </c>
      <c r="K1125" t="str">
        <f t="shared" si="70"/>
        <v>Jun-2023</v>
      </c>
      <c r="L1125" t="str">
        <f t="shared" si="71"/>
        <v>Medium</v>
      </c>
    </row>
    <row r="1126" spans="1:12" x14ac:dyDescent="0.3">
      <c r="A1126">
        <v>2023</v>
      </c>
      <c r="B1126" s="2" t="s">
        <v>22</v>
      </c>
      <c r="C1126" t="s">
        <v>16</v>
      </c>
      <c r="D1126" t="s">
        <v>13</v>
      </c>
      <c r="E1126">
        <v>10.07</v>
      </c>
      <c r="F1126">
        <v>166</v>
      </c>
      <c r="G1126">
        <v>3.72</v>
      </c>
      <c r="H1126" s="3">
        <f t="shared" si="68"/>
        <v>45078</v>
      </c>
      <c r="I1126">
        <f>MONTH(Table1[[#This Row],[Date]])</f>
        <v>6</v>
      </c>
      <c r="J1126" t="str">
        <f t="shared" si="69"/>
        <v>Q2</v>
      </c>
      <c r="K1126" t="str">
        <f t="shared" si="70"/>
        <v>Jun-2023</v>
      </c>
      <c r="L1126" t="str">
        <f t="shared" si="71"/>
        <v>Medium</v>
      </c>
    </row>
    <row r="1127" spans="1:12" x14ac:dyDescent="0.3">
      <c r="A1127">
        <v>2023</v>
      </c>
      <c r="B1127" s="2" t="s">
        <v>22</v>
      </c>
      <c r="C1127" t="s">
        <v>16</v>
      </c>
      <c r="D1127" t="s">
        <v>14</v>
      </c>
      <c r="E1127">
        <v>6.84</v>
      </c>
      <c r="F1127">
        <v>168</v>
      </c>
      <c r="G1127">
        <v>3.8</v>
      </c>
      <c r="H1127" s="3">
        <f t="shared" si="68"/>
        <v>45078</v>
      </c>
      <c r="I1127">
        <f>MONTH(Table1[[#This Row],[Date]])</f>
        <v>6</v>
      </c>
      <c r="J1127" t="str">
        <f t="shared" si="69"/>
        <v>Q2</v>
      </c>
      <c r="K1127" t="str">
        <f t="shared" si="70"/>
        <v>Jun-2023</v>
      </c>
      <c r="L1127" t="str">
        <f t="shared" si="71"/>
        <v>Medium</v>
      </c>
    </row>
    <row r="1128" spans="1:12" x14ac:dyDescent="0.3">
      <c r="A1128">
        <v>2023</v>
      </c>
      <c r="B1128" s="2" t="s">
        <v>22</v>
      </c>
      <c r="C1128" t="s">
        <v>16</v>
      </c>
      <c r="D1128" t="s">
        <v>15</v>
      </c>
      <c r="E1128">
        <v>28.32</v>
      </c>
      <c r="F1128">
        <v>170</v>
      </c>
      <c r="G1128">
        <v>3.88</v>
      </c>
      <c r="H1128" s="3">
        <f t="shared" si="68"/>
        <v>45078</v>
      </c>
      <c r="I1128">
        <f>MONTH(Table1[[#This Row],[Date]])</f>
        <v>6</v>
      </c>
      <c r="J1128" t="str">
        <f t="shared" si="69"/>
        <v>Q2</v>
      </c>
      <c r="K1128" t="str">
        <f t="shared" si="70"/>
        <v>Jun-2023</v>
      </c>
      <c r="L1128" t="str">
        <f t="shared" si="71"/>
        <v>Medium</v>
      </c>
    </row>
    <row r="1129" spans="1:12" x14ac:dyDescent="0.3">
      <c r="A1129">
        <v>2023</v>
      </c>
      <c r="B1129" s="2" t="s">
        <v>22</v>
      </c>
      <c r="C1129" t="s">
        <v>17</v>
      </c>
      <c r="D1129" t="s">
        <v>9</v>
      </c>
      <c r="E1129">
        <v>100</v>
      </c>
      <c r="F1129">
        <v>158.6</v>
      </c>
      <c r="G1129">
        <v>3.4</v>
      </c>
      <c r="H1129" s="3">
        <f t="shared" si="68"/>
        <v>45078</v>
      </c>
      <c r="I1129">
        <f>MONTH(Table1[[#This Row],[Date]])</f>
        <v>6</v>
      </c>
      <c r="J1129" t="str">
        <f t="shared" si="69"/>
        <v>Q2</v>
      </c>
      <c r="K1129" t="str">
        <f t="shared" si="70"/>
        <v>Jun-2023</v>
      </c>
      <c r="L1129" t="str">
        <f t="shared" si="71"/>
        <v>Medium</v>
      </c>
    </row>
    <row r="1130" spans="1:12" x14ac:dyDescent="0.3">
      <c r="A1130">
        <v>2023</v>
      </c>
      <c r="B1130" s="2" t="s">
        <v>22</v>
      </c>
      <c r="C1130" t="s">
        <v>17</v>
      </c>
      <c r="D1130" t="s">
        <v>10</v>
      </c>
      <c r="E1130">
        <v>45.86</v>
      </c>
      <c r="F1130">
        <v>160.6</v>
      </c>
      <c r="G1130">
        <v>3.48</v>
      </c>
      <c r="H1130" s="3">
        <f t="shared" si="68"/>
        <v>45078</v>
      </c>
      <c r="I1130">
        <f>MONTH(Table1[[#This Row],[Date]])</f>
        <v>6</v>
      </c>
      <c r="J1130" t="str">
        <f t="shared" si="69"/>
        <v>Q2</v>
      </c>
      <c r="K1130" t="str">
        <f t="shared" si="70"/>
        <v>Jun-2023</v>
      </c>
      <c r="L1130" t="str">
        <f t="shared" si="71"/>
        <v>Medium</v>
      </c>
    </row>
    <row r="1131" spans="1:12" x14ac:dyDescent="0.3">
      <c r="A1131">
        <v>2023</v>
      </c>
      <c r="B1131" s="2" t="s">
        <v>22</v>
      </c>
      <c r="C1131" t="s">
        <v>17</v>
      </c>
      <c r="D1131" t="s">
        <v>11</v>
      </c>
      <c r="E1131">
        <v>2.38</v>
      </c>
      <c r="F1131">
        <v>162.6</v>
      </c>
      <c r="G1131">
        <v>3.56</v>
      </c>
      <c r="H1131" s="3">
        <f t="shared" si="68"/>
        <v>45078</v>
      </c>
      <c r="I1131">
        <f>MONTH(Table1[[#This Row],[Date]])</f>
        <v>6</v>
      </c>
      <c r="J1131" t="str">
        <f t="shared" si="69"/>
        <v>Q2</v>
      </c>
      <c r="K1131" t="str">
        <f t="shared" si="70"/>
        <v>Jun-2023</v>
      </c>
      <c r="L1131" t="str">
        <f t="shared" si="71"/>
        <v>Medium</v>
      </c>
    </row>
    <row r="1132" spans="1:12" x14ac:dyDescent="0.3">
      <c r="A1132">
        <v>2023</v>
      </c>
      <c r="B1132" s="2" t="s">
        <v>22</v>
      </c>
      <c r="C1132" t="s">
        <v>17</v>
      </c>
      <c r="D1132" t="s">
        <v>12</v>
      </c>
      <c r="E1132">
        <v>6.53</v>
      </c>
      <c r="F1132">
        <v>164.6</v>
      </c>
      <c r="G1132">
        <v>3.64</v>
      </c>
      <c r="H1132" s="3">
        <f t="shared" si="68"/>
        <v>45078</v>
      </c>
      <c r="I1132">
        <f>MONTH(Table1[[#This Row],[Date]])</f>
        <v>6</v>
      </c>
      <c r="J1132" t="str">
        <f t="shared" si="69"/>
        <v>Q2</v>
      </c>
      <c r="K1132" t="str">
        <f t="shared" si="70"/>
        <v>Jun-2023</v>
      </c>
      <c r="L1132" t="str">
        <f t="shared" si="71"/>
        <v>Medium</v>
      </c>
    </row>
    <row r="1133" spans="1:12" x14ac:dyDescent="0.3">
      <c r="A1133">
        <v>2023</v>
      </c>
      <c r="B1133" s="2" t="s">
        <v>22</v>
      </c>
      <c r="C1133" t="s">
        <v>17</v>
      </c>
      <c r="D1133" t="s">
        <v>13</v>
      </c>
      <c r="E1133">
        <v>10.07</v>
      </c>
      <c r="F1133">
        <v>166.6</v>
      </c>
      <c r="G1133">
        <v>3.72</v>
      </c>
      <c r="H1133" s="3">
        <f t="shared" si="68"/>
        <v>45078</v>
      </c>
      <c r="I1133">
        <f>MONTH(Table1[[#This Row],[Date]])</f>
        <v>6</v>
      </c>
      <c r="J1133" t="str">
        <f t="shared" si="69"/>
        <v>Q2</v>
      </c>
      <c r="K1133" t="str">
        <f t="shared" si="70"/>
        <v>Jun-2023</v>
      </c>
      <c r="L1133" t="str">
        <f t="shared" si="71"/>
        <v>Medium</v>
      </c>
    </row>
    <row r="1134" spans="1:12" x14ac:dyDescent="0.3">
      <c r="A1134">
        <v>2023</v>
      </c>
      <c r="B1134" s="2" t="s">
        <v>22</v>
      </c>
      <c r="C1134" t="s">
        <v>17</v>
      </c>
      <c r="D1134" t="s">
        <v>14</v>
      </c>
      <c r="E1134">
        <v>6.84</v>
      </c>
      <c r="F1134">
        <v>168.6</v>
      </c>
      <c r="G1134">
        <v>3.8</v>
      </c>
      <c r="H1134" s="3">
        <f t="shared" si="68"/>
        <v>45078</v>
      </c>
      <c r="I1134">
        <f>MONTH(Table1[[#This Row],[Date]])</f>
        <v>6</v>
      </c>
      <c r="J1134" t="str">
        <f t="shared" si="69"/>
        <v>Q2</v>
      </c>
      <c r="K1134" t="str">
        <f t="shared" si="70"/>
        <v>Jun-2023</v>
      </c>
      <c r="L1134" t="str">
        <f t="shared" si="71"/>
        <v>Medium</v>
      </c>
    </row>
    <row r="1135" spans="1:12" x14ac:dyDescent="0.3">
      <c r="A1135">
        <v>2023</v>
      </c>
      <c r="B1135" s="2" t="s">
        <v>22</v>
      </c>
      <c r="C1135" t="s">
        <v>17</v>
      </c>
      <c r="D1135" t="s">
        <v>15</v>
      </c>
      <c r="E1135">
        <v>28.32</v>
      </c>
      <c r="F1135">
        <v>170.6</v>
      </c>
      <c r="G1135">
        <v>3.88</v>
      </c>
      <c r="H1135" s="3">
        <f t="shared" si="68"/>
        <v>45078</v>
      </c>
      <c r="I1135">
        <f>MONTH(Table1[[#This Row],[Date]])</f>
        <v>6</v>
      </c>
      <c r="J1135" t="str">
        <f t="shared" si="69"/>
        <v>Q2</v>
      </c>
      <c r="K1135" t="str">
        <f t="shared" si="70"/>
        <v>Jun-2023</v>
      </c>
      <c r="L1135" t="str">
        <f t="shared" si="71"/>
        <v>Medium</v>
      </c>
    </row>
    <row r="1136" spans="1:12" x14ac:dyDescent="0.3">
      <c r="A1136">
        <v>2023</v>
      </c>
      <c r="B1136" s="2" t="s">
        <v>23</v>
      </c>
      <c r="C1136" t="s">
        <v>8</v>
      </c>
      <c r="D1136" t="s">
        <v>9</v>
      </c>
      <c r="E1136">
        <v>100</v>
      </c>
      <c r="F1136">
        <v>157.80000000000001</v>
      </c>
      <c r="G1136">
        <v>3.55</v>
      </c>
      <c r="H1136" s="3">
        <f t="shared" si="68"/>
        <v>45108</v>
      </c>
      <c r="I1136">
        <f>MONTH(Table1[[#This Row],[Date]])</f>
        <v>7</v>
      </c>
      <c r="J1136" t="str">
        <f t="shared" si="69"/>
        <v>Q3</v>
      </c>
      <c r="K1136" t="str">
        <f t="shared" si="70"/>
        <v>Jul-2023</v>
      </c>
      <c r="L1136" t="str">
        <f t="shared" si="71"/>
        <v>Medium</v>
      </c>
    </row>
    <row r="1137" spans="1:12" x14ac:dyDescent="0.3">
      <c r="A1137">
        <v>2023</v>
      </c>
      <c r="B1137" s="2" t="s">
        <v>23</v>
      </c>
      <c r="C1137" t="s">
        <v>8</v>
      </c>
      <c r="D1137" t="s">
        <v>10</v>
      </c>
      <c r="E1137">
        <v>45.86</v>
      </c>
      <c r="F1137">
        <v>159.80000000000001</v>
      </c>
      <c r="G1137">
        <v>3.63</v>
      </c>
      <c r="H1137" s="3">
        <f t="shared" si="68"/>
        <v>45108</v>
      </c>
      <c r="I1137">
        <f>MONTH(Table1[[#This Row],[Date]])</f>
        <v>7</v>
      </c>
      <c r="J1137" t="str">
        <f t="shared" si="69"/>
        <v>Q3</v>
      </c>
      <c r="K1137" t="str">
        <f t="shared" si="70"/>
        <v>Jul-2023</v>
      </c>
      <c r="L1137" t="str">
        <f t="shared" si="71"/>
        <v>Medium</v>
      </c>
    </row>
    <row r="1138" spans="1:12" x14ac:dyDescent="0.3">
      <c r="A1138">
        <v>2023</v>
      </c>
      <c r="B1138" s="2" t="s">
        <v>23</v>
      </c>
      <c r="C1138" t="s">
        <v>8</v>
      </c>
      <c r="D1138" t="s">
        <v>11</v>
      </c>
      <c r="E1138">
        <v>2.38</v>
      </c>
      <c r="F1138">
        <v>161.80000000000001</v>
      </c>
      <c r="G1138">
        <v>3.71</v>
      </c>
      <c r="H1138" s="3">
        <f t="shared" si="68"/>
        <v>45108</v>
      </c>
      <c r="I1138">
        <f>MONTH(Table1[[#This Row],[Date]])</f>
        <v>7</v>
      </c>
      <c r="J1138" t="str">
        <f t="shared" si="69"/>
        <v>Q3</v>
      </c>
      <c r="K1138" t="str">
        <f t="shared" si="70"/>
        <v>Jul-2023</v>
      </c>
      <c r="L1138" t="str">
        <f t="shared" si="71"/>
        <v>Medium</v>
      </c>
    </row>
    <row r="1139" spans="1:12" x14ac:dyDescent="0.3">
      <c r="A1139">
        <v>2023</v>
      </c>
      <c r="B1139" s="2" t="s">
        <v>23</v>
      </c>
      <c r="C1139" t="s">
        <v>8</v>
      </c>
      <c r="D1139" t="s">
        <v>12</v>
      </c>
      <c r="E1139">
        <v>6.53</v>
      </c>
      <c r="F1139">
        <v>163.80000000000001</v>
      </c>
      <c r="G1139">
        <v>3.79</v>
      </c>
      <c r="H1139" s="3">
        <f t="shared" si="68"/>
        <v>45108</v>
      </c>
      <c r="I1139">
        <f>MONTH(Table1[[#This Row],[Date]])</f>
        <v>7</v>
      </c>
      <c r="J1139" t="str">
        <f t="shared" si="69"/>
        <v>Q3</v>
      </c>
      <c r="K1139" t="str">
        <f t="shared" si="70"/>
        <v>Jul-2023</v>
      </c>
      <c r="L1139" t="str">
        <f t="shared" si="71"/>
        <v>Medium</v>
      </c>
    </row>
    <row r="1140" spans="1:12" x14ac:dyDescent="0.3">
      <c r="A1140">
        <v>2023</v>
      </c>
      <c r="B1140" s="2" t="s">
        <v>23</v>
      </c>
      <c r="C1140" t="s">
        <v>8</v>
      </c>
      <c r="D1140" t="s">
        <v>13</v>
      </c>
      <c r="E1140">
        <v>10.07</v>
      </c>
      <c r="F1140">
        <v>165.8</v>
      </c>
      <c r="G1140">
        <v>3.87</v>
      </c>
      <c r="H1140" s="3">
        <f t="shared" si="68"/>
        <v>45108</v>
      </c>
      <c r="I1140">
        <f>MONTH(Table1[[#This Row],[Date]])</f>
        <v>7</v>
      </c>
      <c r="J1140" t="str">
        <f t="shared" si="69"/>
        <v>Q3</v>
      </c>
      <c r="K1140" t="str">
        <f t="shared" si="70"/>
        <v>Jul-2023</v>
      </c>
      <c r="L1140" t="str">
        <f t="shared" si="71"/>
        <v>Medium</v>
      </c>
    </row>
    <row r="1141" spans="1:12" x14ac:dyDescent="0.3">
      <c r="A1141">
        <v>2023</v>
      </c>
      <c r="B1141" s="2" t="s">
        <v>23</v>
      </c>
      <c r="C1141" t="s">
        <v>8</v>
      </c>
      <c r="D1141" t="s">
        <v>14</v>
      </c>
      <c r="E1141">
        <v>6.84</v>
      </c>
      <c r="F1141">
        <v>167.8</v>
      </c>
      <c r="G1141">
        <v>3.95</v>
      </c>
      <c r="H1141" s="3">
        <f t="shared" si="68"/>
        <v>45108</v>
      </c>
      <c r="I1141">
        <f>MONTH(Table1[[#This Row],[Date]])</f>
        <v>7</v>
      </c>
      <c r="J1141" t="str">
        <f t="shared" si="69"/>
        <v>Q3</v>
      </c>
      <c r="K1141" t="str">
        <f t="shared" si="70"/>
        <v>Jul-2023</v>
      </c>
      <c r="L1141" t="str">
        <f t="shared" si="71"/>
        <v>Medium</v>
      </c>
    </row>
    <row r="1142" spans="1:12" x14ac:dyDescent="0.3">
      <c r="A1142">
        <v>2023</v>
      </c>
      <c r="B1142" s="2" t="s">
        <v>23</v>
      </c>
      <c r="C1142" t="s">
        <v>8</v>
      </c>
      <c r="D1142" t="s">
        <v>15</v>
      </c>
      <c r="E1142">
        <v>28.32</v>
      </c>
      <c r="F1142">
        <v>169.8</v>
      </c>
      <c r="G1142">
        <v>4.03</v>
      </c>
      <c r="H1142" s="3">
        <f t="shared" si="68"/>
        <v>45108</v>
      </c>
      <c r="I1142">
        <f>MONTH(Table1[[#This Row],[Date]])</f>
        <v>7</v>
      </c>
      <c r="J1142" t="str">
        <f t="shared" si="69"/>
        <v>Q3</v>
      </c>
      <c r="K1142" t="str">
        <f t="shared" si="70"/>
        <v>Jul-2023</v>
      </c>
      <c r="L1142" t="str">
        <f t="shared" si="71"/>
        <v>High</v>
      </c>
    </row>
    <row r="1143" spans="1:12" x14ac:dyDescent="0.3">
      <c r="A1143">
        <v>2023</v>
      </c>
      <c r="B1143" s="2" t="s">
        <v>23</v>
      </c>
      <c r="C1143" t="s">
        <v>16</v>
      </c>
      <c r="D1143" t="s">
        <v>9</v>
      </c>
      <c r="E1143">
        <v>100</v>
      </c>
      <c r="F1143">
        <v>158.4</v>
      </c>
      <c r="G1143">
        <v>3.55</v>
      </c>
      <c r="H1143" s="3">
        <f t="shared" si="68"/>
        <v>45108</v>
      </c>
      <c r="I1143">
        <f>MONTH(Table1[[#This Row],[Date]])</f>
        <v>7</v>
      </c>
      <c r="J1143" t="str">
        <f t="shared" si="69"/>
        <v>Q3</v>
      </c>
      <c r="K1143" t="str">
        <f t="shared" si="70"/>
        <v>Jul-2023</v>
      </c>
      <c r="L1143" t="str">
        <f t="shared" si="71"/>
        <v>Medium</v>
      </c>
    </row>
    <row r="1144" spans="1:12" x14ac:dyDescent="0.3">
      <c r="A1144">
        <v>2023</v>
      </c>
      <c r="B1144" s="2" t="s">
        <v>23</v>
      </c>
      <c r="C1144" t="s">
        <v>16</v>
      </c>
      <c r="D1144" t="s">
        <v>10</v>
      </c>
      <c r="E1144">
        <v>45.86</v>
      </c>
      <c r="F1144">
        <v>160.4</v>
      </c>
      <c r="G1144">
        <v>3.63</v>
      </c>
      <c r="H1144" s="3">
        <f t="shared" si="68"/>
        <v>45108</v>
      </c>
      <c r="I1144">
        <f>MONTH(Table1[[#This Row],[Date]])</f>
        <v>7</v>
      </c>
      <c r="J1144" t="str">
        <f t="shared" si="69"/>
        <v>Q3</v>
      </c>
      <c r="K1144" t="str">
        <f t="shared" si="70"/>
        <v>Jul-2023</v>
      </c>
      <c r="L1144" t="str">
        <f t="shared" si="71"/>
        <v>Medium</v>
      </c>
    </row>
    <row r="1145" spans="1:12" x14ac:dyDescent="0.3">
      <c r="A1145">
        <v>2023</v>
      </c>
      <c r="B1145" s="2" t="s">
        <v>23</v>
      </c>
      <c r="C1145" t="s">
        <v>16</v>
      </c>
      <c r="D1145" t="s">
        <v>11</v>
      </c>
      <c r="E1145">
        <v>2.38</v>
      </c>
      <c r="F1145">
        <v>162.4</v>
      </c>
      <c r="G1145">
        <v>3.71</v>
      </c>
      <c r="H1145" s="3">
        <f t="shared" si="68"/>
        <v>45108</v>
      </c>
      <c r="I1145">
        <f>MONTH(Table1[[#This Row],[Date]])</f>
        <v>7</v>
      </c>
      <c r="J1145" t="str">
        <f t="shared" si="69"/>
        <v>Q3</v>
      </c>
      <c r="K1145" t="str">
        <f t="shared" si="70"/>
        <v>Jul-2023</v>
      </c>
      <c r="L1145" t="str">
        <f t="shared" si="71"/>
        <v>Medium</v>
      </c>
    </row>
    <row r="1146" spans="1:12" x14ac:dyDescent="0.3">
      <c r="A1146">
        <v>2023</v>
      </c>
      <c r="B1146" s="2" t="s">
        <v>23</v>
      </c>
      <c r="C1146" t="s">
        <v>16</v>
      </c>
      <c r="D1146" t="s">
        <v>12</v>
      </c>
      <c r="E1146">
        <v>6.53</v>
      </c>
      <c r="F1146">
        <v>164.4</v>
      </c>
      <c r="G1146">
        <v>3.79</v>
      </c>
      <c r="H1146" s="3">
        <f t="shared" si="68"/>
        <v>45108</v>
      </c>
      <c r="I1146">
        <f>MONTH(Table1[[#This Row],[Date]])</f>
        <v>7</v>
      </c>
      <c r="J1146" t="str">
        <f t="shared" si="69"/>
        <v>Q3</v>
      </c>
      <c r="K1146" t="str">
        <f t="shared" si="70"/>
        <v>Jul-2023</v>
      </c>
      <c r="L1146" t="str">
        <f t="shared" si="71"/>
        <v>Medium</v>
      </c>
    </row>
    <row r="1147" spans="1:12" x14ac:dyDescent="0.3">
      <c r="A1147">
        <v>2023</v>
      </c>
      <c r="B1147" s="2" t="s">
        <v>23</v>
      </c>
      <c r="C1147" t="s">
        <v>16</v>
      </c>
      <c r="D1147" t="s">
        <v>13</v>
      </c>
      <c r="E1147">
        <v>10.07</v>
      </c>
      <c r="F1147">
        <v>166.4</v>
      </c>
      <c r="G1147">
        <v>3.87</v>
      </c>
      <c r="H1147" s="3">
        <f t="shared" si="68"/>
        <v>45108</v>
      </c>
      <c r="I1147">
        <f>MONTH(Table1[[#This Row],[Date]])</f>
        <v>7</v>
      </c>
      <c r="J1147" t="str">
        <f t="shared" si="69"/>
        <v>Q3</v>
      </c>
      <c r="K1147" t="str">
        <f t="shared" si="70"/>
        <v>Jul-2023</v>
      </c>
      <c r="L1147" t="str">
        <f t="shared" si="71"/>
        <v>Medium</v>
      </c>
    </row>
    <row r="1148" spans="1:12" x14ac:dyDescent="0.3">
      <c r="A1148">
        <v>2023</v>
      </c>
      <c r="B1148" s="2" t="s">
        <v>23</v>
      </c>
      <c r="C1148" t="s">
        <v>16</v>
      </c>
      <c r="D1148" t="s">
        <v>14</v>
      </c>
      <c r="E1148">
        <v>6.84</v>
      </c>
      <c r="F1148">
        <v>168.4</v>
      </c>
      <c r="G1148">
        <v>3.95</v>
      </c>
      <c r="H1148" s="3">
        <f t="shared" si="68"/>
        <v>45108</v>
      </c>
      <c r="I1148">
        <f>MONTH(Table1[[#This Row],[Date]])</f>
        <v>7</v>
      </c>
      <c r="J1148" t="str">
        <f t="shared" si="69"/>
        <v>Q3</v>
      </c>
      <c r="K1148" t="str">
        <f t="shared" si="70"/>
        <v>Jul-2023</v>
      </c>
      <c r="L1148" t="str">
        <f t="shared" si="71"/>
        <v>Medium</v>
      </c>
    </row>
    <row r="1149" spans="1:12" x14ac:dyDescent="0.3">
      <c r="A1149">
        <v>2023</v>
      </c>
      <c r="B1149" s="2" t="s">
        <v>23</v>
      </c>
      <c r="C1149" t="s">
        <v>16</v>
      </c>
      <c r="D1149" t="s">
        <v>15</v>
      </c>
      <c r="E1149">
        <v>28.32</v>
      </c>
      <c r="F1149">
        <v>170.4</v>
      </c>
      <c r="G1149">
        <v>4.03</v>
      </c>
      <c r="H1149" s="3">
        <f t="shared" si="68"/>
        <v>45108</v>
      </c>
      <c r="I1149">
        <f>MONTH(Table1[[#This Row],[Date]])</f>
        <v>7</v>
      </c>
      <c r="J1149" t="str">
        <f t="shared" si="69"/>
        <v>Q3</v>
      </c>
      <c r="K1149" t="str">
        <f t="shared" si="70"/>
        <v>Jul-2023</v>
      </c>
      <c r="L1149" t="str">
        <f t="shared" si="71"/>
        <v>High</v>
      </c>
    </row>
    <row r="1150" spans="1:12" x14ac:dyDescent="0.3">
      <c r="A1150">
        <v>2023</v>
      </c>
      <c r="B1150" s="2" t="s">
        <v>23</v>
      </c>
      <c r="C1150" t="s">
        <v>17</v>
      </c>
      <c r="D1150" t="s">
        <v>9</v>
      </c>
      <c r="E1150">
        <v>100</v>
      </c>
      <c r="F1150">
        <v>159</v>
      </c>
      <c r="G1150">
        <v>3.55</v>
      </c>
      <c r="H1150" s="3">
        <f t="shared" si="68"/>
        <v>45108</v>
      </c>
      <c r="I1150">
        <f>MONTH(Table1[[#This Row],[Date]])</f>
        <v>7</v>
      </c>
      <c r="J1150" t="str">
        <f t="shared" si="69"/>
        <v>Q3</v>
      </c>
      <c r="K1150" t="str">
        <f t="shared" si="70"/>
        <v>Jul-2023</v>
      </c>
      <c r="L1150" t="str">
        <f t="shared" si="71"/>
        <v>Medium</v>
      </c>
    </row>
    <row r="1151" spans="1:12" x14ac:dyDescent="0.3">
      <c r="A1151">
        <v>2023</v>
      </c>
      <c r="B1151" s="2" t="s">
        <v>23</v>
      </c>
      <c r="C1151" t="s">
        <v>17</v>
      </c>
      <c r="D1151" t="s">
        <v>10</v>
      </c>
      <c r="E1151">
        <v>45.86</v>
      </c>
      <c r="F1151">
        <v>161</v>
      </c>
      <c r="G1151">
        <v>3.63</v>
      </c>
      <c r="H1151" s="3">
        <f t="shared" si="68"/>
        <v>45108</v>
      </c>
      <c r="I1151">
        <f>MONTH(Table1[[#This Row],[Date]])</f>
        <v>7</v>
      </c>
      <c r="J1151" t="str">
        <f t="shared" si="69"/>
        <v>Q3</v>
      </c>
      <c r="K1151" t="str">
        <f t="shared" si="70"/>
        <v>Jul-2023</v>
      </c>
      <c r="L1151" t="str">
        <f t="shared" si="71"/>
        <v>Medium</v>
      </c>
    </row>
    <row r="1152" spans="1:12" x14ac:dyDescent="0.3">
      <c r="A1152">
        <v>2023</v>
      </c>
      <c r="B1152" s="2" t="s">
        <v>23</v>
      </c>
      <c r="C1152" t="s">
        <v>17</v>
      </c>
      <c r="D1152" t="s">
        <v>11</v>
      </c>
      <c r="E1152">
        <v>2.38</v>
      </c>
      <c r="F1152">
        <v>163</v>
      </c>
      <c r="G1152">
        <v>3.71</v>
      </c>
      <c r="H1152" s="3">
        <f t="shared" si="68"/>
        <v>45108</v>
      </c>
      <c r="I1152">
        <f>MONTH(Table1[[#This Row],[Date]])</f>
        <v>7</v>
      </c>
      <c r="J1152" t="str">
        <f t="shared" si="69"/>
        <v>Q3</v>
      </c>
      <c r="K1152" t="str">
        <f t="shared" si="70"/>
        <v>Jul-2023</v>
      </c>
      <c r="L1152" t="str">
        <f t="shared" si="71"/>
        <v>Medium</v>
      </c>
    </row>
    <row r="1153" spans="1:12" x14ac:dyDescent="0.3">
      <c r="A1153">
        <v>2023</v>
      </c>
      <c r="B1153" s="2" t="s">
        <v>23</v>
      </c>
      <c r="C1153" t="s">
        <v>17</v>
      </c>
      <c r="D1153" t="s">
        <v>12</v>
      </c>
      <c r="E1153">
        <v>6.53</v>
      </c>
      <c r="F1153">
        <v>165</v>
      </c>
      <c r="G1153">
        <v>3.79</v>
      </c>
      <c r="H1153" s="3">
        <f t="shared" si="68"/>
        <v>45108</v>
      </c>
      <c r="I1153">
        <f>MONTH(Table1[[#This Row],[Date]])</f>
        <v>7</v>
      </c>
      <c r="J1153" t="str">
        <f t="shared" si="69"/>
        <v>Q3</v>
      </c>
      <c r="K1153" t="str">
        <f t="shared" si="70"/>
        <v>Jul-2023</v>
      </c>
      <c r="L1153" t="str">
        <f t="shared" si="71"/>
        <v>Medium</v>
      </c>
    </row>
    <row r="1154" spans="1:12" x14ac:dyDescent="0.3">
      <c r="A1154">
        <v>2023</v>
      </c>
      <c r="B1154" s="2" t="s">
        <v>23</v>
      </c>
      <c r="C1154" t="s">
        <v>17</v>
      </c>
      <c r="D1154" t="s">
        <v>13</v>
      </c>
      <c r="E1154">
        <v>10.07</v>
      </c>
      <c r="F1154">
        <v>167</v>
      </c>
      <c r="G1154">
        <v>3.87</v>
      </c>
      <c r="H1154" s="3">
        <f t="shared" ref="H1154:H1217" si="72">DATE(A1154,MONTH(DATEVALUE(B1154&amp;" 1")),1)</f>
        <v>45108</v>
      </c>
      <c r="I1154">
        <f>MONTH(Table1[[#This Row],[Date]])</f>
        <v>7</v>
      </c>
      <c r="J1154" t="str">
        <f t="shared" ref="J1154:J1217" si="73">"Q"&amp;ROUNDUP(MONTH(H1154)/3,0)</f>
        <v>Q3</v>
      </c>
      <c r="K1154" t="str">
        <f t="shared" ref="K1154:K1217" si="74">TEXT(H1154,"mmm-yyyy")</f>
        <v>Jul-2023</v>
      </c>
      <c r="L1154" t="str">
        <f t="shared" ref="L1154:L1217" si="75">IF(G1154&lt;3,"Low",IF(G1154&lt;4,"Medium","High"))</f>
        <v>Medium</v>
      </c>
    </row>
    <row r="1155" spans="1:12" x14ac:dyDescent="0.3">
      <c r="A1155">
        <v>2023</v>
      </c>
      <c r="B1155" s="2" t="s">
        <v>23</v>
      </c>
      <c r="C1155" t="s">
        <v>17</v>
      </c>
      <c r="D1155" t="s">
        <v>14</v>
      </c>
      <c r="E1155">
        <v>6.84</v>
      </c>
      <c r="F1155">
        <v>169</v>
      </c>
      <c r="G1155">
        <v>3.95</v>
      </c>
      <c r="H1155" s="3">
        <f t="shared" si="72"/>
        <v>45108</v>
      </c>
      <c r="I1155">
        <f>MONTH(Table1[[#This Row],[Date]])</f>
        <v>7</v>
      </c>
      <c r="J1155" t="str">
        <f t="shared" si="73"/>
        <v>Q3</v>
      </c>
      <c r="K1155" t="str">
        <f t="shared" si="74"/>
        <v>Jul-2023</v>
      </c>
      <c r="L1155" t="str">
        <f t="shared" si="75"/>
        <v>Medium</v>
      </c>
    </row>
    <row r="1156" spans="1:12" x14ac:dyDescent="0.3">
      <c r="A1156">
        <v>2023</v>
      </c>
      <c r="B1156" s="2" t="s">
        <v>23</v>
      </c>
      <c r="C1156" t="s">
        <v>17</v>
      </c>
      <c r="D1156" t="s">
        <v>15</v>
      </c>
      <c r="E1156">
        <v>28.32</v>
      </c>
      <c r="F1156">
        <v>171</v>
      </c>
      <c r="G1156">
        <v>4.03</v>
      </c>
      <c r="H1156" s="3">
        <f t="shared" si="72"/>
        <v>45108</v>
      </c>
      <c r="I1156">
        <f>MONTH(Table1[[#This Row],[Date]])</f>
        <v>7</v>
      </c>
      <c r="J1156" t="str">
        <f t="shared" si="73"/>
        <v>Q3</v>
      </c>
      <c r="K1156" t="str">
        <f t="shared" si="74"/>
        <v>Jul-2023</v>
      </c>
      <c r="L1156" t="str">
        <f t="shared" si="75"/>
        <v>High</v>
      </c>
    </row>
    <row r="1157" spans="1:12" x14ac:dyDescent="0.3">
      <c r="A1157">
        <v>2023</v>
      </c>
      <c r="B1157" s="2" t="s">
        <v>24</v>
      </c>
      <c r="C1157" t="s">
        <v>8</v>
      </c>
      <c r="D1157" t="s">
        <v>9</v>
      </c>
      <c r="E1157">
        <v>100</v>
      </c>
      <c r="F1157">
        <v>158.19999999999999</v>
      </c>
      <c r="G1157">
        <v>3.7</v>
      </c>
      <c r="H1157" s="3">
        <f t="shared" si="72"/>
        <v>45139</v>
      </c>
      <c r="I1157">
        <f>MONTH(Table1[[#This Row],[Date]])</f>
        <v>8</v>
      </c>
      <c r="J1157" t="str">
        <f t="shared" si="73"/>
        <v>Q3</v>
      </c>
      <c r="K1157" t="str">
        <f t="shared" si="74"/>
        <v>Aug-2023</v>
      </c>
      <c r="L1157" t="str">
        <f t="shared" si="75"/>
        <v>Medium</v>
      </c>
    </row>
    <row r="1158" spans="1:12" x14ac:dyDescent="0.3">
      <c r="A1158">
        <v>2023</v>
      </c>
      <c r="B1158" s="2" t="s">
        <v>24</v>
      </c>
      <c r="C1158" t="s">
        <v>8</v>
      </c>
      <c r="D1158" t="s">
        <v>10</v>
      </c>
      <c r="E1158">
        <v>45.86</v>
      </c>
      <c r="F1158">
        <v>160.19999999999999</v>
      </c>
      <c r="G1158">
        <v>3.78</v>
      </c>
      <c r="H1158" s="3">
        <f t="shared" si="72"/>
        <v>45139</v>
      </c>
      <c r="I1158">
        <f>MONTH(Table1[[#This Row],[Date]])</f>
        <v>8</v>
      </c>
      <c r="J1158" t="str">
        <f t="shared" si="73"/>
        <v>Q3</v>
      </c>
      <c r="K1158" t="str">
        <f t="shared" si="74"/>
        <v>Aug-2023</v>
      </c>
      <c r="L1158" t="str">
        <f t="shared" si="75"/>
        <v>Medium</v>
      </c>
    </row>
    <row r="1159" spans="1:12" x14ac:dyDescent="0.3">
      <c r="A1159">
        <v>2023</v>
      </c>
      <c r="B1159" s="2" t="s">
        <v>24</v>
      </c>
      <c r="C1159" t="s">
        <v>8</v>
      </c>
      <c r="D1159" t="s">
        <v>11</v>
      </c>
      <c r="E1159">
        <v>2.38</v>
      </c>
      <c r="F1159">
        <v>162.19999999999999</v>
      </c>
      <c r="G1159">
        <v>3.86</v>
      </c>
      <c r="H1159" s="3">
        <f t="shared" si="72"/>
        <v>45139</v>
      </c>
      <c r="I1159">
        <f>MONTH(Table1[[#This Row],[Date]])</f>
        <v>8</v>
      </c>
      <c r="J1159" t="str">
        <f t="shared" si="73"/>
        <v>Q3</v>
      </c>
      <c r="K1159" t="str">
        <f t="shared" si="74"/>
        <v>Aug-2023</v>
      </c>
      <c r="L1159" t="str">
        <f t="shared" si="75"/>
        <v>Medium</v>
      </c>
    </row>
    <row r="1160" spans="1:12" x14ac:dyDescent="0.3">
      <c r="A1160">
        <v>2023</v>
      </c>
      <c r="B1160" s="2" t="s">
        <v>24</v>
      </c>
      <c r="C1160" t="s">
        <v>8</v>
      </c>
      <c r="D1160" t="s">
        <v>12</v>
      </c>
      <c r="E1160">
        <v>6.53</v>
      </c>
      <c r="F1160">
        <v>164.2</v>
      </c>
      <c r="G1160">
        <v>3.94</v>
      </c>
      <c r="H1160" s="3">
        <f t="shared" si="72"/>
        <v>45139</v>
      </c>
      <c r="I1160">
        <f>MONTH(Table1[[#This Row],[Date]])</f>
        <v>8</v>
      </c>
      <c r="J1160" t="str">
        <f t="shared" si="73"/>
        <v>Q3</v>
      </c>
      <c r="K1160" t="str">
        <f t="shared" si="74"/>
        <v>Aug-2023</v>
      </c>
      <c r="L1160" t="str">
        <f t="shared" si="75"/>
        <v>Medium</v>
      </c>
    </row>
    <row r="1161" spans="1:12" x14ac:dyDescent="0.3">
      <c r="A1161">
        <v>2023</v>
      </c>
      <c r="B1161" s="2" t="s">
        <v>24</v>
      </c>
      <c r="C1161" t="s">
        <v>8</v>
      </c>
      <c r="D1161" t="s">
        <v>13</v>
      </c>
      <c r="E1161">
        <v>10.07</v>
      </c>
      <c r="F1161">
        <v>166.2</v>
      </c>
      <c r="G1161">
        <v>4.0199999999999996</v>
      </c>
      <c r="H1161" s="3">
        <f t="shared" si="72"/>
        <v>45139</v>
      </c>
      <c r="I1161">
        <f>MONTH(Table1[[#This Row],[Date]])</f>
        <v>8</v>
      </c>
      <c r="J1161" t="str">
        <f t="shared" si="73"/>
        <v>Q3</v>
      </c>
      <c r="K1161" t="str">
        <f t="shared" si="74"/>
        <v>Aug-2023</v>
      </c>
      <c r="L1161" t="str">
        <f t="shared" si="75"/>
        <v>High</v>
      </c>
    </row>
    <row r="1162" spans="1:12" x14ac:dyDescent="0.3">
      <c r="A1162">
        <v>2023</v>
      </c>
      <c r="B1162" s="2" t="s">
        <v>24</v>
      </c>
      <c r="C1162" t="s">
        <v>8</v>
      </c>
      <c r="D1162" t="s">
        <v>14</v>
      </c>
      <c r="E1162">
        <v>6.84</v>
      </c>
      <c r="F1162">
        <v>168.2</v>
      </c>
      <c r="G1162">
        <v>4.0999999999999996</v>
      </c>
      <c r="H1162" s="3">
        <f t="shared" si="72"/>
        <v>45139</v>
      </c>
      <c r="I1162">
        <f>MONTH(Table1[[#This Row],[Date]])</f>
        <v>8</v>
      </c>
      <c r="J1162" t="str">
        <f t="shared" si="73"/>
        <v>Q3</v>
      </c>
      <c r="K1162" t="str">
        <f t="shared" si="74"/>
        <v>Aug-2023</v>
      </c>
      <c r="L1162" t="str">
        <f t="shared" si="75"/>
        <v>High</v>
      </c>
    </row>
    <row r="1163" spans="1:12" x14ac:dyDescent="0.3">
      <c r="A1163">
        <v>2023</v>
      </c>
      <c r="B1163" s="2" t="s">
        <v>24</v>
      </c>
      <c r="C1163" t="s">
        <v>8</v>
      </c>
      <c r="D1163" t="s">
        <v>15</v>
      </c>
      <c r="E1163">
        <v>28.32</v>
      </c>
      <c r="F1163">
        <v>170.2</v>
      </c>
      <c r="G1163">
        <v>4.18</v>
      </c>
      <c r="H1163" s="3">
        <f t="shared" si="72"/>
        <v>45139</v>
      </c>
      <c r="I1163">
        <f>MONTH(Table1[[#This Row],[Date]])</f>
        <v>8</v>
      </c>
      <c r="J1163" t="str">
        <f t="shared" si="73"/>
        <v>Q3</v>
      </c>
      <c r="K1163" t="str">
        <f t="shared" si="74"/>
        <v>Aug-2023</v>
      </c>
      <c r="L1163" t="str">
        <f t="shared" si="75"/>
        <v>High</v>
      </c>
    </row>
    <row r="1164" spans="1:12" x14ac:dyDescent="0.3">
      <c r="A1164">
        <v>2023</v>
      </c>
      <c r="B1164" s="2" t="s">
        <v>24</v>
      </c>
      <c r="C1164" t="s">
        <v>16</v>
      </c>
      <c r="D1164" t="s">
        <v>9</v>
      </c>
      <c r="E1164">
        <v>100</v>
      </c>
      <c r="F1164">
        <v>158.80000000000001</v>
      </c>
      <c r="G1164">
        <v>3.7</v>
      </c>
      <c r="H1164" s="3">
        <f t="shared" si="72"/>
        <v>45139</v>
      </c>
      <c r="I1164">
        <f>MONTH(Table1[[#This Row],[Date]])</f>
        <v>8</v>
      </c>
      <c r="J1164" t="str">
        <f t="shared" si="73"/>
        <v>Q3</v>
      </c>
      <c r="K1164" t="str">
        <f t="shared" si="74"/>
        <v>Aug-2023</v>
      </c>
      <c r="L1164" t="str">
        <f t="shared" si="75"/>
        <v>Medium</v>
      </c>
    </row>
    <row r="1165" spans="1:12" x14ac:dyDescent="0.3">
      <c r="A1165">
        <v>2023</v>
      </c>
      <c r="B1165" s="2" t="s">
        <v>24</v>
      </c>
      <c r="C1165" t="s">
        <v>16</v>
      </c>
      <c r="D1165" t="s">
        <v>10</v>
      </c>
      <c r="E1165">
        <v>45.86</v>
      </c>
      <c r="F1165">
        <v>160.80000000000001</v>
      </c>
      <c r="G1165">
        <v>3.78</v>
      </c>
      <c r="H1165" s="3">
        <f t="shared" si="72"/>
        <v>45139</v>
      </c>
      <c r="I1165">
        <f>MONTH(Table1[[#This Row],[Date]])</f>
        <v>8</v>
      </c>
      <c r="J1165" t="str">
        <f t="shared" si="73"/>
        <v>Q3</v>
      </c>
      <c r="K1165" t="str">
        <f t="shared" si="74"/>
        <v>Aug-2023</v>
      </c>
      <c r="L1165" t="str">
        <f t="shared" si="75"/>
        <v>Medium</v>
      </c>
    </row>
    <row r="1166" spans="1:12" x14ac:dyDescent="0.3">
      <c r="A1166">
        <v>2023</v>
      </c>
      <c r="B1166" s="2" t="s">
        <v>24</v>
      </c>
      <c r="C1166" t="s">
        <v>16</v>
      </c>
      <c r="D1166" t="s">
        <v>11</v>
      </c>
      <c r="E1166">
        <v>2.38</v>
      </c>
      <c r="F1166">
        <v>162.80000000000001</v>
      </c>
      <c r="G1166">
        <v>3.86</v>
      </c>
      <c r="H1166" s="3">
        <f t="shared" si="72"/>
        <v>45139</v>
      </c>
      <c r="I1166">
        <f>MONTH(Table1[[#This Row],[Date]])</f>
        <v>8</v>
      </c>
      <c r="J1166" t="str">
        <f t="shared" si="73"/>
        <v>Q3</v>
      </c>
      <c r="K1166" t="str">
        <f t="shared" si="74"/>
        <v>Aug-2023</v>
      </c>
      <c r="L1166" t="str">
        <f t="shared" si="75"/>
        <v>Medium</v>
      </c>
    </row>
    <row r="1167" spans="1:12" x14ac:dyDescent="0.3">
      <c r="A1167">
        <v>2023</v>
      </c>
      <c r="B1167" s="2" t="s">
        <v>24</v>
      </c>
      <c r="C1167" t="s">
        <v>16</v>
      </c>
      <c r="D1167" t="s">
        <v>12</v>
      </c>
      <c r="E1167">
        <v>6.53</v>
      </c>
      <c r="F1167">
        <v>164.8</v>
      </c>
      <c r="G1167">
        <v>3.94</v>
      </c>
      <c r="H1167" s="3">
        <f t="shared" si="72"/>
        <v>45139</v>
      </c>
      <c r="I1167">
        <f>MONTH(Table1[[#This Row],[Date]])</f>
        <v>8</v>
      </c>
      <c r="J1167" t="str">
        <f t="shared" si="73"/>
        <v>Q3</v>
      </c>
      <c r="K1167" t="str">
        <f t="shared" si="74"/>
        <v>Aug-2023</v>
      </c>
      <c r="L1167" t="str">
        <f t="shared" si="75"/>
        <v>Medium</v>
      </c>
    </row>
    <row r="1168" spans="1:12" x14ac:dyDescent="0.3">
      <c r="A1168">
        <v>2023</v>
      </c>
      <c r="B1168" s="2" t="s">
        <v>24</v>
      </c>
      <c r="C1168" t="s">
        <v>16</v>
      </c>
      <c r="D1168" t="s">
        <v>13</v>
      </c>
      <c r="E1168">
        <v>10.07</v>
      </c>
      <c r="F1168">
        <v>166.8</v>
      </c>
      <c r="G1168">
        <v>4.0199999999999996</v>
      </c>
      <c r="H1168" s="3">
        <f t="shared" si="72"/>
        <v>45139</v>
      </c>
      <c r="I1168">
        <f>MONTH(Table1[[#This Row],[Date]])</f>
        <v>8</v>
      </c>
      <c r="J1168" t="str">
        <f t="shared" si="73"/>
        <v>Q3</v>
      </c>
      <c r="K1168" t="str">
        <f t="shared" si="74"/>
        <v>Aug-2023</v>
      </c>
      <c r="L1168" t="str">
        <f t="shared" si="75"/>
        <v>High</v>
      </c>
    </row>
    <row r="1169" spans="1:12" x14ac:dyDescent="0.3">
      <c r="A1169">
        <v>2023</v>
      </c>
      <c r="B1169" s="2" t="s">
        <v>24</v>
      </c>
      <c r="C1169" t="s">
        <v>16</v>
      </c>
      <c r="D1169" t="s">
        <v>14</v>
      </c>
      <c r="E1169">
        <v>6.84</v>
      </c>
      <c r="F1169">
        <v>168.8</v>
      </c>
      <c r="G1169">
        <v>4.0999999999999996</v>
      </c>
      <c r="H1169" s="3">
        <f t="shared" si="72"/>
        <v>45139</v>
      </c>
      <c r="I1169">
        <f>MONTH(Table1[[#This Row],[Date]])</f>
        <v>8</v>
      </c>
      <c r="J1169" t="str">
        <f t="shared" si="73"/>
        <v>Q3</v>
      </c>
      <c r="K1169" t="str">
        <f t="shared" si="74"/>
        <v>Aug-2023</v>
      </c>
      <c r="L1169" t="str">
        <f t="shared" si="75"/>
        <v>High</v>
      </c>
    </row>
    <row r="1170" spans="1:12" x14ac:dyDescent="0.3">
      <c r="A1170">
        <v>2023</v>
      </c>
      <c r="B1170" s="2" t="s">
        <v>24</v>
      </c>
      <c r="C1170" t="s">
        <v>16</v>
      </c>
      <c r="D1170" t="s">
        <v>15</v>
      </c>
      <c r="E1170">
        <v>28.32</v>
      </c>
      <c r="F1170">
        <v>170.8</v>
      </c>
      <c r="G1170">
        <v>4.18</v>
      </c>
      <c r="H1170" s="3">
        <f t="shared" si="72"/>
        <v>45139</v>
      </c>
      <c r="I1170">
        <f>MONTH(Table1[[#This Row],[Date]])</f>
        <v>8</v>
      </c>
      <c r="J1170" t="str">
        <f t="shared" si="73"/>
        <v>Q3</v>
      </c>
      <c r="K1170" t="str">
        <f t="shared" si="74"/>
        <v>Aug-2023</v>
      </c>
      <c r="L1170" t="str">
        <f t="shared" si="75"/>
        <v>High</v>
      </c>
    </row>
    <row r="1171" spans="1:12" x14ac:dyDescent="0.3">
      <c r="A1171">
        <v>2023</v>
      </c>
      <c r="B1171" s="2" t="s">
        <v>24</v>
      </c>
      <c r="C1171" t="s">
        <v>17</v>
      </c>
      <c r="D1171" t="s">
        <v>9</v>
      </c>
      <c r="E1171">
        <v>100</v>
      </c>
      <c r="F1171">
        <v>159.4</v>
      </c>
      <c r="G1171">
        <v>3.7</v>
      </c>
      <c r="H1171" s="3">
        <f t="shared" si="72"/>
        <v>45139</v>
      </c>
      <c r="I1171">
        <f>MONTH(Table1[[#This Row],[Date]])</f>
        <v>8</v>
      </c>
      <c r="J1171" t="str">
        <f t="shared" si="73"/>
        <v>Q3</v>
      </c>
      <c r="K1171" t="str">
        <f t="shared" si="74"/>
        <v>Aug-2023</v>
      </c>
      <c r="L1171" t="str">
        <f t="shared" si="75"/>
        <v>Medium</v>
      </c>
    </row>
    <row r="1172" spans="1:12" x14ac:dyDescent="0.3">
      <c r="A1172">
        <v>2023</v>
      </c>
      <c r="B1172" s="2" t="s">
        <v>24</v>
      </c>
      <c r="C1172" t="s">
        <v>17</v>
      </c>
      <c r="D1172" t="s">
        <v>10</v>
      </c>
      <c r="E1172">
        <v>45.86</v>
      </c>
      <c r="F1172">
        <v>161.4</v>
      </c>
      <c r="G1172">
        <v>3.78</v>
      </c>
      <c r="H1172" s="3">
        <f t="shared" si="72"/>
        <v>45139</v>
      </c>
      <c r="I1172">
        <f>MONTH(Table1[[#This Row],[Date]])</f>
        <v>8</v>
      </c>
      <c r="J1172" t="str">
        <f t="shared" si="73"/>
        <v>Q3</v>
      </c>
      <c r="K1172" t="str">
        <f t="shared" si="74"/>
        <v>Aug-2023</v>
      </c>
      <c r="L1172" t="str">
        <f t="shared" si="75"/>
        <v>Medium</v>
      </c>
    </row>
    <row r="1173" spans="1:12" x14ac:dyDescent="0.3">
      <c r="A1173">
        <v>2023</v>
      </c>
      <c r="B1173" s="2" t="s">
        <v>24</v>
      </c>
      <c r="C1173" t="s">
        <v>17</v>
      </c>
      <c r="D1173" t="s">
        <v>11</v>
      </c>
      <c r="E1173">
        <v>2.38</v>
      </c>
      <c r="F1173">
        <v>163.4</v>
      </c>
      <c r="G1173">
        <v>3.86</v>
      </c>
      <c r="H1173" s="3">
        <f t="shared" si="72"/>
        <v>45139</v>
      </c>
      <c r="I1173">
        <f>MONTH(Table1[[#This Row],[Date]])</f>
        <v>8</v>
      </c>
      <c r="J1173" t="str">
        <f t="shared" si="73"/>
        <v>Q3</v>
      </c>
      <c r="K1173" t="str">
        <f t="shared" si="74"/>
        <v>Aug-2023</v>
      </c>
      <c r="L1173" t="str">
        <f t="shared" si="75"/>
        <v>Medium</v>
      </c>
    </row>
    <row r="1174" spans="1:12" x14ac:dyDescent="0.3">
      <c r="A1174">
        <v>2023</v>
      </c>
      <c r="B1174" s="2" t="s">
        <v>24</v>
      </c>
      <c r="C1174" t="s">
        <v>17</v>
      </c>
      <c r="D1174" t="s">
        <v>12</v>
      </c>
      <c r="E1174">
        <v>6.53</v>
      </c>
      <c r="F1174">
        <v>165.4</v>
      </c>
      <c r="G1174">
        <v>3.94</v>
      </c>
      <c r="H1174" s="3">
        <f t="shared" si="72"/>
        <v>45139</v>
      </c>
      <c r="I1174">
        <f>MONTH(Table1[[#This Row],[Date]])</f>
        <v>8</v>
      </c>
      <c r="J1174" t="str">
        <f t="shared" si="73"/>
        <v>Q3</v>
      </c>
      <c r="K1174" t="str">
        <f t="shared" si="74"/>
        <v>Aug-2023</v>
      </c>
      <c r="L1174" t="str">
        <f t="shared" si="75"/>
        <v>Medium</v>
      </c>
    </row>
    <row r="1175" spans="1:12" x14ac:dyDescent="0.3">
      <c r="A1175">
        <v>2023</v>
      </c>
      <c r="B1175" s="2" t="s">
        <v>24</v>
      </c>
      <c r="C1175" t="s">
        <v>17</v>
      </c>
      <c r="D1175" t="s">
        <v>13</v>
      </c>
      <c r="E1175">
        <v>10.07</v>
      </c>
      <c r="F1175">
        <v>167.4</v>
      </c>
      <c r="G1175">
        <v>4.0199999999999996</v>
      </c>
      <c r="H1175" s="3">
        <f t="shared" si="72"/>
        <v>45139</v>
      </c>
      <c r="I1175">
        <f>MONTH(Table1[[#This Row],[Date]])</f>
        <v>8</v>
      </c>
      <c r="J1175" t="str">
        <f t="shared" si="73"/>
        <v>Q3</v>
      </c>
      <c r="K1175" t="str">
        <f t="shared" si="74"/>
        <v>Aug-2023</v>
      </c>
      <c r="L1175" t="str">
        <f t="shared" si="75"/>
        <v>High</v>
      </c>
    </row>
    <row r="1176" spans="1:12" x14ac:dyDescent="0.3">
      <c r="A1176">
        <v>2023</v>
      </c>
      <c r="B1176" s="2" t="s">
        <v>24</v>
      </c>
      <c r="C1176" t="s">
        <v>17</v>
      </c>
      <c r="D1176" t="s">
        <v>14</v>
      </c>
      <c r="E1176">
        <v>6.84</v>
      </c>
      <c r="F1176">
        <v>169.4</v>
      </c>
      <c r="G1176">
        <v>4.0999999999999996</v>
      </c>
      <c r="H1176" s="3">
        <f t="shared" si="72"/>
        <v>45139</v>
      </c>
      <c r="I1176">
        <f>MONTH(Table1[[#This Row],[Date]])</f>
        <v>8</v>
      </c>
      <c r="J1176" t="str">
        <f t="shared" si="73"/>
        <v>Q3</v>
      </c>
      <c r="K1176" t="str">
        <f t="shared" si="74"/>
        <v>Aug-2023</v>
      </c>
      <c r="L1176" t="str">
        <f t="shared" si="75"/>
        <v>High</v>
      </c>
    </row>
    <row r="1177" spans="1:12" x14ac:dyDescent="0.3">
      <c r="A1177">
        <v>2023</v>
      </c>
      <c r="B1177" s="2" t="s">
        <v>24</v>
      </c>
      <c r="C1177" t="s">
        <v>17</v>
      </c>
      <c r="D1177" t="s">
        <v>15</v>
      </c>
      <c r="E1177">
        <v>28.32</v>
      </c>
      <c r="F1177">
        <v>171.4</v>
      </c>
      <c r="G1177">
        <v>4.18</v>
      </c>
      <c r="H1177" s="3">
        <f t="shared" si="72"/>
        <v>45139</v>
      </c>
      <c r="I1177">
        <f>MONTH(Table1[[#This Row],[Date]])</f>
        <v>8</v>
      </c>
      <c r="J1177" t="str">
        <f t="shared" si="73"/>
        <v>Q3</v>
      </c>
      <c r="K1177" t="str">
        <f t="shared" si="74"/>
        <v>Aug-2023</v>
      </c>
      <c r="L1177" t="str">
        <f t="shared" si="75"/>
        <v>High</v>
      </c>
    </row>
    <row r="1178" spans="1:12" x14ac:dyDescent="0.3">
      <c r="A1178">
        <v>2023</v>
      </c>
      <c r="B1178" s="2" t="s">
        <v>25</v>
      </c>
      <c r="C1178" t="s">
        <v>8</v>
      </c>
      <c r="D1178" t="s">
        <v>9</v>
      </c>
      <c r="E1178">
        <v>100</v>
      </c>
      <c r="F1178">
        <v>158.6</v>
      </c>
      <c r="G1178">
        <v>3.85</v>
      </c>
      <c r="H1178" s="3">
        <f t="shared" si="72"/>
        <v>45170</v>
      </c>
      <c r="I1178">
        <f>MONTH(Table1[[#This Row],[Date]])</f>
        <v>9</v>
      </c>
      <c r="J1178" t="str">
        <f t="shared" si="73"/>
        <v>Q3</v>
      </c>
      <c r="K1178" t="str">
        <f t="shared" si="74"/>
        <v>Sept-2023</v>
      </c>
      <c r="L1178" t="str">
        <f t="shared" si="75"/>
        <v>Medium</v>
      </c>
    </row>
    <row r="1179" spans="1:12" x14ac:dyDescent="0.3">
      <c r="A1179">
        <v>2023</v>
      </c>
      <c r="B1179" s="2" t="s">
        <v>25</v>
      </c>
      <c r="C1179" t="s">
        <v>8</v>
      </c>
      <c r="D1179" t="s">
        <v>10</v>
      </c>
      <c r="E1179">
        <v>45.86</v>
      </c>
      <c r="F1179">
        <v>160.6</v>
      </c>
      <c r="G1179">
        <v>3.93</v>
      </c>
      <c r="H1179" s="3">
        <f t="shared" si="72"/>
        <v>45170</v>
      </c>
      <c r="I1179">
        <f>MONTH(Table1[[#This Row],[Date]])</f>
        <v>9</v>
      </c>
      <c r="J1179" t="str">
        <f t="shared" si="73"/>
        <v>Q3</v>
      </c>
      <c r="K1179" t="str">
        <f t="shared" si="74"/>
        <v>Sept-2023</v>
      </c>
      <c r="L1179" t="str">
        <f t="shared" si="75"/>
        <v>Medium</v>
      </c>
    </row>
    <row r="1180" spans="1:12" x14ac:dyDescent="0.3">
      <c r="A1180">
        <v>2023</v>
      </c>
      <c r="B1180" s="2" t="s">
        <v>25</v>
      </c>
      <c r="C1180" t="s">
        <v>8</v>
      </c>
      <c r="D1180" t="s">
        <v>11</v>
      </c>
      <c r="E1180">
        <v>2.38</v>
      </c>
      <c r="F1180">
        <v>162.6</v>
      </c>
      <c r="G1180">
        <v>4.01</v>
      </c>
      <c r="H1180" s="3">
        <f t="shared" si="72"/>
        <v>45170</v>
      </c>
      <c r="I1180">
        <f>MONTH(Table1[[#This Row],[Date]])</f>
        <v>9</v>
      </c>
      <c r="J1180" t="str">
        <f t="shared" si="73"/>
        <v>Q3</v>
      </c>
      <c r="K1180" t="str">
        <f t="shared" si="74"/>
        <v>Sept-2023</v>
      </c>
      <c r="L1180" t="str">
        <f t="shared" si="75"/>
        <v>High</v>
      </c>
    </row>
    <row r="1181" spans="1:12" x14ac:dyDescent="0.3">
      <c r="A1181">
        <v>2023</v>
      </c>
      <c r="B1181" s="2" t="s">
        <v>25</v>
      </c>
      <c r="C1181" t="s">
        <v>8</v>
      </c>
      <c r="D1181" t="s">
        <v>12</v>
      </c>
      <c r="E1181">
        <v>6.53</v>
      </c>
      <c r="F1181">
        <v>164.6</v>
      </c>
      <c r="G1181">
        <v>4.09</v>
      </c>
      <c r="H1181" s="3">
        <f t="shared" si="72"/>
        <v>45170</v>
      </c>
      <c r="I1181">
        <f>MONTH(Table1[[#This Row],[Date]])</f>
        <v>9</v>
      </c>
      <c r="J1181" t="str">
        <f t="shared" si="73"/>
        <v>Q3</v>
      </c>
      <c r="K1181" t="str">
        <f t="shared" si="74"/>
        <v>Sept-2023</v>
      </c>
      <c r="L1181" t="str">
        <f t="shared" si="75"/>
        <v>High</v>
      </c>
    </row>
    <row r="1182" spans="1:12" x14ac:dyDescent="0.3">
      <c r="A1182">
        <v>2023</v>
      </c>
      <c r="B1182" s="2" t="s">
        <v>25</v>
      </c>
      <c r="C1182" t="s">
        <v>8</v>
      </c>
      <c r="D1182" t="s">
        <v>13</v>
      </c>
      <c r="E1182">
        <v>10.07</v>
      </c>
      <c r="F1182">
        <v>166.6</v>
      </c>
      <c r="G1182">
        <v>4.17</v>
      </c>
      <c r="H1182" s="3">
        <f t="shared" si="72"/>
        <v>45170</v>
      </c>
      <c r="I1182">
        <f>MONTH(Table1[[#This Row],[Date]])</f>
        <v>9</v>
      </c>
      <c r="J1182" t="str">
        <f t="shared" si="73"/>
        <v>Q3</v>
      </c>
      <c r="K1182" t="str">
        <f t="shared" si="74"/>
        <v>Sept-2023</v>
      </c>
      <c r="L1182" t="str">
        <f t="shared" si="75"/>
        <v>High</v>
      </c>
    </row>
    <row r="1183" spans="1:12" x14ac:dyDescent="0.3">
      <c r="A1183">
        <v>2023</v>
      </c>
      <c r="B1183" s="2" t="s">
        <v>25</v>
      </c>
      <c r="C1183" t="s">
        <v>8</v>
      </c>
      <c r="D1183" t="s">
        <v>14</v>
      </c>
      <c r="E1183">
        <v>6.84</v>
      </c>
      <c r="F1183">
        <v>168.6</v>
      </c>
      <c r="G1183">
        <v>4.25</v>
      </c>
      <c r="H1183" s="3">
        <f t="shared" si="72"/>
        <v>45170</v>
      </c>
      <c r="I1183">
        <f>MONTH(Table1[[#This Row],[Date]])</f>
        <v>9</v>
      </c>
      <c r="J1183" t="str">
        <f t="shared" si="73"/>
        <v>Q3</v>
      </c>
      <c r="K1183" t="str">
        <f t="shared" si="74"/>
        <v>Sept-2023</v>
      </c>
      <c r="L1183" t="str">
        <f t="shared" si="75"/>
        <v>High</v>
      </c>
    </row>
    <row r="1184" spans="1:12" x14ac:dyDescent="0.3">
      <c r="A1184">
        <v>2023</v>
      </c>
      <c r="B1184" s="2" t="s">
        <v>25</v>
      </c>
      <c r="C1184" t="s">
        <v>8</v>
      </c>
      <c r="D1184" t="s">
        <v>15</v>
      </c>
      <c r="E1184">
        <v>28.32</v>
      </c>
      <c r="F1184">
        <v>170.6</v>
      </c>
      <c r="G1184">
        <v>4.33</v>
      </c>
      <c r="H1184" s="3">
        <f t="shared" si="72"/>
        <v>45170</v>
      </c>
      <c r="I1184">
        <f>MONTH(Table1[[#This Row],[Date]])</f>
        <v>9</v>
      </c>
      <c r="J1184" t="str">
        <f t="shared" si="73"/>
        <v>Q3</v>
      </c>
      <c r="K1184" t="str">
        <f t="shared" si="74"/>
        <v>Sept-2023</v>
      </c>
      <c r="L1184" t="str">
        <f t="shared" si="75"/>
        <v>High</v>
      </c>
    </row>
    <row r="1185" spans="1:12" x14ac:dyDescent="0.3">
      <c r="A1185">
        <v>2023</v>
      </c>
      <c r="B1185" s="2" t="s">
        <v>25</v>
      </c>
      <c r="C1185" t="s">
        <v>16</v>
      </c>
      <c r="D1185" t="s">
        <v>9</v>
      </c>
      <c r="E1185">
        <v>100</v>
      </c>
      <c r="F1185">
        <v>159.19999999999999</v>
      </c>
      <c r="G1185">
        <v>3.85</v>
      </c>
      <c r="H1185" s="3">
        <f t="shared" si="72"/>
        <v>45170</v>
      </c>
      <c r="I1185">
        <f>MONTH(Table1[[#This Row],[Date]])</f>
        <v>9</v>
      </c>
      <c r="J1185" t="str">
        <f t="shared" si="73"/>
        <v>Q3</v>
      </c>
      <c r="K1185" t="str">
        <f t="shared" si="74"/>
        <v>Sept-2023</v>
      </c>
      <c r="L1185" t="str">
        <f t="shared" si="75"/>
        <v>Medium</v>
      </c>
    </row>
    <row r="1186" spans="1:12" x14ac:dyDescent="0.3">
      <c r="A1186">
        <v>2023</v>
      </c>
      <c r="B1186" s="2" t="s">
        <v>25</v>
      </c>
      <c r="C1186" t="s">
        <v>16</v>
      </c>
      <c r="D1186" t="s">
        <v>10</v>
      </c>
      <c r="E1186">
        <v>45.86</v>
      </c>
      <c r="F1186">
        <v>161.19999999999999</v>
      </c>
      <c r="G1186">
        <v>3.93</v>
      </c>
      <c r="H1186" s="3">
        <f t="shared" si="72"/>
        <v>45170</v>
      </c>
      <c r="I1186">
        <f>MONTH(Table1[[#This Row],[Date]])</f>
        <v>9</v>
      </c>
      <c r="J1186" t="str">
        <f t="shared" si="73"/>
        <v>Q3</v>
      </c>
      <c r="K1186" t="str">
        <f t="shared" si="74"/>
        <v>Sept-2023</v>
      </c>
      <c r="L1186" t="str">
        <f t="shared" si="75"/>
        <v>Medium</v>
      </c>
    </row>
    <row r="1187" spans="1:12" x14ac:dyDescent="0.3">
      <c r="A1187">
        <v>2023</v>
      </c>
      <c r="B1187" s="2" t="s">
        <v>25</v>
      </c>
      <c r="C1187" t="s">
        <v>16</v>
      </c>
      <c r="D1187" t="s">
        <v>11</v>
      </c>
      <c r="E1187">
        <v>2.38</v>
      </c>
      <c r="F1187">
        <v>163.19999999999999</v>
      </c>
      <c r="G1187">
        <v>4.01</v>
      </c>
      <c r="H1187" s="3">
        <f t="shared" si="72"/>
        <v>45170</v>
      </c>
      <c r="I1187">
        <f>MONTH(Table1[[#This Row],[Date]])</f>
        <v>9</v>
      </c>
      <c r="J1187" t="str">
        <f t="shared" si="73"/>
        <v>Q3</v>
      </c>
      <c r="K1187" t="str">
        <f t="shared" si="74"/>
        <v>Sept-2023</v>
      </c>
      <c r="L1187" t="str">
        <f t="shared" si="75"/>
        <v>High</v>
      </c>
    </row>
    <row r="1188" spans="1:12" x14ac:dyDescent="0.3">
      <c r="A1188">
        <v>2023</v>
      </c>
      <c r="B1188" s="2" t="s">
        <v>25</v>
      </c>
      <c r="C1188" t="s">
        <v>16</v>
      </c>
      <c r="D1188" t="s">
        <v>12</v>
      </c>
      <c r="E1188">
        <v>6.53</v>
      </c>
      <c r="F1188">
        <v>165.2</v>
      </c>
      <c r="G1188">
        <v>4.09</v>
      </c>
      <c r="H1188" s="3">
        <f t="shared" si="72"/>
        <v>45170</v>
      </c>
      <c r="I1188">
        <f>MONTH(Table1[[#This Row],[Date]])</f>
        <v>9</v>
      </c>
      <c r="J1188" t="str">
        <f t="shared" si="73"/>
        <v>Q3</v>
      </c>
      <c r="K1188" t="str">
        <f t="shared" si="74"/>
        <v>Sept-2023</v>
      </c>
      <c r="L1188" t="str">
        <f t="shared" si="75"/>
        <v>High</v>
      </c>
    </row>
    <row r="1189" spans="1:12" x14ac:dyDescent="0.3">
      <c r="A1189">
        <v>2023</v>
      </c>
      <c r="B1189" s="2" t="s">
        <v>25</v>
      </c>
      <c r="C1189" t="s">
        <v>16</v>
      </c>
      <c r="D1189" t="s">
        <v>13</v>
      </c>
      <c r="E1189">
        <v>10.07</v>
      </c>
      <c r="F1189">
        <v>167.2</v>
      </c>
      <c r="G1189">
        <v>4.17</v>
      </c>
      <c r="H1189" s="3">
        <f t="shared" si="72"/>
        <v>45170</v>
      </c>
      <c r="I1189">
        <f>MONTH(Table1[[#This Row],[Date]])</f>
        <v>9</v>
      </c>
      <c r="J1189" t="str">
        <f t="shared" si="73"/>
        <v>Q3</v>
      </c>
      <c r="K1189" t="str">
        <f t="shared" si="74"/>
        <v>Sept-2023</v>
      </c>
      <c r="L1189" t="str">
        <f t="shared" si="75"/>
        <v>High</v>
      </c>
    </row>
    <row r="1190" spans="1:12" x14ac:dyDescent="0.3">
      <c r="A1190">
        <v>2023</v>
      </c>
      <c r="B1190" s="2" t="s">
        <v>25</v>
      </c>
      <c r="C1190" t="s">
        <v>16</v>
      </c>
      <c r="D1190" t="s">
        <v>14</v>
      </c>
      <c r="E1190">
        <v>6.84</v>
      </c>
      <c r="F1190">
        <v>169.2</v>
      </c>
      <c r="G1190">
        <v>4.25</v>
      </c>
      <c r="H1190" s="3">
        <f t="shared" si="72"/>
        <v>45170</v>
      </c>
      <c r="I1190">
        <f>MONTH(Table1[[#This Row],[Date]])</f>
        <v>9</v>
      </c>
      <c r="J1190" t="str">
        <f t="shared" si="73"/>
        <v>Q3</v>
      </c>
      <c r="K1190" t="str">
        <f t="shared" si="74"/>
        <v>Sept-2023</v>
      </c>
      <c r="L1190" t="str">
        <f t="shared" si="75"/>
        <v>High</v>
      </c>
    </row>
    <row r="1191" spans="1:12" x14ac:dyDescent="0.3">
      <c r="A1191">
        <v>2023</v>
      </c>
      <c r="B1191" s="2" t="s">
        <v>25</v>
      </c>
      <c r="C1191" t="s">
        <v>16</v>
      </c>
      <c r="D1191" t="s">
        <v>15</v>
      </c>
      <c r="E1191">
        <v>28.32</v>
      </c>
      <c r="F1191">
        <v>171.2</v>
      </c>
      <c r="G1191">
        <v>4.33</v>
      </c>
      <c r="H1191" s="3">
        <f t="shared" si="72"/>
        <v>45170</v>
      </c>
      <c r="I1191">
        <f>MONTH(Table1[[#This Row],[Date]])</f>
        <v>9</v>
      </c>
      <c r="J1191" t="str">
        <f t="shared" si="73"/>
        <v>Q3</v>
      </c>
      <c r="K1191" t="str">
        <f t="shared" si="74"/>
        <v>Sept-2023</v>
      </c>
      <c r="L1191" t="str">
        <f t="shared" si="75"/>
        <v>High</v>
      </c>
    </row>
    <row r="1192" spans="1:12" x14ac:dyDescent="0.3">
      <c r="A1192">
        <v>2023</v>
      </c>
      <c r="B1192" s="2" t="s">
        <v>25</v>
      </c>
      <c r="C1192" t="s">
        <v>17</v>
      </c>
      <c r="D1192" t="s">
        <v>9</v>
      </c>
      <c r="E1192">
        <v>100</v>
      </c>
      <c r="F1192">
        <v>159.80000000000001</v>
      </c>
      <c r="G1192">
        <v>3.85</v>
      </c>
      <c r="H1192" s="3">
        <f t="shared" si="72"/>
        <v>45170</v>
      </c>
      <c r="I1192">
        <f>MONTH(Table1[[#This Row],[Date]])</f>
        <v>9</v>
      </c>
      <c r="J1192" t="str">
        <f t="shared" si="73"/>
        <v>Q3</v>
      </c>
      <c r="K1192" t="str">
        <f t="shared" si="74"/>
        <v>Sept-2023</v>
      </c>
      <c r="L1192" t="str">
        <f t="shared" si="75"/>
        <v>Medium</v>
      </c>
    </row>
    <row r="1193" spans="1:12" x14ac:dyDescent="0.3">
      <c r="A1193">
        <v>2023</v>
      </c>
      <c r="B1193" s="2" t="s">
        <v>25</v>
      </c>
      <c r="C1193" t="s">
        <v>17</v>
      </c>
      <c r="D1193" t="s">
        <v>10</v>
      </c>
      <c r="E1193">
        <v>45.86</v>
      </c>
      <c r="F1193">
        <v>161.80000000000001</v>
      </c>
      <c r="G1193">
        <v>3.93</v>
      </c>
      <c r="H1193" s="3">
        <f t="shared" si="72"/>
        <v>45170</v>
      </c>
      <c r="I1193">
        <f>MONTH(Table1[[#This Row],[Date]])</f>
        <v>9</v>
      </c>
      <c r="J1193" t="str">
        <f t="shared" si="73"/>
        <v>Q3</v>
      </c>
      <c r="K1193" t="str">
        <f t="shared" si="74"/>
        <v>Sept-2023</v>
      </c>
      <c r="L1193" t="str">
        <f t="shared" si="75"/>
        <v>Medium</v>
      </c>
    </row>
    <row r="1194" spans="1:12" x14ac:dyDescent="0.3">
      <c r="A1194">
        <v>2023</v>
      </c>
      <c r="B1194" s="2" t="s">
        <v>25</v>
      </c>
      <c r="C1194" t="s">
        <v>17</v>
      </c>
      <c r="D1194" t="s">
        <v>11</v>
      </c>
      <c r="E1194">
        <v>2.38</v>
      </c>
      <c r="F1194">
        <v>163.80000000000001</v>
      </c>
      <c r="G1194">
        <v>4.01</v>
      </c>
      <c r="H1194" s="3">
        <f t="shared" si="72"/>
        <v>45170</v>
      </c>
      <c r="I1194">
        <f>MONTH(Table1[[#This Row],[Date]])</f>
        <v>9</v>
      </c>
      <c r="J1194" t="str">
        <f t="shared" si="73"/>
        <v>Q3</v>
      </c>
      <c r="K1194" t="str">
        <f t="shared" si="74"/>
        <v>Sept-2023</v>
      </c>
      <c r="L1194" t="str">
        <f t="shared" si="75"/>
        <v>High</v>
      </c>
    </row>
    <row r="1195" spans="1:12" x14ac:dyDescent="0.3">
      <c r="A1195">
        <v>2023</v>
      </c>
      <c r="B1195" s="2" t="s">
        <v>25</v>
      </c>
      <c r="C1195" t="s">
        <v>17</v>
      </c>
      <c r="D1195" t="s">
        <v>12</v>
      </c>
      <c r="E1195">
        <v>6.53</v>
      </c>
      <c r="F1195">
        <v>165.8</v>
      </c>
      <c r="G1195">
        <v>4.09</v>
      </c>
      <c r="H1195" s="3">
        <f t="shared" si="72"/>
        <v>45170</v>
      </c>
      <c r="I1195">
        <f>MONTH(Table1[[#This Row],[Date]])</f>
        <v>9</v>
      </c>
      <c r="J1195" t="str">
        <f t="shared" si="73"/>
        <v>Q3</v>
      </c>
      <c r="K1195" t="str">
        <f t="shared" si="74"/>
        <v>Sept-2023</v>
      </c>
      <c r="L1195" t="str">
        <f t="shared" si="75"/>
        <v>High</v>
      </c>
    </row>
    <row r="1196" spans="1:12" x14ac:dyDescent="0.3">
      <c r="A1196">
        <v>2023</v>
      </c>
      <c r="B1196" s="2" t="s">
        <v>25</v>
      </c>
      <c r="C1196" t="s">
        <v>17</v>
      </c>
      <c r="D1196" t="s">
        <v>13</v>
      </c>
      <c r="E1196">
        <v>10.07</v>
      </c>
      <c r="F1196">
        <v>167.8</v>
      </c>
      <c r="G1196">
        <v>4.17</v>
      </c>
      <c r="H1196" s="3">
        <f t="shared" si="72"/>
        <v>45170</v>
      </c>
      <c r="I1196">
        <f>MONTH(Table1[[#This Row],[Date]])</f>
        <v>9</v>
      </c>
      <c r="J1196" t="str">
        <f t="shared" si="73"/>
        <v>Q3</v>
      </c>
      <c r="K1196" t="str">
        <f t="shared" si="74"/>
        <v>Sept-2023</v>
      </c>
      <c r="L1196" t="str">
        <f t="shared" si="75"/>
        <v>High</v>
      </c>
    </row>
    <row r="1197" spans="1:12" x14ac:dyDescent="0.3">
      <c r="A1197">
        <v>2023</v>
      </c>
      <c r="B1197" s="2" t="s">
        <v>25</v>
      </c>
      <c r="C1197" t="s">
        <v>17</v>
      </c>
      <c r="D1197" t="s">
        <v>14</v>
      </c>
      <c r="E1197">
        <v>6.84</v>
      </c>
      <c r="F1197">
        <v>169.8</v>
      </c>
      <c r="G1197">
        <v>4.25</v>
      </c>
      <c r="H1197" s="3">
        <f t="shared" si="72"/>
        <v>45170</v>
      </c>
      <c r="I1197">
        <f>MONTH(Table1[[#This Row],[Date]])</f>
        <v>9</v>
      </c>
      <c r="J1197" t="str">
        <f t="shared" si="73"/>
        <v>Q3</v>
      </c>
      <c r="K1197" t="str">
        <f t="shared" si="74"/>
        <v>Sept-2023</v>
      </c>
      <c r="L1197" t="str">
        <f t="shared" si="75"/>
        <v>High</v>
      </c>
    </row>
    <row r="1198" spans="1:12" x14ac:dyDescent="0.3">
      <c r="A1198">
        <v>2023</v>
      </c>
      <c r="B1198" s="2" t="s">
        <v>25</v>
      </c>
      <c r="C1198" t="s">
        <v>17</v>
      </c>
      <c r="D1198" t="s">
        <v>15</v>
      </c>
      <c r="E1198">
        <v>28.32</v>
      </c>
      <c r="F1198">
        <v>171.8</v>
      </c>
      <c r="G1198">
        <v>4.33</v>
      </c>
      <c r="H1198" s="3">
        <f t="shared" si="72"/>
        <v>45170</v>
      </c>
      <c r="I1198">
        <f>MONTH(Table1[[#This Row],[Date]])</f>
        <v>9</v>
      </c>
      <c r="J1198" t="str">
        <f t="shared" si="73"/>
        <v>Q3</v>
      </c>
      <c r="K1198" t="str">
        <f t="shared" si="74"/>
        <v>Sept-2023</v>
      </c>
      <c r="L1198" t="str">
        <f t="shared" si="75"/>
        <v>High</v>
      </c>
    </row>
    <row r="1199" spans="1:12" x14ac:dyDescent="0.3">
      <c r="A1199">
        <v>2023</v>
      </c>
      <c r="B1199" s="2" t="s">
        <v>26</v>
      </c>
      <c r="C1199" t="s">
        <v>8</v>
      </c>
      <c r="D1199" t="s">
        <v>9</v>
      </c>
      <c r="E1199">
        <v>100</v>
      </c>
      <c r="F1199">
        <v>159</v>
      </c>
      <c r="G1199">
        <v>4</v>
      </c>
      <c r="H1199" s="3">
        <f t="shared" si="72"/>
        <v>45200</v>
      </c>
      <c r="I1199">
        <f>MONTH(Table1[[#This Row],[Date]])</f>
        <v>10</v>
      </c>
      <c r="J1199" t="str">
        <f t="shared" si="73"/>
        <v>Q4</v>
      </c>
      <c r="K1199" t="str">
        <f t="shared" si="74"/>
        <v>Oct-2023</v>
      </c>
      <c r="L1199" t="str">
        <f t="shared" si="75"/>
        <v>High</v>
      </c>
    </row>
    <row r="1200" spans="1:12" x14ac:dyDescent="0.3">
      <c r="A1200">
        <v>2023</v>
      </c>
      <c r="B1200" s="2" t="s">
        <v>26</v>
      </c>
      <c r="C1200" t="s">
        <v>8</v>
      </c>
      <c r="D1200" t="s">
        <v>10</v>
      </c>
      <c r="E1200">
        <v>45.86</v>
      </c>
      <c r="F1200">
        <v>161</v>
      </c>
      <c r="G1200">
        <v>4.08</v>
      </c>
      <c r="H1200" s="3">
        <f t="shared" si="72"/>
        <v>45200</v>
      </c>
      <c r="I1200">
        <f>MONTH(Table1[[#This Row],[Date]])</f>
        <v>10</v>
      </c>
      <c r="J1200" t="str">
        <f t="shared" si="73"/>
        <v>Q4</v>
      </c>
      <c r="K1200" t="str">
        <f t="shared" si="74"/>
        <v>Oct-2023</v>
      </c>
      <c r="L1200" t="str">
        <f t="shared" si="75"/>
        <v>High</v>
      </c>
    </row>
    <row r="1201" spans="1:12" x14ac:dyDescent="0.3">
      <c r="A1201">
        <v>2023</v>
      </c>
      <c r="B1201" s="2" t="s">
        <v>26</v>
      </c>
      <c r="C1201" t="s">
        <v>8</v>
      </c>
      <c r="D1201" t="s">
        <v>11</v>
      </c>
      <c r="E1201">
        <v>2.38</v>
      </c>
      <c r="F1201">
        <v>163</v>
      </c>
      <c r="G1201">
        <v>4.16</v>
      </c>
      <c r="H1201" s="3">
        <f t="shared" si="72"/>
        <v>45200</v>
      </c>
      <c r="I1201">
        <f>MONTH(Table1[[#This Row],[Date]])</f>
        <v>10</v>
      </c>
      <c r="J1201" t="str">
        <f t="shared" si="73"/>
        <v>Q4</v>
      </c>
      <c r="K1201" t="str">
        <f t="shared" si="74"/>
        <v>Oct-2023</v>
      </c>
      <c r="L1201" t="str">
        <f t="shared" si="75"/>
        <v>High</v>
      </c>
    </row>
    <row r="1202" spans="1:12" x14ac:dyDescent="0.3">
      <c r="A1202">
        <v>2023</v>
      </c>
      <c r="B1202" s="2" t="s">
        <v>26</v>
      </c>
      <c r="C1202" t="s">
        <v>8</v>
      </c>
      <c r="D1202" t="s">
        <v>12</v>
      </c>
      <c r="E1202">
        <v>6.53</v>
      </c>
      <c r="F1202">
        <v>165</v>
      </c>
      <c r="G1202">
        <v>4.24</v>
      </c>
      <c r="H1202" s="3">
        <f t="shared" si="72"/>
        <v>45200</v>
      </c>
      <c r="I1202">
        <f>MONTH(Table1[[#This Row],[Date]])</f>
        <v>10</v>
      </c>
      <c r="J1202" t="str">
        <f t="shared" si="73"/>
        <v>Q4</v>
      </c>
      <c r="K1202" t="str">
        <f t="shared" si="74"/>
        <v>Oct-2023</v>
      </c>
      <c r="L1202" t="str">
        <f t="shared" si="75"/>
        <v>High</v>
      </c>
    </row>
    <row r="1203" spans="1:12" x14ac:dyDescent="0.3">
      <c r="A1203">
        <v>2023</v>
      </c>
      <c r="B1203" s="2" t="s">
        <v>26</v>
      </c>
      <c r="C1203" t="s">
        <v>8</v>
      </c>
      <c r="D1203" t="s">
        <v>13</v>
      </c>
      <c r="E1203">
        <v>10.07</v>
      </c>
      <c r="F1203">
        <v>167</v>
      </c>
      <c r="G1203">
        <v>4.32</v>
      </c>
      <c r="H1203" s="3">
        <f t="shared" si="72"/>
        <v>45200</v>
      </c>
      <c r="I1203">
        <f>MONTH(Table1[[#This Row],[Date]])</f>
        <v>10</v>
      </c>
      <c r="J1203" t="str">
        <f t="shared" si="73"/>
        <v>Q4</v>
      </c>
      <c r="K1203" t="str">
        <f t="shared" si="74"/>
        <v>Oct-2023</v>
      </c>
      <c r="L1203" t="str">
        <f t="shared" si="75"/>
        <v>High</v>
      </c>
    </row>
    <row r="1204" spans="1:12" x14ac:dyDescent="0.3">
      <c r="A1204">
        <v>2023</v>
      </c>
      <c r="B1204" s="2" t="s">
        <v>26</v>
      </c>
      <c r="C1204" t="s">
        <v>8</v>
      </c>
      <c r="D1204" t="s">
        <v>14</v>
      </c>
      <c r="E1204">
        <v>6.84</v>
      </c>
      <c r="F1204">
        <v>169</v>
      </c>
      <c r="G1204">
        <v>4.4000000000000004</v>
      </c>
      <c r="H1204" s="3">
        <f t="shared" si="72"/>
        <v>45200</v>
      </c>
      <c r="I1204">
        <f>MONTH(Table1[[#This Row],[Date]])</f>
        <v>10</v>
      </c>
      <c r="J1204" t="str">
        <f t="shared" si="73"/>
        <v>Q4</v>
      </c>
      <c r="K1204" t="str">
        <f t="shared" si="74"/>
        <v>Oct-2023</v>
      </c>
      <c r="L1204" t="str">
        <f t="shared" si="75"/>
        <v>High</v>
      </c>
    </row>
    <row r="1205" spans="1:12" x14ac:dyDescent="0.3">
      <c r="A1205">
        <v>2023</v>
      </c>
      <c r="B1205" s="2" t="s">
        <v>26</v>
      </c>
      <c r="C1205" t="s">
        <v>8</v>
      </c>
      <c r="D1205" t="s">
        <v>15</v>
      </c>
      <c r="E1205">
        <v>28.32</v>
      </c>
      <c r="F1205">
        <v>171</v>
      </c>
      <c r="G1205">
        <v>4.4800000000000004</v>
      </c>
      <c r="H1205" s="3">
        <f t="shared" si="72"/>
        <v>45200</v>
      </c>
      <c r="I1205">
        <f>MONTH(Table1[[#This Row],[Date]])</f>
        <v>10</v>
      </c>
      <c r="J1205" t="str">
        <f t="shared" si="73"/>
        <v>Q4</v>
      </c>
      <c r="K1205" t="str">
        <f t="shared" si="74"/>
        <v>Oct-2023</v>
      </c>
      <c r="L1205" t="str">
        <f t="shared" si="75"/>
        <v>High</v>
      </c>
    </row>
    <row r="1206" spans="1:12" x14ac:dyDescent="0.3">
      <c r="A1206">
        <v>2023</v>
      </c>
      <c r="B1206" s="2" t="s">
        <v>26</v>
      </c>
      <c r="C1206" t="s">
        <v>16</v>
      </c>
      <c r="D1206" t="s">
        <v>9</v>
      </c>
      <c r="E1206">
        <v>100</v>
      </c>
      <c r="F1206">
        <v>159.6</v>
      </c>
      <c r="G1206">
        <v>4</v>
      </c>
      <c r="H1206" s="3">
        <f t="shared" si="72"/>
        <v>45200</v>
      </c>
      <c r="I1206">
        <f>MONTH(Table1[[#This Row],[Date]])</f>
        <v>10</v>
      </c>
      <c r="J1206" t="str">
        <f t="shared" si="73"/>
        <v>Q4</v>
      </c>
      <c r="K1206" t="str">
        <f t="shared" si="74"/>
        <v>Oct-2023</v>
      </c>
      <c r="L1206" t="str">
        <f t="shared" si="75"/>
        <v>High</v>
      </c>
    </row>
    <row r="1207" spans="1:12" x14ac:dyDescent="0.3">
      <c r="A1207">
        <v>2023</v>
      </c>
      <c r="B1207" s="2" t="s">
        <v>26</v>
      </c>
      <c r="C1207" t="s">
        <v>16</v>
      </c>
      <c r="D1207" t="s">
        <v>10</v>
      </c>
      <c r="E1207">
        <v>45.86</v>
      </c>
      <c r="F1207">
        <v>161.6</v>
      </c>
      <c r="G1207">
        <v>4.08</v>
      </c>
      <c r="H1207" s="3">
        <f t="shared" si="72"/>
        <v>45200</v>
      </c>
      <c r="I1207">
        <f>MONTH(Table1[[#This Row],[Date]])</f>
        <v>10</v>
      </c>
      <c r="J1207" t="str">
        <f t="shared" si="73"/>
        <v>Q4</v>
      </c>
      <c r="K1207" t="str">
        <f t="shared" si="74"/>
        <v>Oct-2023</v>
      </c>
      <c r="L1207" t="str">
        <f t="shared" si="75"/>
        <v>High</v>
      </c>
    </row>
    <row r="1208" spans="1:12" x14ac:dyDescent="0.3">
      <c r="A1208">
        <v>2023</v>
      </c>
      <c r="B1208" s="2" t="s">
        <v>26</v>
      </c>
      <c r="C1208" t="s">
        <v>16</v>
      </c>
      <c r="D1208" t="s">
        <v>11</v>
      </c>
      <c r="E1208">
        <v>2.38</v>
      </c>
      <c r="F1208">
        <v>163.6</v>
      </c>
      <c r="G1208">
        <v>4.16</v>
      </c>
      <c r="H1208" s="3">
        <f t="shared" si="72"/>
        <v>45200</v>
      </c>
      <c r="I1208">
        <f>MONTH(Table1[[#This Row],[Date]])</f>
        <v>10</v>
      </c>
      <c r="J1208" t="str">
        <f t="shared" si="73"/>
        <v>Q4</v>
      </c>
      <c r="K1208" t="str">
        <f t="shared" si="74"/>
        <v>Oct-2023</v>
      </c>
      <c r="L1208" t="str">
        <f t="shared" si="75"/>
        <v>High</v>
      </c>
    </row>
    <row r="1209" spans="1:12" x14ac:dyDescent="0.3">
      <c r="A1209">
        <v>2023</v>
      </c>
      <c r="B1209" s="2" t="s">
        <v>26</v>
      </c>
      <c r="C1209" t="s">
        <v>16</v>
      </c>
      <c r="D1209" t="s">
        <v>12</v>
      </c>
      <c r="E1209">
        <v>6.53</v>
      </c>
      <c r="F1209">
        <v>165.6</v>
      </c>
      <c r="G1209">
        <v>4.24</v>
      </c>
      <c r="H1209" s="3">
        <f t="shared" si="72"/>
        <v>45200</v>
      </c>
      <c r="I1209">
        <f>MONTH(Table1[[#This Row],[Date]])</f>
        <v>10</v>
      </c>
      <c r="J1209" t="str">
        <f t="shared" si="73"/>
        <v>Q4</v>
      </c>
      <c r="K1209" t="str">
        <f t="shared" si="74"/>
        <v>Oct-2023</v>
      </c>
      <c r="L1209" t="str">
        <f t="shared" si="75"/>
        <v>High</v>
      </c>
    </row>
    <row r="1210" spans="1:12" x14ac:dyDescent="0.3">
      <c r="A1210">
        <v>2023</v>
      </c>
      <c r="B1210" s="2" t="s">
        <v>26</v>
      </c>
      <c r="C1210" t="s">
        <v>16</v>
      </c>
      <c r="D1210" t="s">
        <v>13</v>
      </c>
      <c r="E1210">
        <v>10.07</v>
      </c>
      <c r="F1210">
        <v>167.6</v>
      </c>
      <c r="G1210">
        <v>4.32</v>
      </c>
      <c r="H1210" s="3">
        <f t="shared" si="72"/>
        <v>45200</v>
      </c>
      <c r="I1210">
        <f>MONTH(Table1[[#This Row],[Date]])</f>
        <v>10</v>
      </c>
      <c r="J1210" t="str">
        <f t="shared" si="73"/>
        <v>Q4</v>
      </c>
      <c r="K1210" t="str">
        <f t="shared" si="74"/>
        <v>Oct-2023</v>
      </c>
      <c r="L1210" t="str">
        <f t="shared" si="75"/>
        <v>High</v>
      </c>
    </row>
    <row r="1211" spans="1:12" x14ac:dyDescent="0.3">
      <c r="A1211">
        <v>2023</v>
      </c>
      <c r="B1211" s="2" t="s">
        <v>26</v>
      </c>
      <c r="C1211" t="s">
        <v>16</v>
      </c>
      <c r="D1211" t="s">
        <v>14</v>
      </c>
      <c r="E1211">
        <v>6.84</v>
      </c>
      <c r="F1211">
        <v>169.6</v>
      </c>
      <c r="G1211">
        <v>4.4000000000000004</v>
      </c>
      <c r="H1211" s="3">
        <f t="shared" si="72"/>
        <v>45200</v>
      </c>
      <c r="I1211">
        <f>MONTH(Table1[[#This Row],[Date]])</f>
        <v>10</v>
      </c>
      <c r="J1211" t="str">
        <f t="shared" si="73"/>
        <v>Q4</v>
      </c>
      <c r="K1211" t="str">
        <f t="shared" si="74"/>
        <v>Oct-2023</v>
      </c>
      <c r="L1211" t="str">
        <f t="shared" si="75"/>
        <v>High</v>
      </c>
    </row>
    <row r="1212" spans="1:12" x14ac:dyDescent="0.3">
      <c r="A1212">
        <v>2023</v>
      </c>
      <c r="B1212" s="2" t="s">
        <v>26</v>
      </c>
      <c r="C1212" t="s">
        <v>16</v>
      </c>
      <c r="D1212" t="s">
        <v>15</v>
      </c>
      <c r="E1212">
        <v>28.32</v>
      </c>
      <c r="F1212">
        <v>171.6</v>
      </c>
      <c r="G1212">
        <v>4.4800000000000004</v>
      </c>
      <c r="H1212" s="3">
        <f t="shared" si="72"/>
        <v>45200</v>
      </c>
      <c r="I1212">
        <f>MONTH(Table1[[#This Row],[Date]])</f>
        <v>10</v>
      </c>
      <c r="J1212" t="str">
        <f t="shared" si="73"/>
        <v>Q4</v>
      </c>
      <c r="K1212" t="str">
        <f t="shared" si="74"/>
        <v>Oct-2023</v>
      </c>
      <c r="L1212" t="str">
        <f t="shared" si="75"/>
        <v>High</v>
      </c>
    </row>
    <row r="1213" spans="1:12" x14ac:dyDescent="0.3">
      <c r="A1213">
        <v>2023</v>
      </c>
      <c r="B1213" s="2" t="s">
        <v>26</v>
      </c>
      <c r="C1213" t="s">
        <v>17</v>
      </c>
      <c r="D1213" t="s">
        <v>9</v>
      </c>
      <c r="E1213">
        <v>100</v>
      </c>
      <c r="F1213">
        <v>160.19999999999999</v>
      </c>
      <c r="G1213">
        <v>4</v>
      </c>
      <c r="H1213" s="3">
        <f t="shared" si="72"/>
        <v>45200</v>
      </c>
      <c r="I1213">
        <f>MONTH(Table1[[#This Row],[Date]])</f>
        <v>10</v>
      </c>
      <c r="J1213" t="str">
        <f t="shared" si="73"/>
        <v>Q4</v>
      </c>
      <c r="K1213" t="str">
        <f t="shared" si="74"/>
        <v>Oct-2023</v>
      </c>
      <c r="L1213" t="str">
        <f t="shared" si="75"/>
        <v>High</v>
      </c>
    </row>
    <row r="1214" spans="1:12" x14ac:dyDescent="0.3">
      <c r="A1214">
        <v>2023</v>
      </c>
      <c r="B1214" s="2" t="s">
        <v>26</v>
      </c>
      <c r="C1214" t="s">
        <v>17</v>
      </c>
      <c r="D1214" t="s">
        <v>10</v>
      </c>
      <c r="E1214">
        <v>45.86</v>
      </c>
      <c r="F1214">
        <v>162.19999999999999</v>
      </c>
      <c r="G1214">
        <v>4.08</v>
      </c>
      <c r="H1214" s="3">
        <f t="shared" si="72"/>
        <v>45200</v>
      </c>
      <c r="I1214">
        <f>MONTH(Table1[[#This Row],[Date]])</f>
        <v>10</v>
      </c>
      <c r="J1214" t="str">
        <f t="shared" si="73"/>
        <v>Q4</v>
      </c>
      <c r="K1214" t="str">
        <f t="shared" si="74"/>
        <v>Oct-2023</v>
      </c>
      <c r="L1214" t="str">
        <f t="shared" si="75"/>
        <v>High</v>
      </c>
    </row>
    <row r="1215" spans="1:12" x14ac:dyDescent="0.3">
      <c r="A1215">
        <v>2023</v>
      </c>
      <c r="B1215" s="2" t="s">
        <v>26</v>
      </c>
      <c r="C1215" t="s">
        <v>17</v>
      </c>
      <c r="D1215" t="s">
        <v>11</v>
      </c>
      <c r="E1215">
        <v>2.38</v>
      </c>
      <c r="F1215">
        <v>164.2</v>
      </c>
      <c r="G1215">
        <v>4.16</v>
      </c>
      <c r="H1215" s="3">
        <f t="shared" si="72"/>
        <v>45200</v>
      </c>
      <c r="I1215">
        <f>MONTH(Table1[[#This Row],[Date]])</f>
        <v>10</v>
      </c>
      <c r="J1215" t="str">
        <f t="shared" si="73"/>
        <v>Q4</v>
      </c>
      <c r="K1215" t="str">
        <f t="shared" si="74"/>
        <v>Oct-2023</v>
      </c>
      <c r="L1215" t="str">
        <f t="shared" si="75"/>
        <v>High</v>
      </c>
    </row>
    <row r="1216" spans="1:12" x14ac:dyDescent="0.3">
      <c r="A1216">
        <v>2023</v>
      </c>
      <c r="B1216" s="2" t="s">
        <v>26</v>
      </c>
      <c r="C1216" t="s">
        <v>17</v>
      </c>
      <c r="D1216" t="s">
        <v>12</v>
      </c>
      <c r="E1216">
        <v>6.53</v>
      </c>
      <c r="F1216">
        <v>166.2</v>
      </c>
      <c r="G1216">
        <v>4.24</v>
      </c>
      <c r="H1216" s="3">
        <f t="shared" si="72"/>
        <v>45200</v>
      </c>
      <c r="I1216">
        <f>MONTH(Table1[[#This Row],[Date]])</f>
        <v>10</v>
      </c>
      <c r="J1216" t="str">
        <f t="shared" si="73"/>
        <v>Q4</v>
      </c>
      <c r="K1216" t="str">
        <f t="shared" si="74"/>
        <v>Oct-2023</v>
      </c>
      <c r="L1216" t="str">
        <f t="shared" si="75"/>
        <v>High</v>
      </c>
    </row>
    <row r="1217" spans="1:12" x14ac:dyDescent="0.3">
      <c r="A1217">
        <v>2023</v>
      </c>
      <c r="B1217" s="2" t="s">
        <v>26</v>
      </c>
      <c r="C1217" t="s">
        <v>17</v>
      </c>
      <c r="D1217" t="s">
        <v>13</v>
      </c>
      <c r="E1217">
        <v>10.07</v>
      </c>
      <c r="F1217">
        <v>168.2</v>
      </c>
      <c r="G1217">
        <v>4.32</v>
      </c>
      <c r="H1217" s="3">
        <f t="shared" si="72"/>
        <v>45200</v>
      </c>
      <c r="I1217">
        <f>MONTH(Table1[[#This Row],[Date]])</f>
        <v>10</v>
      </c>
      <c r="J1217" t="str">
        <f t="shared" si="73"/>
        <v>Q4</v>
      </c>
      <c r="K1217" t="str">
        <f t="shared" si="74"/>
        <v>Oct-2023</v>
      </c>
      <c r="L1217" t="str">
        <f t="shared" si="75"/>
        <v>High</v>
      </c>
    </row>
    <row r="1218" spans="1:12" x14ac:dyDescent="0.3">
      <c r="A1218">
        <v>2023</v>
      </c>
      <c r="B1218" s="2" t="s">
        <v>26</v>
      </c>
      <c r="C1218" t="s">
        <v>17</v>
      </c>
      <c r="D1218" t="s">
        <v>14</v>
      </c>
      <c r="E1218">
        <v>6.84</v>
      </c>
      <c r="F1218">
        <v>170.2</v>
      </c>
      <c r="G1218">
        <v>4.4000000000000004</v>
      </c>
      <c r="H1218" s="3">
        <f t="shared" ref="H1218:H1281" si="76">DATE(A1218,MONTH(DATEVALUE(B1218&amp;" 1")),1)</f>
        <v>45200</v>
      </c>
      <c r="I1218">
        <f>MONTH(Table1[[#This Row],[Date]])</f>
        <v>10</v>
      </c>
      <c r="J1218" t="str">
        <f t="shared" ref="J1218:J1281" si="77">"Q"&amp;ROUNDUP(MONTH(H1218)/3,0)</f>
        <v>Q4</v>
      </c>
      <c r="K1218" t="str">
        <f t="shared" ref="K1218:K1281" si="78">TEXT(H1218,"mmm-yyyy")</f>
        <v>Oct-2023</v>
      </c>
      <c r="L1218" t="str">
        <f t="shared" ref="L1218:L1281" si="79">IF(G1218&lt;3,"Low",IF(G1218&lt;4,"Medium","High"))</f>
        <v>High</v>
      </c>
    </row>
    <row r="1219" spans="1:12" x14ac:dyDescent="0.3">
      <c r="A1219">
        <v>2023</v>
      </c>
      <c r="B1219" s="2" t="s">
        <v>26</v>
      </c>
      <c r="C1219" t="s">
        <v>17</v>
      </c>
      <c r="D1219" t="s">
        <v>15</v>
      </c>
      <c r="E1219">
        <v>28.32</v>
      </c>
      <c r="F1219">
        <v>172.2</v>
      </c>
      <c r="G1219">
        <v>4.4800000000000004</v>
      </c>
      <c r="H1219" s="3">
        <f t="shared" si="76"/>
        <v>45200</v>
      </c>
      <c r="I1219">
        <f>MONTH(Table1[[#This Row],[Date]])</f>
        <v>10</v>
      </c>
      <c r="J1219" t="str">
        <f t="shared" si="77"/>
        <v>Q4</v>
      </c>
      <c r="K1219" t="str">
        <f t="shared" si="78"/>
        <v>Oct-2023</v>
      </c>
      <c r="L1219" t="str">
        <f t="shared" si="79"/>
        <v>High</v>
      </c>
    </row>
    <row r="1220" spans="1:12" x14ac:dyDescent="0.3">
      <c r="A1220">
        <v>2023</v>
      </c>
      <c r="B1220" s="2" t="s">
        <v>27</v>
      </c>
      <c r="C1220" t="s">
        <v>8</v>
      </c>
      <c r="D1220" t="s">
        <v>9</v>
      </c>
      <c r="E1220">
        <v>100</v>
      </c>
      <c r="F1220">
        <v>159.4</v>
      </c>
      <c r="G1220">
        <v>4.1500000000000004</v>
      </c>
      <c r="H1220" s="3">
        <f t="shared" si="76"/>
        <v>45231</v>
      </c>
      <c r="I1220">
        <f>MONTH(Table1[[#This Row],[Date]])</f>
        <v>11</v>
      </c>
      <c r="J1220" t="str">
        <f t="shared" si="77"/>
        <v>Q4</v>
      </c>
      <c r="K1220" t="str">
        <f t="shared" si="78"/>
        <v>Nov-2023</v>
      </c>
      <c r="L1220" t="str">
        <f t="shared" si="79"/>
        <v>High</v>
      </c>
    </row>
    <row r="1221" spans="1:12" x14ac:dyDescent="0.3">
      <c r="A1221">
        <v>2023</v>
      </c>
      <c r="B1221" s="2" t="s">
        <v>27</v>
      </c>
      <c r="C1221" t="s">
        <v>8</v>
      </c>
      <c r="D1221" t="s">
        <v>10</v>
      </c>
      <c r="E1221">
        <v>45.86</v>
      </c>
      <c r="F1221">
        <v>161.4</v>
      </c>
      <c r="G1221">
        <v>4.2300000000000004</v>
      </c>
      <c r="H1221" s="3">
        <f t="shared" si="76"/>
        <v>45231</v>
      </c>
      <c r="I1221">
        <f>MONTH(Table1[[#This Row],[Date]])</f>
        <v>11</v>
      </c>
      <c r="J1221" t="str">
        <f t="shared" si="77"/>
        <v>Q4</v>
      </c>
      <c r="K1221" t="str">
        <f t="shared" si="78"/>
        <v>Nov-2023</v>
      </c>
      <c r="L1221" t="str">
        <f t="shared" si="79"/>
        <v>High</v>
      </c>
    </row>
    <row r="1222" spans="1:12" x14ac:dyDescent="0.3">
      <c r="A1222">
        <v>2023</v>
      </c>
      <c r="B1222" s="2" t="s">
        <v>27</v>
      </c>
      <c r="C1222" t="s">
        <v>8</v>
      </c>
      <c r="D1222" t="s">
        <v>11</v>
      </c>
      <c r="E1222">
        <v>2.38</v>
      </c>
      <c r="F1222">
        <v>163.4</v>
      </c>
      <c r="G1222">
        <v>4.3099999999999996</v>
      </c>
      <c r="H1222" s="3">
        <f t="shared" si="76"/>
        <v>45231</v>
      </c>
      <c r="I1222">
        <f>MONTH(Table1[[#This Row],[Date]])</f>
        <v>11</v>
      </c>
      <c r="J1222" t="str">
        <f t="shared" si="77"/>
        <v>Q4</v>
      </c>
      <c r="K1222" t="str">
        <f t="shared" si="78"/>
        <v>Nov-2023</v>
      </c>
      <c r="L1222" t="str">
        <f t="shared" si="79"/>
        <v>High</v>
      </c>
    </row>
    <row r="1223" spans="1:12" x14ac:dyDescent="0.3">
      <c r="A1223">
        <v>2023</v>
      </c>
      <c r="B1223" s="2" t="s">
        <v>27</v>
      </c>
      <c r="C1223" t="s">
        <v>8</v>
      </c>
      <c r="D1223" t="s">
        <v>12</v>
      </c>
      <c r="E1223">
        <v>6.53</v>
      </c>
      <c r="F1223">
        <v>165.4</v>
      </c>
      <c r="G1223">
        <v>4.3899999999999997</v>
      </c>
      <c r="H1223" s="3">
        <f t="shared" si="76"/>
        <v>45231</v>
      </c>
      <c r="I1223">
        <f>MONTH(Table1[[#This Row],[Date]])</f>
        <v>11</v>
      </c>
      <c r="J1223" t="str">
        <f t="shared" si="77"/>
        <v>Q4</v>
      </c>
      <c r="K1223" t="str">
        <f t="shared" si="78"/>
        <v>Nov-2023</v>
      </c>
      <c r="L1223" t="str">
        <f t="shared" si="79"/>
        <v>High</v>
      </c>
    </row>
    <row r="1224" spans="1:12" x14ac:dyDescent="0.3">
      <c r="A1224">
        <v>2023</v>
      </c>
      <c r="B1224" s="2" t="s">
        <v>27</v>
      </c>
      <c r="C1224" t="s">
        <v>8</v>
      </c>
      <c r="D1224" t="s">
        <v>13</v>
      </c>
      <c r="E1224">
        <v>10.07</v>
      </c>
      <c r="F1224">
        <v>167.4</v>
      </c>
      <c r="G1224">
        <v>4.47</v>
      </c>
      <c r="H1224" s="3">
        <f t="shared" si="76"/>
        <v>45231</v>
      </c>
      <c r="I1224">
        <f>MONTH(Table1[[#This Row],[Date]])</f>
        <v>11</v>
      </c>
      <c r="J1224" t="str">
        <f t="shared" si="77"/>
        <v>Q4</v>
      </c>
      <c r="K1224" t="str">
        <f t="shared" si="78"/>
        <v>Nov-2023</v>
      </c>
      <c r="L1224" t="str">
        <f t="shared" si="79"/>
        <v>High</v>
      </c>
    </row>
    <row r="1225" spans="1:12" x14ac:dyDescent="0.3">
      <c r="A1225">
        <v>2023</v>
      </c>
      <c r="B1225" s="2" t="s">
        <v>27</v>
      </c>
      <c r="C1225" t="s">
        <v>8</v>
      </c>
      <c r="D1225" t="s">
        <v>14</v>
      </c>
      <c r="E1225">
        <v>6.84</v>
      </c>
      <c r="F1225">
        <v>169.4</v>
      </c>
      <c r="G1225">
        <v>4.55</v>
      </c>
      <c r="H1225" s="3">
        <f t="shared" si="76"/>
        <v>45231</v>
      </c>
      <c r="I1225">
        <f>MONTH(Table1[[#This Row],[Date]])</f>
        <v>11</v>
      </c>
      <c r="J1225" t="str">
        <f t="shared" si="77"/>
        <v>Q4</v>
      </c>
      <c r="K1225" t="str">
        <f t="shared" si="78"/>
        <v>Nov-2023</v>
      </c>
      <c r="L1225" t="str">
        <f t="shared" si="79"/>
        <v>High</v>
      </c>
    </row>
    <row r="1226" spans="1:12" x14ac:dyDescent="0.3">
      <c r="A1226">
        <v>2023</v>
      </c>
      <c r="B1226" s="2" t="s">
        <v>27</v>
      </c>
      <c r="C1226" t="s">
        <v>8</v>
      </c>
      <c r="D1226" t="s">
        <v>15</v>
      </c>
      <c r="E1226">
        <v>28.32</v>
      </c>
      <c r="F1226">
        <v>171.4</v>
      </c>
      <c r="G1226">
        <v>4.63</v>
      </c>
      <c r="H1226" s="3">
        <f t="shared" si="76"/>
        <v>45231</v>
      </c>
      <c r="I1226">
        <f>MONTH(Table1[[#This Row],[Date]])</f>
        <v>11</v>
      </c>
      <c r="J1226" t="str">
        <f t="shared" si="77"/>
        <v>Q4</v>
      </c>
      <c r="K1226" t="str">
        <f t="shared" si="78"/>
        <v>Nov-2023</v>
      </c>
      <c r="L1226" t="str">
        <f t="shared" si="79"/>
        <v>High</v>
      </c>
    </row>
    <row r="1227" spans="1:12" x14ac:dyDescent="0.3">
      <c r="A1227">
        <v>2023</v>
      </c>
      <c r="B1227" s="2" t="s">
        <v>27</v>
      </c>
      <c r="C1227" t="s">
        <v>16</v>
      </c>
      <c r="D1227" t="s">
        <v>9</v>
      </c>
      <c r="E1227">
        <v>100</v>
      </c>
      <c r="F1227">
        <v>160</v>
      </c>
      <c r="G1227">
        <v>4.1500000000000004</v>
      </c>
      <c r="H1227" s="3">
        <f t="shared" si="76"/>
        <v>45231</v>
      </c>
      <c r="I1227">
        <f>MONTH(Table1[[#This Row],[Date]])</f>
        <v>11</v>
      </c>
      <c r="J1227" t="str">
        <f t="shared" si="77"/>
        <v>Q4</v>
      </c>
      <c r="K1227" t="str">
        <f t="shared" si="78"/>
        <v>Nov-2023</v>
      </c>
      <c r="L1227" t="str">
        <f t="shared" si="79"/>
        <v>High</v>
      </c>
    </row>
    <row r="1228" spans="1:12" x14ac:dyDescent="0.3">
      <c r="A1228">
        <v>2023</v>
      </c>
      <c r="B1228" s="2" t="s">
        <v>27</v>
      </c>
      <c r="C1228" t="s">
        <v>16</v>
      </c>
      <c r="D1228" t="s">
        <v>10</v>
      </c>
      <c r="E1228">
        <v>45.86</v>
      </c>
      <c r="F1228">
        <v>162</v>
      </c>
      <c r="G1228">
        <v>4.2300000000000004</v>
      </c>
      <c r="H1228" s="3">
        <f t="shared" si="76"/>
        <v>45231</v>
      </c>
      <c r="I1228">
        <f>MONTH(Table1[[#This Row],[Date]])</f>
        <v>11</v>
      </c>
      <c r="J1228" t="str">
        <f t="shared" si="77"/>
        <v>Q4</v>
      </c>
      <c r="K1228" t="str">
        <f t="shared" si="78"/>
        <v>Nov-2023</v>
      </c>
      <c r="L1228" t="str">
        <f t="shared" si="79"/>
        <v>High</v>
      </c>
    </row>
    <row r="1229" spans="1:12" x14ac:dyDescent="0.3">
      <c r="A1229">
        <v>2023</v>
      </c>
      <c r="B1229" s="2" t="s">
        <v>27</v>
      </c>
      <c r="C1229" t="s">
        <v>16</v>
      </c>
      <c r="D1229" t="s">
        <v>11</v>
      </c>
      <c r="E1229">
        <v>2.38</v>
      </c>
      <c r="F1229">
        <v>164</v>
      </c>
      <c r="G1229">
        <v>4.3099999999999996</v>
      </c>
      <c r="H1229" s="3">
        <f t="shared" si="76"/>
        <v>45231</v>
      </c>
      <c r="I1229">
        <f>MONTH(Table1[[#This Row],[Date]])</f>
        <v>11</v>
      </c>
      <c r="J1229" t="str">
        <f t="shared" si="77"/>
        <v>Q4</v>
      </c>
      <c r="K1229" t="str">
        <f t="shared" si="78"/>
        <v>Nov-2023</v>
      </c>
      <c r="L1229" t="str">
        <f t="shared" si="79"/>
        <v>High</v>
      </c>
    </row>
    <row r="1230" spans="1:12" x14ac:dyDescent="0.3">
      <c r="A1230">
        <v>2023</v>
      </c>
      <c r="B1230" s="2" t="s">
        <v>27</v>
      </c>
      <c r="C1230" t="s">
        <v>16</v>
      </c>
      <c r="D1230" t="s">
        <v>12</v>
      </c>
      <c r="E1230">
        <v>6.53</v>
      </c>
      <c r="F1230">
        <v>166</v>
      </c>
      <c r="G1230">
        <v>4.3899999999999997</v>
      </c>
      <c r="H1230" s="3">
        <f t="shared" si="76"/>
        <v>45231</v>
      </c>
      <c r="I1230">
        <f>MONTH(Table1[[#This Row],[Date]])</f>
        <v>11</v>
      </c>
      <c r="J1230" t="str">
        <f t="shared" si="77"/>
        <v>Q4</v>
      </c>
      <c r="K1230" t="str">
        <f t="shared" si="78"/>
        <v>Nov-2023</v>
      </c>
      <c r="L1230" t="str">
        <f t="shared" si="79"/>
        <v>High</v>
      </c>
    </row>
    <row r="1231" spans="1:12" x14ac:dyDescent="0.3">
      <c r="A1231">
        <v>2023</v>
      </c>
      <c r="B1231" s="2" t="s">
        <v>27</v>
      </c>
      <c r="C1231" t="s">
        <v>16</v>
      </c>
      <c r="D1231" t="s">
        <v>13</v>
      </c>
      <c r="E1231">
        <v>10.07</v>
      </c>
      <c r="F1231">
        <v>168</v>
      </c>
      <c r="G1231">
        <v>4.47</v>
      </c>
      <c r="H1231" s="3">
        <f t="shared" si="76"/>
        <v>45231</v>
      </c>
      <c r="I1231">
        <f>MONTH(Table1[[#This Row],[Date]])</f>
        <v>11</v>
      </c>
      <c r="J1231" t="str">
        <f t="shared" si="77"/>
        <v>Q4</v>
      </c>
      <c r="K1231" t="str">
        <f t="shared" si="78"/>
        <v>Nov-2023</v>
      </c>
      <c r="L1231" t="str">
        <f t="shared" si="79"/>
        <v>High</v>
      </c>
    </row>
    <row r="1232" spans="1:12" x14ac:dyDescent="0.3">
      <c r="A1232">
        <v>2023</v>
      </c>
      <c r="B1232" s="2" t="s">
        <v>27</v>
      </c>
      <c r="C1232" t="s">
        <v>16</v>
      </c>
      <c r="D1232" t="s">
        <v>14</v>
      </c>
      <c r="E1232">
        <v>6.84</v>
      </c>
      <c r="F1232">
        <v>170</v>
      </c>
      <c r="G1232">
        <v>4.55</v>
      </c>
      <c r="H1232" s="3">
        <f t="shared" si="76"/>
        <v>45231</v>
      </c>
      <c r="I1232">
        <f>MONTH(Table1[[#This Row],[Date]])</f>
        <v>11</v>
      </c>
      <c r="J1232" t="str">
        <f t="shared" si="77"/>
        <v>Q4</v>
      </c>
      <c r="K1232" t="str">
        <f t="shared" si="78"/>
        <v>Nov-2023</v>
      </c>
      <c r="L1232" t="str">
        <f t="shared" si="79"/>
        <v>High</v>
      </c>
    </row>
    <row r="1233" spans="1:12" x14ac:dyDescent="0.3">
      <c r="A1233">
        <v>2023</v>
      </c>
      <c r="B1233" s="2" t="s">
        <v>27</v>
      </c>
      <c r="C1233" t="s">
        <v>16</v>
      </c>
      <c r="D1233" t="s">
        <v>15</v>
      </c>
      <c r="E1233">
        <v>28.32</v>
      </c>
      <c r="F1233">
        <v>172</v>
      </c>
      <c r="G1233">
        <v>4.63</v>
      </c>
      <c r="H1233" s="3">
        <f t="shared" si="76"/>
        <v>45231</v>
      </c>
      <c r="I1233">
        <f>MONTH(Table1[[#This Row],[Date]])</f>
        <v>11</v>
      </c>
      <c r="J1233" t="str">
        <f t="shared" si="77"/>
        <v>Q4</v>
      </c>
      <c r="K1233" t="str">
        <f t="shared" si="78"/>
        <v>Nov-2023</v>
      </c>
      <c r="L1233" t="str">
        <f t="shared" si="79"/>
        <v>High</v>
      </c>
    </row>
    <row r="1234" spans="1:12" x14ac:dyDescent="0.3">
      <c r="A1234">
        <v>2023</v>
      </c>
      <c r="B1234" s="2" t="s">
        <v>27</v>
      </c>
      <c r="C1234" t="s">
        <v>17</v>
      </c>
      <c r="D1234" t="s">
        <v>9</v>
      </c>
      <c r="E1234">
        <v>100</v>
      </c>
      <c r="F1234">
        <v>160.6</v>
      </c>
      <c r="G1234">
        <v>4.1500000000000004</v>
      </c>
      <c r="H1234" s="3">
        <f t="shared" si="76"/>
        <v>45231</v>
      </c>
      <c r="I1234">
        <f>MONTH(Table1[[#This Row],[Date]])</f>
        <v>11</v>
      </c>
      <c r="J1234" t="str">
        <f t="shared" si="77"/>
        <v>Q4</v>
      </c>
      <c r="K1234" t="str">
        <f t="shared" si="78"/>
        <v>Nov-2023</v>
      </c>
      <c r="L1234" t="str">
        <f t="shared" si="79"/>
        <v>High</v>
      </c>
    </row>
    <row r="1235" spans="1:12" x14ac:dyDescent="0.3">
      <c r="A1235">
        <v>2023</v>
      </c>
      <c r="B1235" s="2" t="s">
        <v>27</v>
      </c>
      <c r="C1235" t="s">
        <v>17</v>
      </c>
      <c r="D1235" t="s">
        <v>10</v>
      </c>
      <c r="E1235">
        <v>45.86</v>
      </c>
      <c r="F1235">
        <v>162.6</v>
      </c>
      <c r="G1235">
        <v>4.2300000000000004</v>
      </c>
      <c r="H1235" s="3">
        <f t="shared" si="76"/>
        <v>45231</v>
      </c>
      <c r="I1235">
        <f>MONTH(Table1[[#This Row],[Date]])</f>
        <v>11</v>
      </c>
      <c r="J1235" t="str">
        <f t="shared" si="77"/>
        <v>Q4</v>
      </c>
      <c r="K1235" t="str">
        <f t="shared" si="78"/>
        <v>Nov-2023</v>
      </c>
      <c r="L1235" t="str">
        <f t="shared" si="79"/>
        <v>High</v>
      </c>
    </row>
    <row r="1236" spans="1:12" x14ac:dyDescent="0.3">
      <c r="A1236">
        <v>2023</v>
      </c>
      <c r="B1236" s="2" t="s">
        <v>27</v>
      </c>
      <c r="C1236" t="s">
        <v>17</v>
      </c>
      <c r="D1236" t="s">
        <v>11</v>
      </c>
      <c r="E1236">
        <v>2.38</v>
      </c>
      <c r="F1236">
        <v>164.6</v>
      </c>
      <c r="G1236">
        <v>4.3099999999999996</v>
      </c>
      <c r="H1236" s="3">
        <f t="shared" si="76"/>
        <v>45231</v>
      </c>
      <c r="I1236">
        <f>MONTH(Table1[[#This Row],[Date]])</f>
        <v>11</v>
      </c>
      <c r="J1236" t="str">
        <f t="shared" si="77"/>
        <v>Q4</v>
      </c>
      <c r="K1236" t="str">
        <f t="shared" si="78"/>
        <v>Nov-2023</v>
      </c>
      <c r="L1236" t="str">
        <f t="shared" si="79"/>
        <v>High</v>
      </c>
    </row>
    <row r="1237" spans="1:12" x14ac:dyDescent="0.3">
      <c r="A1237">
        <v>2023</v>
      </c>
      <c r="B1237" s="2" t="s">
        <v>27</v>
      </c>
      <c r="C1237" t="s">
        <v>17</v>
      </c>
      <c r="D1237" t="s">
        <v>12</v>
      </c>
      <c r="E1237">
        <v>6.53</v>
      </c>
      <c r="F1237">
        <v>166.6</v>
      </c>
      <c r="G1237">
        <v>4.3899999999999997</v>
      </c>
      <c r="H1237" s="3">
        <f t="shared" si="76"/>
        <v>45231</v>
      </c>
      <c r="I1237">
        <f>MONTH(Table1[[#This Row],[Date]])</f>
        <v>11</v>
      </c>
      <c r="J1237" t="str">
        <f t="shared" si="77"/>
        <v>Q4</v>
      </c>
      <c r="K1237" t="str">
        <f t="shared" si="78"/>
        <v>Nov-2023</v>
      </c>
      <c r="L1237" t="str">
        <f t="shared" si="79"/>
        <v>High</v>
      </c>
    </row>
    <row r="1238" spans="1:12" x14ac:dyDescent="0.3">
      <c r="A1238">
        <v>2023</v>
      </c>
      <c r="B1238" s="2" t="s">
        <v>27</v>
      </c>
      <c r="C1238" t="s">
        <v>17</v>
      </c>
      <c r="D1238" t="s">
        <v>13</v>
      </c>
      <c r="E1238">
        <v>10.07</v>
      </c>
      <c r="F1238">
        <v>168.6</v>
      </c>
      <c r="G1238">
        <v>4.47</v>
      </c>
      <c r="H1238" s="3">
        <f t="shared" si="76"/>
        <v>45231</v>
      </c>
      <c r="I1238">
        <f>MONTH(Table1[[#This Row],[Date]])</f>
        <v>11</v>
      </c>
      <c r="J1238" t="str">
        <f t="shared" si="77"/>
        <v>Q4</v>
      </c>
      <c r="K1238" t="str">
        <f t="shared" si="78"/>
        <v>Nov-2023</v>
      </c>
      <c r="L1238" t="str">
        <f t="shared" si="79"/>
        <v>High</v>
      </c>
    </row>
    <row r="1239" spans="1:12" x14ac:dyDescent="0.3">
      <c r="A1239">
        <v>2023</v>
      </c>
      <c r="B1239" s="2" t="s">
        <v>27</v>
      </c>
      <c r="C1239" t="s">
        <v>17</v>
      </c>
      <c r="D1239" t="s">
        <v>14</v>
      </c>
      <c r="E1239">
        <v>6.84</v>
      </c>
      <c r="F1239">
        <v>170.6</v>
      </c>
      <c r="G1239">
        <v>4.55</v>
      </c>
      <c r="H1239" s="3">
        <f t="shared" si="76"/>
        <v>45231</v>
      </c>
      <c r="I1239">
        <f>MONTH(Table1[[#This Row],[Date]])</f>
        <v>11</v>
      </c>
      <c r="J1239" t="str">
        <f t="shared" si="77"/>
        <v>Q4</v>
      </c>
      <c r="K1239" t="str">
        <f t="shared" si="78"/>
        <v>Nov-2023</v>
      </c>
      <c r="L1239" t="str">
        <f t="shared" si="79"/>
        <v>High</v>
      </c>
    </row>
    <row r="1240" spans="1:12" x14ac:dyDescent="0.3">
      <c r="A1240">
        <v>2023</v>
      </c>
      <c r="B1240" s="2" t="s">
        <v>27</v>
      </c>
      <c r="C1240" t="s">
        <v>17</v>
      </c>
      <c r="D1240" t="s">
        <v>15</v>
      </c>
      <c r="E1240">
        <v>28.32</v>
      </c>
      <c r="F1240">
        <v>172.6</v>
      </c>
      <c r="G1240">
        <v>4.63</v>
      </c>
      <c r="H1240" s="3">
        <f t="shared" si="76"/>
        <v>45231</v>
      </c>
      <c r="I1240">
        <f>MONTH(Table1[[#This Row],[Date]])</f>
        <v>11</v>
      </c>
      <c r="J1240" t="str">
        <f t="shared" si="77"/>
        <v>Q4</v>
      </c>
      <c r="K1240" t="str">
        <f t="shared" si="78"/>
        <v>Nov-2023</v>
      </c>
      <c r="L1240" t="str">
        <f t="shared" si="79"/>
        <v>High</v>
      </c>
    </row>
    <row r="1241" spans="1:12" x14ac:dyDescent="0.3">
      <c r="A1241">
        <v>2023</v>
      </c>
      <c r="B1241" s="2" t="s">
        <v>28</v>
      </c>
      <c r="C1241" t="s">
        <v>8</v>
      </c>
      <c r="D1241" t="s">
        <v>9</v>
      </c>
      <c r="E1241">
        <v>100</v>
      </c>
      <c r="F1241">
        <v>159.80000000000001</v>
      </c>
      <c r="G1241">
        <v>3.4</v>
      </c>
      <c r="H1241" s="3">
        <f t="shared" si="76"/>
        <v>45261</v>
      </c>
      <c r="I1241">
        <f>MONTH(Table1[[#This Row],[Date]])</f>
        <v>12</v>
      </c>
      <c r="J1241" t="str">
        <f t="shared" si="77"/>
        <v>Q4</v>
      </c>
      <c r="K1241" t="str">
        <f t="shared" si="78"/>
        <v>Dec-2023</v>
      </c>
      <c r="L1241" t="str">
        <f t="shared" si="79"/>
        <v>Medium</v>
      </c>
    </row>
    <row r="1242" spans="1:12" x14ac:dyDescent="0.3">
      <c r="A1242">
        <v>2023</v>
      </c>
      <c r="B1242" s="2" t="s">
        <v>28</v>
      </c>
      <c r="C1242" t="s">
        <v>8</v>
      </c>
      <c r="D1242" t="s">
        <v>10</v>
      </c>
      <c r="E1242">
        <v>45.86</v>
      </c>
      <c r="F1242">
        <v>161.80000000000001</v>
      </c>
      <c r="G1242">
        <v>3.48</v>
      </c>
      <c r="H1242" s="3">
        <f t="shared" si="76"/>
        <v>45261</v>
      </c>
      <c r="I1242">
        <f>MONTH(Table1[[#This Row],[Date]])</f>
        <v>12</v>
      </c>
      <c r="J1242" t="str">
        <f t="shared" si="77"/>
        <v>Q4</v>
      </c>
      <c r="K1242" t="str">
        <f t="shared" si="78"/>
        <v>Dec-2023</v>
      </c>
      <c r="L1242" t="str">
        <f t="shared" si="79"/>
        <v>Medium</v>
      </c>
    </row>
    <row r="1243" spans="1:12" x14ac:dyDescent="0.3">
      <c r="A1243">
        <v>2023</v>
      </c>
      <c r="B1243" s="2" t="s">
        <v>28</v>
      </c>
      <c r="C1243" t="s">
        <v>8</v>
      </c>
      <c r="D1243" t="s">
        <v>11</v>
      </c>
      <c r="E1243">
        <v>2.38</v>
      </c>
      <c r="F1243">
        <v>163.80000000000001</v>
      </c>
      <c r="G1243">
        <v>3.56</v>
      </c>
      <c r="H1243" s="3">
        <f t="shared" si="76"/>
        <v>45261</v>
      </c>
      <c r="I1243">
        <f>MONTH(Table1[[#This Row],[Date]])</f>
        <v>12</v>
      </c>
      <c r="J1243" t="str">
        <f t="shared" si="77"/>
        <v>Q4</v>
      </c>
      <c r="K1243" t="str">
        <f t="shared" si="78"/>
        <v>Dec-2023</v>
      </c>
      <c r="L1243" t="str">
        <f t="shared" si="79"/>
        <v>Medium</v>
      </c>
    </row>
    <row r="1244" spans="1:12" x14ac:dyDescent="0.3">
      <c r="A1244">
        <v>2023</v>
      </c>
      <c r="B1244" s="2" t="s">
        <v>28</v>
      </c>
      <c r="C1244" t="s">
        <v>8</v>
      </c>
      <c r="D1244" t="s">
        <v>12</v>
      </c>
      <c r="E1244">
        <v>6.53</v>
      </c>
      <c r="F1244">
        <v>165.8</v>
      </c>
      <c r="G1244">
        <v>3.64</v>
      </c>
      <c r="H1244" s="3">
        <f t="shared" si="76"/>
        <v>45261</v>
      </c>
      <c r="I1244">
        <f>MONTH(Table1[[#This Row],[Date]])</f>
        <v>12</v>
      </c>
      <c r="J1244" t="str">
        <f t="shared" si="77"/>
        <v>Q4</v>
      </c>
      <c r="K1244" t="str">
        <f t="shared" si="78"/>
        <v>Dec-2023</v>
      </c>
      <c r="L1244" t="str">
        <f t="shared" si="79"/>
        <v>Medium</v>
      </c>
    </row>
    <row r="1245" spans="1:12" x14ac:dyDescent="0.3">
      <c r="A1245">
        <v>2023</v>
      </c>
      <c r="B1245" s="2" t="s">
        <v>28</v>
      </c>
      <c r="C1245" t="s">
        <v>8</v>
      </c>
      <c r="D1245" t="s">
        <v>13</v>
      </c>
      <c r="E1245">
        <v>10.07</v>
      </c>
      <c r="F1245">
        <v>167.8</v>
      </c>
      <c r="G1245">
        <v>3.72</v>
      </c>
      <c r="H1245" s="3">
        <f t="shared" si="76"/>
        <v>45261</v>
      </c>
      <c r="I1245">
        <f>MONTH(Table1[[#This Row],[Date]])</f>
        <v>12</v>
      </c>
      <c r="J1245" t="str">
        <f t="shared" si="77"/>
        <v>Q4</v>
      </c>
      <c r="K1245" t="str">
        <f t="shared" si="78"/>
        <v>Dec-2023</v>
      </c>
      <c r="L1245" t="str">
        <f t="shared" si="79"/>
        <v>Medium</v>
      </c>
    </row>
    <row r="1246" spans="1:12" x14ac:dyDescent="0.3">
      <c r="A1246">
        <v>2023</v>
      </c>
      <c r="B1246" s="2" t="s">
        <v>28</v>
      </c>
      <c r="C1246" t="s">
        <v>8</v>
      </c>
      <c r="D1246" t="s">
        <v>14</v>
      </c>
      <c r="E1246">
        <v>6.84</v>
      </c>
      <c r="F1246">
        <v>169.8</v>
      </c>
      <c r="G1246">
        <v>3.8</v>
      </c>
      <c r="H1246" s="3">
        <f t="shared" si="76"/>
        <v>45261</v>
      </c>
      <c r="I1246">
        <f>MONTH(Table1[[#This Row],[Date]])</f>
        <v>12</v>
      </c>
      <c r="J1246" t="str">
        <f t="shared" si="77"/>
        <v>Q4</v>
      </c>
      <c r="K1246" t="str">
        <f t="shared" si="78"/>
        <v>Dec-2023</v>
      </c>
      <c r="L1246" t="str">
        <f t="shared" si="79"/>
        <v>Medium</v>
      </c>
    </row>
    <row r="1247" spans="1:12" x14ac:dyDescent="0.3">
      <c r="A1247">
        <v>2023</v>
      </c>
      <c r="B1247" s="2" t="s">
        <v>28</v>
      </c>
      <c r="C1247" t="s">
        <v>8</v>
      </c>
      <c r="D1247" t="s">
        <v>15</v>
      </c>
      <c r="E1247">
        <v>28.32</v>
      </c>
      <c r="F1247">
        <v>171.8</v>
      </c>
      <c r="G1247">
        <v>3.88</v>
      </c>
      <c r="H1247" s="3">
        <f t="shared" si="76"/>
        <v>45261</v>
      </c>
      <c r="I1247">
        <f>MONTH(Table1[[#This Row],[Date]])</f>
        <v>12</v>
      </c>
      <c r="J1247" t="str">
        <f t="shared" si="77"/>
        <v>Q4</v>
      </c>
      <c r="K1247" t="str">
        <f t="shared" si="78"/>
        <v>Dec-2023</v>
      </c>
      <c r="L1247" t="str">
        <f t="shared" si="79"/>
        <v>Medium</v>
      </c>
    </row>
    <row r="1248" spans="1:12" x14ac:dyDescent="0.3">
      <c r="A1248">
        <v>2023</v>
      </c>
      <c r="B1248" s="2" t="s">
        <v>28</v>
      </c>
      <c r="C1248" t="s">
        <v>16</v>
      </c>
      <c r="D1248" t="s">
        <v>9</v>
      </c>
      <c r="E1248">
        <v>100</v>
      </c>
      <c r="F1248">
        <v>160.4</v>
      </c>
      <c r="G1248">
        <v>3.4</v>
      </c>
      <c r="H1248" s="3">
        <f t="shared" si="76"/>
        <v>45261</v>
      </c>
      <c r="I1248">
        <f>MONTH(Table1[[#This Row],[Date]])</f>
        <v>12</v>
      </c>
      <c r="J1248" t="str">
        <f t="shared" si="77"/>
        <v>Q4</v>
      </c>
      <c r="K1248" t="str">
        <f t="shared" si="78"/>
        <v>Dec-2023</v>
      </c>
      <c r="L1248" t="str">
        <f t="shared" si="79"/>
        <v>Medium</v>
      </c>
    </row>
    <row r="1249" spans="1:12" x14ac:dyDescent="0.3">
      <c r="A1249">
        <v>2023</v>
      </c>
      <c r="B1249" s="2" t="s">
        <v>28</v>
      </c>
      <c r="C1249" t="s">
        <v>16</v>
      </c>
      <c r="D1249" t="s">
        <v>10</v>
      </c>
      <c r="E1249">
        <v>45.86</v>
      </c>
      <c r="F1249">
        <v>162.4</v>
      </c>
      <c r="G1249">
        <v>3.48</v>
      </c>
      <c r="H1249" s="3">
        <f t="shared" si="76"/>
        <v>45261</v>
      </c>
      <c r="I1249">
        <f>MONTH(Table1[[#This Row],[Date]])</f>
        <v>12</v>
      </c>
      <c r="J1249" t="str">
        <f t="shared" si="77"/>
        <v>Q4</v>
      </c>
      <c r="K1249" t="str">
        <f t="shared" si="78"/>
        <v>Dec-2023</v>
      </c>
      <c r="L1249" t="str">
        <f t="shared" si="79"/>
        <v>Medium</v>
      </c>
    </row>
    <row r="1250" spans="1:12" x14ac:dyDescent="0.3">
      <c r="A1250">
        <v>2023</v>
      </c>
      <c r="B1250" s="2" t="s">
        <v>28</v>
      </c>
      <c r="C1250" t="s">
        <v>16</v>
      </c>
      <c r="D1250" t="s">
        <v>11</v>
      </c>
      <c r="E1250">
        <v>2.38</v>
      </c>
      <c r="F1250">
        <v>164.4</v>
      </c>
      <c r="G1250">
        <v>3.56</v>
      </c>
      <c r="H1250" s="3">
        <f t="shared" si="76"/>
        <v>45261</v>
      </c>
      <c r="I1250">
        <f>MONTH(Table1[[#This Row],[Date]])</f>
        <v>12</v>
      </c>
      <c r="J1250" t="str">
        <f t="shared" si="77"/>
        <v>Q4</v>
      </c>
      <c r="K1250" t="str">
        <f t="shared" si="78"/>
        <v>Dec-2023</v>
      </c>
      <c r="L1250" t="str">
        <f t="shared" si="79"/>
        <v>Medium</v>
      </c>
    </row>
    <row r="1251" spans="1:12" x14ac:dyDescent="0.3">
      <c r="A1251">
        <v>2023</v>
      </c>
      <c r="B1251" s="2" t="s">
        <v>28</v>
      </c>
      <c r="C1251" t="s">
        <v>16</v>
      </c>
      <c r="D1251" t="s">
        <v>12</v>
      </c>
      <c r="E1251">
        <v>6.53</v>
      </c>
      <c r="F1251">
        <v>166.4</v>
      </c>
      <c r="G1251">
        <v>3.64</v>
      </c>
      <c r="H1251" s="3">
        <f t="shared" si="76"/>
        <v>45261</v>
      </c>
      <c r="I1251">
        <f>MONTH(Table1[[#This Row],[Date]])</f>
        <v>12</v>
      </c>
      <c r="J1251" t="str">
        <f t="shared" si="77"/>
        <v>Q4</v>
      </c>
      <c r="K1251" t="str">
        <f t="shared" si="78"/>
        <v>Dec-2023</v>
      </c>
      <c r="L1251" t="str">
        <f t="shared" si="79"/>
        <v>Medium</v>
      </c>
    </row>
    <row r="1252" spans="1:12" x14ac:dyDescent="0.3">
      <c r="A1252">
        <v>2023</v>
      </c>
      <c r="B1252" s="2" t="s">
        <v>28</v>
      </c>
      <c r="C1252" t="s">
        <v>16</v>
      </c>
      <c r="D1252" t="s">
        <v>13</v>
      </c>
      <c r="E1252">
        <v>10.07</v>
      </c>
      <c r="F1252">
        <v>168.4</v>
      </c>
      <c r="G1252">
        <v>3.72</v>
      </c>
      <c r="H1252" s="3">
        <f t="shared" si="76"/>
        <v>45261</v>
      </c>
      <c r="I1252">
        <f>MONTH(Table1[[#This Row],[Date]])</f>
        <v>12</v>
      </c>
      <c r="J1252" t="str">
        <f t="shared" si="77"/>
        <v>Q4</v>
      </c>
      <c r="K1252" t="str">
        <f t="shared" si="78"/>
        <v>Dec-2023</v>
      </c>
      <c r="L1252" t="str">
        <f t="shared" si="79"/>
        <v>Medium</v>
      </c>
    </row>
    <row r="1253" spans="1:12" x14ac:dyDescent="0.3">
      <c r="A1253">
        <v>2023</v>
      </c>
      <c r="B1253" s="2" t="s">
        <v>28</v>
      </c>
      <c r="C1253" t="s">
        <v>16</v>
      </c>
      <c r="D1253" t="s">
        <v>14</v>
      </c>
      <c r="E1253">
        <v>6.84</v>
      </c>
      <c r="F1253">
        <v>170.4</v>
      </c>
      <c r="G1253">
        <v>3.8</v>
      </c>
      <c r="H1253" s="3">
        <f t="shared" si="76"/>
        <v>45261</v>
      </c>
      <c r="I1253">
        <f>MONTH(Table1[[#This Row],[Date]])</f>
        <v>12</v>
      </c>
      <c r="J1253" t="str">
        <f t="shared" si="77"/>
        <v>Q4</v>
      </c>
      <c r="K1253" t="str">
        <f t="shared" si="78"/>
        <v>Dec-2023</v>
      </c>
      <c r="L1253" t="str">
        <f t="shared" si="79"/>
        <v>Medium</v>
      </c>
    </row>
    <row r="1254" spans="1:12" x14ac:dyDescent="0.3">
      <c r="A1254">
        <v>2023</v>
      </c>
      <c r="B1254" s="2" t="s">
        <v>28</v>
      </c>
      <c r="C1254" t="s">
        <v>16</v>
      </c>
      <c r="D1254" t="s">
        <v>15</v>
      </c>
      <c r="E1254">
        <v>28.32</v>
      </c>
      <c r="F1254">
        <v>172.4</v>
      </c>
      <c r="G1254">
        <v>3.88</v>
      </c>
      <c r="H1254" s="3">
        <f t="shared" si="76"/>
        <v>45261</v>
      </c>
      <c r="I1254">
        <f>MONTH(Table1[[#This Row],[Date]])</f>
        <v>12</v>
      </c>
      <c r="J1254" t="str">
        <f t="shared" si="77"/>
        <v>Q4</v>
      </c>
      <c r="K1254" t="str">
        <f t="shared" si="78"/>
        <v>Dec-2023</v>
      </c>
      <c r="L1254" t="str">
        <f t="shared" si="79"/>
        <v>Medium</v>
      </c>
    </row>
    <row r="1255" spans="1:12" x14ac:dyDescent="0.3">
      <c r="A1255">
        <v>2023</v>
      </c>
      <c r="B1255" s="2" t="s">
        <v>28</v>
      </c>
      <c r="C1255" t="s">
        <v>17</v>
      </c>
      <c r="D1255" t="s">
        <v>9</v>
      </c>
      <c r="E1255">
        <v>100</v>
      </c>
      <c r="F1255">
        <v>161</v>
      </c>
      <c r="G1255">
        <v>3.4</v>
      </c>
      <c r="H1255" s="3">
        <f t="shared" si="76"/>
        <v>45261</v>
      </c>
      <c r="I1255">
        <f>MONTH(Table1[[#This Row],[Date]])</f>
        <v>12</v>
      </c>
      <c r="J1255" t="str">
        <f t="shared" si="77"/>
        <v>Q4</v>
      </c>
      <c r="K1255" t="str">
        <f t="shared" si="78"/>
        <v>Dec-2023</v>
      </c>
      <c r="L1255" t="str">
        <f t="shared" si="79"/>
        <v>Medium</v>
      </c>
    </row>
    <row r="1256" spans="1:12" x14ac:dyDescent="0.3">
      <c r="A1256">
        <v>2023</v>
      </c>
      <c r="B1256" s="2" t="s">
        <v>28</v>
      </c>
      <c r="C1256" t="s">
        <v>17</v>
      </c>
      <c r="D1256" t="s">
        <v>10</v>
      </c>
      <c r="E1256">
        <v>45.86</v>
      </c>
      <c r="F1256">
        <v>163</v>
      </c>
      <c r="G1256">
        <v>3.48</v>
      </c>
      <c r="H1256" s="3">
        <f t="shared" si="76"/>
        <v>45261</v>
      </c>
      <c r="I1256">
        <f>MONTH(Table1[[#This Row],[Date]])</f>
        <v>12</v>
      </c>
      <c r="J1256" t="str">
        <f t="shared" si="77"/>
        <v>Q4</v>
      </c>
      <c r="K1256" t="str">
        <f t="shared" si="78"/>
        <v>Dec-2023</v>
      </c>
      <c r="L1256" t="str">
        <f t="shared" si="79"/>
        <v>Medium</v>
      </c>
    </row>
    <row r="1257" spans="1:12" x14ac:dyDescent="0.3">
      <c r="A1257">
        <v>2023</v>
      </c>
      <c r="B1257" s="2" t="s">
        <v>28</v>
      </c>
      <c r="C1257" t="s">
        <v>17</v>
      </c>
      <c r="D1257" t="s">
        <v>11</v>
      </c>
      <c r="E1257">
        <v>2.38</v>
      </c>
      <c r="F1257">
        <v>165</v>
      </c>
      <c r="G1257">
        <v>3.56</v>
      </c>
      <c r="H1257" s="3">
        <f t="shared" si="76"/>
        <v>45261</v>
      </c>
      <c r="I1257">
        <f>MONTH(Table1[[#This Row],[Date]])</f>
        <v>12</v>
      </c>
      <c r="J1257" t="str">
        <f t="shared" si="77"/>
        <v>Q4</v>
      </c>
      <c r="K1257" t="str">
        <f t="shared" si="78"/>
        <v>Dec-2023</v>
      </c>
      <c r="L1257" t="str">
        <f t="shared" si="79"/>
        <v>Medium</v>
      </c>
    </row>
    <row r="1258" spans="1:12" x14ac:dyDescent="0.3">
      <c r="A1258">
        <v>2023</v>
      </c>
      <c r="B1258" s="2" t="s">
        <v>28</v>
      </c>
      <c r="C1258" t="s">
        <v>17</v>
      </c>
      <c r="D1258" t="s">
        <v>12</v>
      </c>
      <c r="E1258">
        <v>6.53</v>
      </c>
      <c r="F1258">
        <v>167</v>
      </c>
      <c r="G1258">
        <v>3.64</v>
      </c>
      <c r="H1258" s="3">
        <f t="shared" si="76"/>
        <v>45261</v>
      </c>
      <c r="I1258">
        <f>MONTH(Table1[[#This Row],[Date]])</f>
        <v>12</v>
      </c>
      <c r="J1258" t="str">
        <f t="shared" si="77"/>
        <v>Q4</v>
      </c>
      <c r="K1258" t="str">
        <f t="shared" si="78"/>
        <v>Dec-2023</v>
      </c>
      <c r="L1258" t="str">
        <f t="shared" si="79"/>
        <v>Medium</v>
      </c>
    </row>
    <row r="1259" spans="1:12" x14ac:dyDescent="0.3">
      <c r="A1259">
        <v>2023</v>
      </c>
      <c r="B1259" s="2" t="s">
        <v>28</v>
      </c>
      <c r="C1259" t="s">
        <v>17</v>
      </c>
      <c r="D1259" t="s">
        <v>13</v>
      </c>
      <c r="E1259">
        <v>10.07</v>
      </c>
      <c r="F1259">
        <v>169</v>
      </c>
      <c r="G1259">
        <v>3.72</v>
      </c>
      <c r="H1259" s="3">
        <f t="shared" si="76"/>
        <v>45261</v>
      </c>
      <c r="I1259">
        <f>MONTH(Table1[[#This Row],[Date]])</f>
        <v>12</v>
      </c>
      <c r="J1259" t="str">
        <f t="shared" si="77"/>
        <v>Q4</v>
      </c>
      <c r="K1259" t="str">
        <f t="shared" si="78"/>
        <v>Dec-2023</v>
      </c>
      <c r="L1259" t="str">
        <f t="shared" si="79"/>
        <v>Medium</v>
      </c>
    </row>
    <row r="1260" spans="1:12" x14ac:dyDescent="0.3">
      <c r="A1260">
        <v>2023</v>
      </c>
      <c r="B1260" s="2" t="s">
        <v>28</v>
      </c>
      <c r="C1260" t="s">
        <v>17</v>
      </c>
      <c r="D1260" t="s">
        <v>14</v>
      </c>
      <c r="E1260">
        <v>6.84</v>
      </c>
      <c r="F1260">
        <v>171</v>
      </c>
      <c r="G1260">
        <v>3.8</v>
      </c>
      <c r="H1260" s="3">
        <f t="shared" si="76"/>
        <v>45261</v>
      </c>
      <c r="I1260">
        <f>MONTH(Table1[[#This Row],[Date]])</f>
        <v>12</v>
      </c>
      <c r="J1260" t="str">
        <f t="shared" si="77"/>
        <v>Q4</v>
      </c>
      <c r="K1260" t="str">
        <f t="shared" si="78"/>
        <v>Dec-2023</v>
      </c>
      <c r="L1260" t="str">
        <f t="shared" si="79"/>
        <v>Medium</v>
      </c>
    </row>
    <row r="1261" spans="1:12" x14ac:dyDescent="0.3">
      <c r="A1261">
        <v>2023</v>
      </c>
      <c r="B1261" s="2" t="s">
        <v>28</v>
      </c>
      <c r="C1261" t="s">
        <v>17</v>
      </c>
      <c r="D1261" t="s">
        <v>15</v>
      </c>
      <c r="E1261">
        <v>28.32</v>
      </c>
      <c r="F1261">
        <v>173</v>
      </c>
      <c r="G1261">
        <v>3.88</v>
      </c>
      <c r="H1261" s="3">
        <f t="shared" si="76"/>
        <v>45261</v>
      </c>
      <c r="I1261">
        <f>MONTH(Table1[[#This Row],[Date]])</f>
        <v>12</v>
      </c>
      <c r="J1261" t="str">
        <f t="shared" si="77"/>
        <v>Q4</v>
      </c>
      <c r="K1261" t="str">
        <f t="shared" si="78"/>
        <v>Dec-2023</v>
      </c>
      <c r="L1261" t="str">
        <f t="shared" si="79"/>
        <v>Medium</v>
      </c>
    </row>
    <row r="1262" spans="1:12" x14ac:dyDescent="0.3">
      <c r="A1262">
        <v>2024</v>
      </c>
      <c r="B1262" s="2" t="s">
        <v>7</v>
      </c>
      <c r="C1262" t="s">
        <v>8</v>
      </c>
      <c r="D1262" t="s">
        <v>9</v>
      </c>
      <c r="E1262">
        <v>100</v>
      </c>
      <c r="F1262">
        <v>160.4</v>
      </c>
      <c r="G1262">
        <v>3.9</v>
      </c>
      <c r="H1262" s="3">
        <f t="shared" si="76"/>
        <v>45292</v>
      </c>
      <c r="I1262">
        <f>MONTH(Table1[[#This Row],[Date]])</f>
        <v>1</v>
      </c>
      <c r="J1262" t="str">
        <f t="shared" si="77"/>
        <v>Q1</v>
      </c>
      <c r="K1262" t="str">
        <f t="shared" si="78"/>
        <v>Jan-2024</v>
      </c>
      <c r="L1262" t="str">
        <f t="shared" si="79"/>
        <v>Medium</v>
      </c>
    </row>
    <row r="1263" spans="1:12" x14ac:dyDescent="0.3">
      <c r="A1263">
        <v>2024</v>
      </c>
      <c r="B1263" s="2" t="s">
        <v>7</v>
      </c>
      <c r="C1263" t="s">
        <v>8</v>
      </c>
      <c r="D1263" t="s">
        <v>10</v>
      </c>
      <c r="E1263">
        <v>45.86</v>
      </c>
      <c r="F1263">
        <v>162.4</v>
      </c>
      <c r="G1263">
        <v>3.98</v>
      </c>
      <c r="H1263" s="3">
        <f t="shared" si="76"/>
        <v>45292</v>
      </c>
      <c r="I1263">
        <f>MONTH(Table1[[#This Row],[Date]])</f>
        <v>1</v>
      </c>
      <c r="J1263" t="str">
        <f t="shared" si="77"/>
        <v>Q1</v>
      </c>
      <c r="K1263" t="str">
        <f t="shared" si="78"/>
        <v>Jan-2024</v>
      </c>
      <c r="L1263" t="str">
        <f t="shared" si="79"/>
        <v>Medium</v>
      </c>
    </row>
    <row r="1264" spans="1:12" x14ac:dyDescent="0.3">
      <c r="A1264">
        <v>2024</v>
      </c>
      <c r="B1264" s="2" t="s">
        <v>7</v>
      </c>
      <c r="C1264" t="s">
        <v>8</v>
      </c>
      <c r="D1264" t="s">
        <v>11</v>
      </c>
      <c r="E1264">
        <v>2.38</v>
      </c>
      <c r="F1264">
        <v>164.4</v>
      </c>
      <c r="G1264">
        <v>4.0599999999999996</v>
      </c>
      <c r="H1264" s="3">
        <f t="shared" si="76"/>
        <v>45292</v>
      </c>
      <c r="I1264">
        <f>MONTH(Table1[[#This Row],[Date]])</f>
        <v>1</v>
      </c>
      <c r="J1264" t="str">
        <f t="shared" si="77"/>
        <v>Q1</v>
      </c>
      <c r="K1264" t="str">
        <f t="shared" si="78"/>
        <v>Jan-2024</v>
      </c>
      <c r="L1264" t="str">
        <f t="shared" si="79"/>
        <v>High</v>
      </c>
    </row>
    <row r="1265" spans="1:12" x14ac:dyDescent="0.3">
      <c r="A1265">
        <v>2024</v>
      </c>
      <c r="B1265" s="2" t="s">
        <v>7</v>
      </c>
      <c r="C1265" t="s">
        <v>8</v>
      </c>
      <c r="D1265" t="s">
        <v>12</v>
      </c>
      <c r="E1265">
        <v>6.53</v>
      </c>
      <c r="F1265">
        <v>166.4</v>
      </c>
      <c r="G1265">
        <v>4.1399999999999997</v>
      </c>
      <c r="H1265" s="3">
        <f t="shared" si="76"/>
        <v>45292</v>
      </c>
      <c r="I1265">
        <f>MONTH(Table1[[#This Row],[Date]])</f>
        <v>1</v>
      </c>
      <c r="J1265" t="str">
        <f t="shared" si="77"/>
        <v>Q1</v>
      </c>
      <c r="K1265" t="str">
        <f t="shared" si="78"/>
        <v>Jan-2024</v>
      </c>
      <c r="L1265" t="str">
        <f t="shared" si="79"/>
        <v>High</v>
      </c>
    </row>
    <row r="1266" spans="1:12" x14ac:dyDescent="0.3">
      <c r="A1266">
        <v>2024</v>
      </c>
      <c r="B1266" s="2" t="s">
        <v>7</v>
      </c>
      <c r="C1266" t="s">
        <v>8</v>
      </c>
      <c r="D1266" t="s">
        <v>13</v>
      </c>
      <c r="E1266">
        <v>10.07</v>
      </c>
      <c r="F1266">
        <v>168.4</v>
      </c>
      <c r="G1266">
        <v>4.22</v>
      </c>
      <c r="H1266" s="3">
        <f t="shared" si="76"/>
        <v>45292</v>
      </c>
      <c r="I1266">
        <f>MONTH(Table1[[#This Row],[Date]])</f>
        <v>1</v>
      </c>
      <c r="J1266" t="str">
        <f t="shared" si="77"/>
        <v>Q1</v>
      </c>
      <c r="K1266" t="str">
        <f t="shared" si="78"/>
        <v>Jan-2024</v>
      </c>
      <c r="L1266" t="str">
        <f t="shared" si="79"/>
        <v>High</v>
      </c>
    </row>
    <row r="1267" spans="1:12" x14ac:dyDescent="0.3">
      <c r="A1267">
        <v>2024</v>
      </c>
      <c r="B1267" s="2" t="s">
        <v>7</v>
      </c>
      <c r="C1267" t="s">
        <v>8</v>
      </c>
      <c r="D1267" t="s">
        <v>14</v>
      </c>
      <c r="E1267">
        <v>6.84</v>
      </c>
      <c r="F1267">
        <v>170.4</v>
      </c>
      <c r="G1267">
        <v>4.3</v>
      </c>
      <c r="H1267" s="3">
        <f t="shared" si="76"/>
        <v>45292</v>
      </c>
      <c r="I1267">
        <f>MONTH(Table1[[#This Row],[Date]])</f>
        <v>1</v>
      </c>
      <c r="J1267" t="str">
        <f t="shared" si="77"/>
        <v>Q1</v>
      </c>
      <c r="K1267" t="str">
        <f t="shared" si="78"/>
        <v>Jan-2024</v>
      </c>
      <c r="L1267" t="str">
        <f t="shared" si="79"/>
        <v>High</v>
      </c>
    </row>
    <row r="1268" spans="1:12" x14ac:dyDescent="0.3">
      <c r="A1268">
        <v>2024</v>
      </c>
      <c r="B1268" s="2" t="s">
        <v>7</v>
      </c>
      <c r="C1268" t="s">
        <v>8</v>
      </c>
      <c r="D1268" t="s">
        <v>15</v>
      </c>
      <c r="E1268">
        <v>28.32</v>
      </c>
      <c r="F1268">
        <v>172.4</v>
      </c>
      <c r="G1268">
        <v>4.38</v>
      </c>
      <c r="H1268" s="3">
        <f t="shared" si="76"/>
        <v>45292</v>
      </c>
      <c r="I1268">
        <f>MONTH(Table1[[#This Row],[Date]])</f>
        <v>1</v>
      </c>
      <c r="J1268" t="str">
        <f t="shared" si="77"/>
        <v>Q1</v>
      </c>
      <c r="K1268" t="str">
        <f t="shared" si="78"/>
        <v>Jan-2024</v>
      </c>
      <c r="L1268" t="str">
        <f t="shared" si="79"/>
        <v>High</v>
      </c>
    </row>
    <row r="1269" spans="1:12" x14ac:dyDescent="0.3">
      <c r="A1269">
        <v>2024</v>
      </c>
      <c r="B1269" s="2" t="s">
        <v>7</v>
      </c>
      <c r="C1269" t="s">
        <v>16</v>
      </c>
      <c r="D1269" t="s">
        <v>9</v>
      </c>
      <c r="E1269">
        <v>100</v>
      </c>
      <c r="F1269">
        <v>161</v>
      </c>
      <c r="G1269">
        <v>3.9</v>
      </c>
      <c r="H1269" s="3">
        <f t="shared" si="76"/>
        <v>45292</v>
      </c>
      <c r="I1269">
        <f>MONTH(Table1[[#This Row],[Date]])</f>
        <v>1</v>
      </c>
      <c r="J1269" t="str">
        <f t="shared" si="77"/>
        <v>Q1</v>
      </c>
      <c r="K1269" t="str">
        <f t="shared" si="78"/>
        <v>Jan-2024</v>
      </c>
      <c r="L1269" t="str">
        <f t="shared" si="79"/>
        <v>Medium</v>
      </c>
    </row>
    <row r="1270" spans="1:12" x14ac:dyDescent="0.3">
      <c r="A1270">
        <v>2024</v>
      </c>
      <c r="B1270" s="2" t="s">
        <v>7</v>
      </c>
      <c r="C1270" t="s">
        <v>16</v>
      </c>
      <c r="D1270" t="s">
        <v>10</v>
      </c>
      <c r="E1270">
        <v>45.86</v>
      </c>
      <c r="F1270">
        <v>163</v>
      </c>
      <c r="G1270">
        <v>3.98</v>
      </c>
      <c r="H1270" s="3">
        <f t="shared" si="76"/>
        <v>45292</v>
      </c>
      <c r="I1270">
        <f>MONTH(Table1[[#This Row],[Date]])</f>
        <v>1</v>
      </c>
      <c r="J1270" t="str">
        <f t="shared" si="77"/>
        <v>Q1</v>
      </c>
      <c r="K1270" t="str">
        <f t="shared" si="78"/>
        <v>Jan-2024</v>
      </c>
      <c r="L1270" t="str">
        <f t="shared" si="79"/>
        <v>Medium</v>
      </c>
    </row>
    <row r="1271" spans="1:12" x14ac:dyDescent="0.3">
      <c r="A1271">
        <v>2024</v>
      </c>
      <c r="B1271" s="2" t="s">
        <v>7</v>
      </c>
      <c r="C1271" t="s">
        <v>16</v>
      </c>
      <c r="D1271" t="s">
        <v>11</v>
      </c>
      <c r="E1271">
        <v>2.38</v>
      </c>
      <c r="F1271">
        <v>165</v>
      </c>
      <c r="G1271">
        <v>4.0599999999999996</v>
      </c>
      <c r="H1271" s="3">
        <f t="shared" si="76"/>
        <v>45292</v>
      </c>
      <c r="I1271">
        <f>MONTH(Table1[[#This Row],[Date]])</f>
        <v>1</v>
      </c>
      <c r="J1271" t="str">
        <f t="shared" si="77"/>
        <v>Q1</v>
      </c>
      <c r="K1271" t="str">
        <f t="shared" si="78"/>
        <v>Jan-2024</v>
      </c>
      <c r="L1271" t="str">
        <f t="shared" si="79"/>
        <v>High</v>
      </c>
    </row>
    <row r="1272" spans="1:12" x14ac:dyDescent="0.3">
      <c r="A1272">
        <v>2024</v>
      </c>
      <c r="B1272" s="2" t="s">
        <v>7</v>
      </c>
      <c r="C1272" t="s">
        <v>16</v>
      </c>
      <c r="D1272" t="s">
        <v>12</v>
      </c>
      <c r="E1272">
        <v>6.53</v>
      </c>
      <c r="F1272">
        <v>167</v>
      </c>
      <c r="G1272">
        <v>4.1399999999999997</v>
      </c>
      <c r="H1272" s="3">
        <f t="shared" si="76"/>
        <v>45292</v>
      </c>
      <c r="I1272">
        <f>MONTH(Table1[[#This Row],[Date]])</f>
        <v>1</v>
      </c>
      <c r="J1272" t="str">
        <f t="shared" si="77"/>
        <v>Q1</v>
      </c>
      <c r="K1272" t="str">
        <f t="shared" si="78"/>
        <v>Jan-2024</v>
      </c>
      <c r="L1272" t="str">
        <f t="shared" si="79"/>
        <v>High</v>
      </c>
    </row>
    <row r="1273" spans="1:12" x14ac:dyDescent="0.3">
      <c r="A1273">
        <v>2024</v>
      </c>
      <c r="B1273" s="2" t="s">
        <v>7</v>
      </c>
      <c r="C1273" t="s">
        <v>16</v>
      </c>
      <c r="D1273" t="s">
        <v>13</v>
      </c>
      <c r="E1273">
        <v>10.07</v>
      </c>
      <c r="F1273">
        <v>169</v>
      </c>
      <c r="G1273">
        <v>4.22</v>
      </c>
      <c r="H1273" s="3">
        <f t="shared" si="76"/>
        <v>45292</v>
      </c>
      <c r="I1273">
        <f>MONTH(Table1[[#This Row],[Date]])</f>
        <v>1</v>
      </c>
      <c r="J1273" t="str">
        <f t="shared" si="77"/>
        <v>Q1</v>
      </c>
      <c r="K1273" t="str">
        <f t="shared" si="78"/>
        <v>Jan-2024</v>
      </c>
      <c r="L1273" t="str">
        <f t="shared" si="79"/>
        <v>High</v>
      </c>
    </row>
    <row r="1274" spans="1:12" x14ac:dyDescent="0.3">
      <c r="A1274">
        <v>2024</v>
      </c>
      <c r="B1274" s="2" t="s">
        <v>7</v>
      </c>
      <c r="C1274" t="s">
        <v>16</v>
      </c>
      <c r="D1274" t="s">
        <v>14</v>
      </c>
      <c r="E1274">
        <v>6.84</v>
      </c>
      <c r="F1274">
        <v>171</v>
      </c>
      <c r="G1274">
        <v>4.3</v>
      </c>
      <c r="H1274" s="3">
        <f t="shared" si="76"/>
        <v>45292</v>
      </c>
      <c r="I1274">
        <f>MONTH(Table1[[#This Row],[Date]])</f>
        <v>1</v>
      </c>
      <c r="J1274" t="str">
        <f t="shared" si="77"/>
        <v>Q1</v>
      </c>
      <c r="K1274" t="str">
        <f t="shared" si="78"/>
        <v>Jan-2024</v>
      </c>
      <c r="L1274" t="str">
        <f t="shared" si="79"/>
        <v>High</v>
      </c>
    </row>
    <row r="1275" spans="1:12" x14ac:dyDescent="0.3">
      <c r="A1275">
        <v>2024</v>
      </c>
      <c r="B1275" s="2" t="s">
        <v>7</v>
      </c>
      <c r="C1275" t="s">
        <v>16</v>
      </c>
      <c r="D1275" t="s">
        <v>15</v>
      </c>
      <c r="E1275">
        <v>28.32</v>
      </c>
      <c r="F1275">
        <v>173</v>
      </c>
      <c r="G1275">
        <v>4.38</v>
      </c>
      <c r="H1275" s="3">
        <f t="shared" si="76"/>
        <v>45292</v>
      </c>
      <c r="I1275">
        <f>MONTH(Table1[[#This Row],[Date]])</f>
        <v>1</v>
      </c>
      <c r="J1275" t="str">
        <f t="shared" si="77"/>
        <v>Q1</v>
      </c>
      <c r="K1275" t="str">
        <f t="shared" si="78"/>
        <v>Jan-2024</v>
      </c>
      <c r="L1275" t="str">
        <f t="shared" si="79"/>
        <v>High</v>
      </c>
    </row>
    <row r="1276" spans="1:12" x14ac:dyDescent="0.3">
      <c r="A1276">
        <v>2024</v>
      </c>
      <c r="B1276" s="2" t="s">
        <v>7</v>
      </c>
      <c r="C1276" t="s">
        <v>17</v>
      </c>
      <c r="D1276" t="s">
        <v>9</v>
      </c>
      <c r="E1276">
        <v>100</v>
      </c>
      <c r="F1276">
        <v>161.6</v>
      </c>
      <c r="G1276">
        <v>3.9</v>
      </c>
      <c r="H1276" s="3">
        <f t="shared" si="76"/>
        <v>45292</v>
      </c>
      <c r="I1276">
        <f>MONTH(Table1[[#This Row],[Date]])</f>
        <v>1</v>
      </c>
      <c r="J1276" t="str">
        <f t="shared" si="77"/>
        <v>Q1</v>
      </c>
      <c r="K1276" t="str">
        <f t="shared" si="78"/>
        <v>Jan-2024</v>
      </c>
      <c r="L1276" t="str">
        <f t="shared" si="79"/>
        <v>Medium</v>
      </c>
    </row>
    <row r="1277" spans="1:12" x14ac:dyDescent="0.3">
      <c r="A1277">
        <v>2024</v>
      </c>
      <c r="B1277" s="2" t="s">
        <v>7</v>
      </c>
      <c r="C1277" t="s">
        <v>17</v>
      </c>
      <c r="D1277" t="s">
        <v>10</v>
      </c>
      <c r="E1277">
        <v>45.86</v>
      </c>
      <c r="F1277">
        <v>163.6</v>
      </c>
      <c r="G1277">
        <v>3.98</v>
      </c>
      <c r="H1277" s="3">
        <f t="shared" si="76"/>
        <v>45292</v>
      </c>
      <c r="I1277">
        <f>MONTH(Table1[[#This Row],[Date]])</f>
        <v>1</v>
      </c>
      <c r="J1277" t="str">
        <f t="shared" si="77"/>
        <v>Q1</v>
      </c>
      <c r="K1277" t="str">
        <f t="shared" si="78"/>
        <v>Jan-2024</v>
      </c>
      <c r="L1277" t="str">
        <f t="shared" si="79"/>
        <v>Medium</v>
      </c>
    </row>
    <row r="1278" spans="1:12" x14ac:dyDescent="0.3">
      <c r="A1278">
        <v>2024</v>
      </c>
      <c r="B1278" s="2" t="s">
        <v>7</v>
      </c>
      <c r="C1278" t="s">
        <v>17</v>
      </c>
      <c r="D1278" t="s">
        <v>11</v>
      </c>
      <c r="E1278">
        <v>2.38</v>
      </c>
      <c r="F1278">
        <v>165.6</v>
      </c>
      <c r="G1278">
        <v>4.0599999999999996</v>
      </c>
      <c r="H1278" s="3">
        <f t="shared" si="76"/>
        <v>45292</v>
      </c>
      <c r="I1278">
        <f>MONTH(Table1[[#This Row],[Date]])</f>
        <v>1</v>
      </c>
      <c r="J1278" t="str">
        <f t="shared" si="77"/>
        <v>Q1</v>
      </c>
      <c r="K1278" t="str">
        <f t="shared" si="78"/>
        <v>Jan-2024</v>
      </c>
      <c r="L1278" t="str">
        <f t="shared" si="79"/>
        <v>High</v>
      </c>
    </row>
    <row r="1279" spans="1:12" x14ac:dyDescent="0.3">
      <c r="A1279">
        <v>2024</v>
      </c>
      <c r="B1279" s="2" t="s">
        <v>7</v>
      </c>
      <c r="C1279" t="s">
        <v>17</v>
      </c>
      <c r="D1279" t="s">
        <v>12</v>
      </c>
      <c r="E1279">
        <v>6.53</v>
      </c>
      <c r="F1279">
        <v>167.6</v>
      </c>
      <c r="G1279">
        <v>4.1399999999999997</v>
      </c>
      <c r="H1279" s="3">
        <f t="shared" si="76"/>
        <v>45292</v>
      </c>
      <c r="I1279">
        <f>MONTH(Table1[[#This Row],[Date]])</f>
        <v>1</v>
      </c>
      <c r="J1279" t="str">
        <f t="shared" si="77"/>
        <v>Q1</v>
      </c>
      <c r="K1279" t="str">
        <f t="shared" si="78"/>
        <v>Jan-2024</v>
      </c>
      <c r="L1279" t="str">
        <f t="shared" si="79"/>
        <v>High</v>
      </c>
    </row>
    <row r="1280" spans="1:12" x14ac:dyDescent="0.3">
      <c r="A1280">
        <v>2024</v>
      </c>
      <c r="B1280" s="2" t="s">
        <v>7</v>
      </c>
      <c r="C1280" t="s">
        <v>17</v>
      </c>
      <c r="D1280" t="s">
        <v>13</v>
      </c>
      <c r="E1280">
        <v>10.07</v>
      </c>
      <c r="F1280">
        <v>169.6</v>
      </c>
      <c r="G1280">
        <v>4.22</v>
      </c>
      <c r="H1280" s="3">
        <f t="shared" si="76"/>
        <v>45292</v>
      </c>
      <c r="I1280">
        <f>MONTH(Table1[[#This Row],[Date]])</f>
        <v>1</v>
      </c>
      <c r="J1280" t="str">
        <f t="shared" si="77"/>
        <v>Q1</v>
      </c>
      <c r="K1280" t="str">
        <f t="shared" si="78"/>
        <v>Jan-2024</v>
      </c>
      <c r="L1280" t="str">
        <f t="shared" si="79"/>
        <v>High</v>
      </c>
    </row>
    <row r="1281" spans="1:12" x14ac:dyDescent="0.3">
      <c r="A1281">
        <v>2024</v>
      </c>
      <c r="B1281" s="2" t="s">
        <v>7</v>
      </c>
      <c r="C1281" t="s">
        <v>17</v>
      </c>
      <c r="D1281" t="s">
        <v>14</v>
      </c>
      <c r="E1281">
        <v>6.84</v>
      </c>
      <c r="F1281">
        <v>171.6</v>
      </c>
      <c r="G1281">
        <v>4.3</v>
      </c>
      <c r="H1281" s="3">
        <f t="shared" si="76"/>
        <v>45292</v>
      </c>
      <c r="I1281">
        <f>MONTH(Table1[[#This Row],[Date]])</f>
        <v>1</v>
      </c>
      <c r="J1281" t="str">
        <f t="shared" si="77"/>
        <v>Q1</v>
      </c>
      <c r="K1281" t="str">
        <f t="shared" si="78"/>
        <v>Jan-2024</v>
      </c>
      <c r="L1281" t="str">
        <f t="shared" si="79"/>
        <v>High</v>
      </c>
    </row>
    <row r="1282" spans="1:12" x14ac:dyDescent="0.3">
      <c r="A1282">
        <v>2024</v>
      </c>
      <c r="B1282" s="2" t="s">
        <v>7</v>
      </c>
      <c r="C1282" t="s">
        <v>17</v>
      </c>
      <c r="D1282" t="s">
        <v>15</v>
      </c>
      <c r="E1282">
        <v>28.32</v>
      </c>
      <c r="F1282">
        <v>173.6</v>
      </c>
      <c r="G1282">
        <v>4.38</v>
      </c>
      <c r="H1282" s="3">
        <f t="shared" ref="H1282:H1345" si="80">DATE(A1282,MONTH(DATEVALUE(B1282&amp;" 1")),1)</f>
        <v>45292</v>
      </c>
      <c r="I1282">
        <f>MONTH(Table1[[#This Row],[Date]])</f>
        <v>1</v>
      </c>
      <c r="J1282" t="str">
        <f t="shared" ref="J1282:J1345" si="81">"Q"&amp;ROUNDUP(MONTH(H1282)/3,0)</f>
        <v>Q1</v>
      </c>
      <c r="K1282" t="str">
        <f t="shared" ref="K1282:K1345" si="82">TEXT(H1282,"mmm-yyyy")</f>
        <v>Jan-2024</v>
      </c>
      <c r="L1282" t="str">
        <f t="shared" ref="L1282:L1345" si="83">IF(G1282&lt;3,"Low",IF(G1282&lt;4,"Medium","High"))</f>
        <v>High</v>
      </c>
    </row>
    <row r="1283" spans="1:12" x14ac:dyDescent="0.3">
      <c r="A1283">
        <v>2024</v>
      </c>
      <c r="B1283" s="2" t="s">
        <v>18</v>
      </c>
      <c r="C1283" t="s">
        <v>8</v>
      </c>
      <c r="D1283" t="s">
        <v>9</v>
      </c>
      <c r="E1283">
        <v>100</v>
      </c>
      <c r="F1283">
        <v>160.80000000000001</v>
      </c>
      <c r="G1283">
        <v>4.05</v>
      </c>
      <c r="H1283" s="3">
        <f t="shared" si="80"/>
        <v>45323</v>
      </c>
      <c r="I1283">
        <f>MONTH(Table1[[#This Row],[Date]])</f>
        <v>2</v>
      </c>
      <c r="J1283" t="str">
        <f t="shared" si="81"/>
        <v>Q1</v>
      </c>
      <c r="K1283" t="str">
        <f t="shared" si="82"/>
        <v>Feb-2024</v>
      </c>
      <c r="L1283" t="str">
        <f t="shared" si="83"/>
        <v>High</v>
      </c>
    </row>
    <row r="1284" spans="1:12" x14ac:dyDescent="0.3">
      <c r="A1284">
        <v>2024</v>
      </c>
      <c r="B1284" s="2" t="s">
        <v>18</v>
      </c>
      <c r="C1284" t="s">
        <v>8</v>
      </c>
      <c r="D1284" t="s">
        <v>10</v>
      </c>
      <c r="E1284">
        <v>45.86</v>
      </c>
      <c r="F1284">
        <v>162.80000000000001</v>
      </c>
      <c r="G1284">
        <v>4.13</v>
      </c>
      <c r="H1284" s="3">
        <f t="shared" si="80"/>
        <v>45323</v>
      </c>
      <c r="I1284">
        <f>MONTH(Table1[[#This Row],[Date]])</f>
        <v>2</v>
      </c>
      <c r="J1284" t="str">
        <f t="shared" si="81"/>
        <v>Q1</v>
      </c>
      <c r="K1284" t="str">
        <f t="shared" si="82"/>
        <v>Feb-2024</v>
      </c>
      <c r="L1284" t="str">
        <f t="shared" si="83"/>
        <v>High</v>
      </c>
    </row>
    <row r="1285" spans="1:12" x14ac:dyDescent="0.3">
      <c r="A1285">
        <v>2024</v>
      </c>
      <c r="B1285" s="2" t="s">
        <v>18</v>
      </c>
      <c r="C1285" t="s">
        <v>8</v>
      </c>
      <c r="D1285" t="s">
        <v>11</v>
      </c>
      <c r="E1285">
        <v>2.38</v>
      </c>
      <c r="F1285">
        <v>164.8</v>
      </c>
      <c r="G1285">
        <v>4.21</v>
      </c>
      <c r="H1285" s="3">
        <f t="shared" si="80"/>
        <v>45323</v>
      </c>
      <c r="I1285">
        <f>MONTH(Table1[[#This Row],[Date]])</f>
        <v>2</v>
      </c>
      <c r="J1285" t="str">
        <f t="shared" si="81"/>
        <v>Q1</v>
      </c>
      <c r="K1285" t="str">
        <f t="shared" si="82"/>
        <v>Feb-2024</v>
      </c>
      <c r="L1285" t="str">
        <f t="shared" si="83"/>
        <v>High</v>
      </c>
    </row>
    <row r="1286" spans="1:12" x14ac:dyDescent="0.3">
      <c r="A1286">
        <v>2024</v>
      </c>
      <c r="B1286" s="2" t="s">
        <v>18</v>
      </c>
      <c r="C1286" t="s">
        <v>8</v>
      </c>
      <c r="D1286" t="s">
        <v>12</v>
      </c>
      <c r="E1286">
        <v>6.53</v>
      </c>
      <c r="F1286">
        <v>166.8</v>
      </c>
      <c r="G1286">
        <v>4.29</v>
      </c>
      <c r="H1286" s="3">
        <f t="shared" si="80"/>
        <v>45323</v>
      </c>
      <c r="I1286">
        <f>MONTH(Table1[[#This Row],[Date]])</f>
        <v>2</v>
      </c>
      <c r="J1286" t="str">
        <f t="shared" si="81"/>
        <v>Q1</v>
      </c>
      <c r="K1286" t="str">
        <f t="shared" si="82"/>
        <v>Feb-2024</v>
      </c>
      <c r="L1286" t="str">
        <f t="shared" si="83"/>
        <v>High</v>
      </c>
    </row>
    <row r="1287" spans="1:12" x14ac:dyDescent="0.3">
      <c r="A1287">
        <v>2024</v>
      </c>
      <c r="B1287" s="2" t="s">
        <v>18</v>
      </c>
      <c r="C1287" t="s">
        <v>8</v>
      </c>
      <c r="D1287" t="s">
        <v>13</v>
      </c>
      <c r="E1287">
        <v>10.07</v>
      </c>
      <c r="F1287">
        <v>168.8</v>
      </c>
      <c r="G1287">
        <v>4.37</v>
      </c>
      <c r="H1287" s="3">
        <f t="shared" si="80"/>
        <v>45323</v>
      </c>
      <c r="I1287">
        <f>MONTH(Table1[[#This Row],[Date]])</f>
        <v>2</v>
      </c>
      <c r="J1287" t="str">
        <f t="shared" si="81"/>
        <v>Q1</v>
      </c>
      <c r="K1287" t="str">
        <f t="shared" si="82"/>
        <v>Feb-2024</v>
      </c>
      <c r="L1287" t="str">
        <f t="shared" si="83"/>
        <v>High</v>
      </c>
    </row>
    <row r="1288" spans="1:12" x14ac:dyDescent="0.3">
      <c r="A1288">
        <v>2024</v>
      </c>
      <c r="B1288" s="2" t="s">
        <v>18</v>
      </c>
      <c r="C1288" t="s">
        <v>8</v>
      </c>
      <c r="D1288" t="s">
        <v>14</v>
      </c>
      <c r="E1288">
        <v>6.84</v>
      </c>
      <c r="F1288">
        <v>170.8</v>
      </c>
      <c r="G1288">
        <v>4.45</v>
      </c>
      <c r="H1288" s="3">
        <f t="shared" si="80"/>
        <v>45323</v>
      </c>
      <c r="I1288">
        <f>MONTH(Table1[[#This Row],[Date]])</f>
        <v>2</v>
      </c>
      <c r="J1288" t="str">
        <f t="shared" si="81"/>
        <v>Q1</v>
      </c>
      <c r="K1288" t="str">
        <f t="shared" si="82"/>
        <v>Feb-2024</v>
      </c>
      <c r="L1288" t="str">
        <f t="shared" si="83"/>
        <v>High</v>
      </c>
    </row>
    <row r="1289" spans="1:12" x14ac:dyDescent="0.3">
      <c r="A1289">
        <v>2024</v>
      </c>
      <c r="B1289" s="2" t="s">
        <v>18</v>
      </c>
      <c r="C1289" t="s">
        <v>8</v>
      </c>
      <c r="D1289" t="s">
        <v>15</v>
      </c>
      <c r="E1289">
        <v>28.32</v>
      </c>
      <c r="F1289">
        <v>172.8</v>
      </c>
      <c r="G1289">
        <v>4.53</v>
      </c>
      <c r="H1289" s="3">
        <f t="shared" si="80"/>
        <v>45323</v>
      </c>
      <c r="I1289">
        <f>MONTH(Table1[[#This Row],[Date]])</f>
        <v>2</v>
      </c>
      <c r="J1289" t="str">
        <f t="shared" si="81"/>
        <v>Q1</v>
      </c>
      <c r="K1289" t="str">
        <f t="shared" si="82"/>
        <v>Feb-2024</v>
      </c>
      <c r="L1289" t="str">
        <f t="shared" si="83"/>
        <v>High</v>
      </c>
    </row>
    <row r="1290" spans="1:12" x14ac:dyDescent="0.3">
      <c r="A1290">
        <v>2024</v>
      </c>
      <c r="B1290" s="2" t="s">
        <v>18</v>
      </c>
      <c r="C1290" t="s">
        <v>16</v>
      </c>
      <c r="D1290" t="s">
        <v>9</v>
      </c>
      <c r="E1290">
        <v>100</v>
      </c>
      <c r="F1290">
        <v>161.4</v>
      </c>
      <c r="G1290">
        <v>4.05</v>
      </c>
      <c r="H1290" s="3">
        <f t="shared" si="80"/>
        <v>45323</v>
      </c>
      <c r="I1290">
        <f>MONTH(Table1[[#This Row],[Date]])</f>
        <v>2</v>
      </c>
      <c r="J1290" t="str">
        <f t="shared" si="81"/>
        <v>Q1</v>
      </c>
      <c r="K1290" t="str">
        <f t="shared" si="82"/>
        <v>Feb-2024</v>
      </c>
      <c r="L1290" t="str">
        <f t="shared" si="83"/>
        <v>High</v>
      </c>
    </row>
    <row r="1291" spans="1:12" x14ac:dyDescent="0.3">
      <c r="A1291">
        <v>2024</v>
      </c>
      <c r="B1291" s="2" t="s">
        <v>18</v>
      </c>
      <c r="C1291" t="s">
        <v>16</v>
      </c>
      <c r="D1291" t="s">
        <v>10</v>
      </c>
      <c r="E1291">
        <v>45.86</v>
      </c>
      <c r="F1291">
        <v>163.4</v>
      </c>
      <c r="G1291">
        <v>4.13</v>
      </c>
      <c r="H1291" s="3">
        <f t="shared" si="80"/>
        <v>45323</v>
      </c>
      <c r="I1291">
        <f>MONTH(Table1[[#This Row],[Date]])</f>
        <v>2</v>
      </c>
      <c r="J1291" t="str">
        <f t="shared" si="81"/>
        <v>Q1</v>
      </c>
      <c r="K1291" t="str">
        <f t="shared" si="82"/>
        <v>Feb-2024</v>
      </c>
      <c r="L1291" t="str">
        <f t="shared" si="83"/>
        <v>High</v>
      </c>
    </row>
    <row r="1292" spans="1:12" x14ac:dyDescent="0.3">
      <c r="A1292">
        <v>2024</v>
      </c>
      <c r="B1292" s="2" t="s">
        <v>18</v>
      </c>
      <c r="C1292" t="s">
        <v>16</v>
      </c>
      <c r="D1292" t="s">
        <v>11</v>
      </c>
      <c r="E1292">
        <v>2.38</v>
      </c>
      <c r="F1292">
        <v>165.4</v>
      </c>
      <c r="G1292">
        <v>4.21</v>
      </c>
      <c r="H1292" s="3">
        <f t="shared" si="80"/>
        <v>45323</v>
      </c>
      <c r="I1292">
        <f>MONTH(Table1[[#This Row],[Date]])</f>
        <v>2</v>
      </c>
      <c r="J1292" t="str">
        <f t="shared" si="81"/>
        <v>Q1</v>
      </c>
      <c r="K1292" t="str">
        <f t="shared" si="82"/>
        <v>Feb-2024</v>
      </c>
      <c r="L1292" t="str">
        <f t="shared" si="83"/>
        <v>High</v>
      </c>
    </row>
    <row r="1293" spans="1:12" x14ac:dyDescent="0.3">
      <c r="A1293">
        <v>2024</v>
      </c>
      <c r="B1293" s="2" t="s">
        <v>18</v>
      </c>
      <c r="C1293" t="s">
        <v>16</v>
      </c>
      <c r="D1293" t="s">
        <v>12</v>
      </c>
      <c r="E1293">
        <v>6.53</v>
      </c>
      <c r="F1293">
        <v>167.4</v>
      </c>
      <c r="G1293">
        <v>4.29</v>
      </c>
      <c r="H1293" s="3">
        <f t="shared" si="80"/>
        <v>45323</v>
      </c>
      <c r="I1293">
        <f>MONTH(Table1[[#This Row],[Date]])</f>
        <v>2</v>
      </c>
      <c r="J1293" t="str">
        <f t="shared" si="81"/>
        <v>Q1</v>
      </c>
      <c r="K1293" t="str">
        <f t="shared" si="82"/>
        <v>Feb-2024</v>
      </c>
      <c r="L1293" t="str">
        <f t="shared" si="83"/>
        <v>High</v>
      </c>
    </row>
    <row r="1294" spans="1:12" x14ac:dyDescent="0.3">
      <c r="A1294">
        <v>2024</v>
      </c>
      <c r="B1294" s="2" t="s">
        <v>18</v>
      </c>
      <c r="C1294" t="s">
        <v>16</v>
      </c>
      <c r="D1294" t="s">
        <v>13</v>
      </c>
      <c r="E1294">
        <v>10.07</v>
      </c>
      <c r="F1294">
        <v>169.4</v>
      </c>
      <c r="G1294">
        <v>4.37</v>
      </c>
      <c r="H1294" s="3">
        <f t="shared" si="80"/>
        <v>45323</v>
      </c>
      <c r="I1294">
        <f>MONTH(Table1[[#This Row],[Date]])</f>
        <v>2</v>
      </c>
      <c r="J1294" t="str">
        <f t="shared" si="81"/>
        <v>Q1</v>
      </c>
      <c r="K1294" t="str">
        <f t="shared" si="82"/>
        <v>Feb-2024</v>
      </c>
      <c r="L1294" t="str">
        <f t="shared" si="83"/>
        <v>High</v>
      </c>
    </row>
    <row r="1295" spans="1:12" x14ac:dyDescent="0.3">
      <c r="A1295">
        <v>2024</v>
      </c>
      <c r="B1295" s="2" t="s">
        <v>18</v>
      </c>
      <c r="C1295" t="s">
        <v>16</v>
      </c>
      <c r="D1295" t="s">
        <v>14</v>
      </c>
      <c r="E1295">
        <v>6.84</v>
      </c>
      <c r="F1295">
        <v>171.4</v>
      </c>
      <c r="G1295">
        <v>4.45</v>
      </c>
      <c r="H1295" s="3">
        <f t="shared" si="80"/>
        <v>45323</v>
      </c>
      <c r="I1295">
        <f>MONTH(Table1[[#This Row],[Date]])</f>
        <v>2</v>
      </c>
      <c r="J1295" t="str">
        <f t="shared" si="81"/>
        <v>Q1</v>
      </c>
      <c r="K1295" t="str">
        <f t="shared" si="82"/>
        <v>Feb-2024</v>
      </c>
      <c r="L1295" t="str">
        <f t="shared" si="83"/>
        <v>High</v>
      </c>
    </row>
    <row r="1296" spans="1:12" x14ac:dyDescent="0.3">
      <c r="A1296">
        <v>2024</v>
      </c>
      <c r="B1296" s="2" t="s">
        <v>18</v>
      </c>
      <c r="C1296" t="s">
        <v>16</v>
      </c>
      <c r="D1296" t="s">
        <v>15</v>
      </c>
      <c r="E1296">
        <v>28.32</v>
      </c>
      <c r="F1296">
        <v>173.4</v>
      </c>
      <c r="G1296">
        <v>4.53</v>
      </c>
      <c r="H1296" s="3">
        <f t="shared" si="80"/>
        <v>45323</v>
      </c>
      <c r="I1296">
        <f>MONTH(Table1[[#This Row],[Date]])</f>
        <v>2</v>
      </c>
      <c r="J1296" t="str">
        <f t="shared" si="81"/>
        <v>Q1</v>
      </c>
      <c r="K1296" t="str">
        <f t="shared" si="82"/>
        <v>Feb-2024</v>
      </c>
      <c r="L1296" t="str">
        <f t="shared" si="83"/>
        <v>High</v>
      </c>
    </row>
    <row r="1297" spans="1:12" x14ac:dyDescent="0.3">
      <c r="A1297">
        <v>2024</v>
      </c>
      <c r="B1297" s="2" t="s">
        <v>18</v>
      </c>
      <c r="C1297" t="s">
        <v>17</v>
      </c>
      <c r="D1297" t="s">
        <v>9</v>
      </c>
      <c r="E1297">
        <v>100</v>
      </c>
      <c r="F1297">
        <v>162</v>
      </c>
      <c r="G1297">
        <v>4.05</v>
      </c>
      <c r="H1297" s="3">
        <f t="shared" si="80"/>
        <v>45323</v>
      </c>
      <c r="I1297">
        <f>MONTH(Table1[[#This Row],[Date]])</f>
        <v>2</v>
      </c>
      <c r="J1297" t="str">
        <f t="shared" si="81"/>
        <v>Q1</v>
      </c>
      <c r="K1297" t="str">
        <f t="shared" si="82"/>
        <v>Feb-2024</v>
      </c>
      <c r="L1297" t="str">
        <f t="shared" si="83"/>
        <v>High</v>
      </c>
    </row>
    <row r="1298" spans="1:12" x14ac:dyDescent="0.3">
      <c r="A1298">
        <v>2024</v>
      </c>
      <c r="B1298" s="2" t="s">
        <v>18</v>
      </c>
      <c r="C1298" t="s">
        <v>17</v>
      </c>
      <c r="D1298" t="s">
        <v>10</v>
      </c>
      <c r="E1298">
        <v>45.86</v>
      </c>
      <c r="F1298">
        <v>164</v>
      </c>
      <c r="G1298">
        <v>4.13</v>
      </c>
      <c r="H1298" s="3">
        <f t="shared" si="80"/>
        <v>45323</v>
      </c>
      <c r="I1298">
        <f>MONTH(Table1[[#This Row],[Date]])</f>
        <v>2</v>
      </c>
      <c r="J1298" t="str">
        <f t="shared" si="81"/>
        <v>Q1</v>
      </c>
      <c r="K1298" t="str">
        <f t="shared" si="82"/>
        <v>Feb-2024</v>
      </c>
      <c r="L1298" t="str">
        <f t="shared" si="83"/>
        <v>High</v>
      </c>
    </row>
    <row r="1299" spans="1:12" x14ac:dyDescent="0.3">
      <c r="A1299">
        <v>2024</v>
      </c>
      <c r="B1299" s="2" t="s">
        <v>18</v>
      </c>
      <c r="C1299" t="s">
        <v>17</v>
      </c>
      <c r="D1299" t="s">
        <v>11</v>
      </c>
      <c r="E1299">
        <v>2.38</v>
      </c>
      <c r="F1299">
        <v>166</v>
      </c>
      <c r="G1299">
        <v>4.21</v>
      </c>
      <c r="H1299" s="3">
        <f t="shared" si="80"/>
        <v>45323</v>
      </c>
      <c r="I1299">
        <f>MONTH(Table1[[#This Row],[Date]])</f>
        <v>2</v>
      </c>
      <c r="J1299" t="str">
        <f t="shared" si="81"/>
        <v>Q1</v>
      </c>
      <c r="K1299" t="str">
        <f t="shared" si="82"/>
        <v>Feb-2024</v>
      </c>
      <c r="L1299" t="str">
        <f t="shared" si="83"/>
        <v>High</v>
      </c>
    </row>
    <row r="1300" spans="1:12" x14ac:dyDescent="0.3">
      <c r="A1300">
        <v>2024</v>
      </c>
      <c r="B1300" s="2" t="s">
        <v>18</v>
      </c>
      <c r="C1300" t="s">
        <v>17</v>
      </c>
      <c r="D1300" t="s">
        <v>12</v>
      </c>
      <c r="E1300">
        <v>6.53</v>
      </c>
      <c r="F1300">
        <v>168</v>
      </c>
      <c r="G1300">
        <v>4.29</v>
      </c>
      <c r="H1300" s="3">
        <f t="shared" si="80"/>
        <v>45323</v>
      </c>
      <c r="I1300">
        <f>MONTH(Table1[[#This Row],[Date]])</f>
        <v>2</v>
      </c>
      <c r="J1300" t="str">
        <f t="shared" si="81"/>
        <v>Q1</v>
      </c>
      <c r="K1300" t="str">
        <f t="shared" si="82"/>
        <v>Feb-2024</v>
      </c>
      <c r="L1300" t="str">
        <f t="shared" si="83"/>
        <v>High</v>
      </c>
    </row>
    <row r="1301" spans="1:12" x14ac:dyDescent="0.3">
      <c r="A1301">
        <v>2024</v>
      </c>
      <c r="B1301" s="2" t="s">
        <v>18</v>
      </c>
      <c r="C1301" t="s">
        <v>17</v>
      </c>
      <c r="D1301" t="s">
        <v>13</v>
      </c>
      <c r="E1301">
        <v>10.07</v>
      </c>
      <c r="F1301">
        <v>170</v>
      </c>
      <c r="G1301">
        <v>4.37</v>
      </c>
      <c r="H1301" s="3">
        <f t="shared" si="80"/>
        <v>45323</v>
      </c>
      <c r="I1301">
        <f>MONTH(Table1[[#This Row],[Date]])</f>
        <v>2</v>
      </c>
      <c r="J1301" t="str">
        <f t="shared" si="81"/>
        <v>Q1</v>
      </c>
      <c r="K1301" t="str">
        <f t="shared" si="82"/>
        <v>Feb-2024</v>
      </c>
      <c r="L1301" t="str">
        <f t="shared" si="83"/>
        <v>High</v>
      </c>
    </row>
    <row r="1302" spans="1:12" x14ac:dyDescent="0.3">
      <c r="A1302">
        <v>2024</v>
      </c>
      <c r="B1302" s="2" t="s">
        <v>18</v>
      </c>
      <c r="C1302" t="s">
        <v>17</v>
      </c>
      <c r="D1302" t="s">
        <v>14</v>
      </c>
      <c r="E1302">
        <v>6.84</v>
      </c>
      <c r="F1302">
        <v>172</v>
      </c>
      <c r="G1302">
        <v>4.45</v>
      </c>
      <c r="H1302" s="3">
        <f t="shared" si="80"/>
        <v>45323</v>
      </c>
      <c r="I1302">
        <f>MONTH(Table1[[#This Row],[Date]])</f>
        <v>2</v>
      </c>
      <c r="J1302" t="str">
        <f t="shared" si="81"/>
        <v>Q1</v>
      </c>
      <c r="K1302" t="str">
        <f t="shared" si="82"/>
        <v>Feb-2024</v>
      </c>
      <c r="L1302" t="str">
        <f t="shared" si="83"/>
        <v>High</v>
      </c>
    </row>
    <row r="1303" spans="1:12" x14ac:dyDescent="0.3">
      <c r="A1303">
        <v>2024</v>
      </c>
      <c r="B1303" s="2" t="s">
        <v>18</v>
      </c>
      <c r="C1303" t="s">
        <v>17</v>
      </c>
      <c r="D1303" t="s">
        <v>15</v>
      </c>
      <c r="E1303">
        <v>28.32</v>
      </c>
      <c r="F1303">
        <v>174</v>
      </c>
      <c r="G1303">
        <v>4.53</v>
      </c>
      <c r="H1303" s="3">
        <f t="shared" si="80"/>
        <v>45323</v>
      </c>
      <c r="I1303">
        <f>MONTH(Table1[[#This Row],[Date]])</f>
        <v>2</v>
      </c>
      <c r="J1303" t="str">
        <f t="shared" si="81"/>
        <v>Q1</v>
      </c>
      <c r="K1303" t="str">
        <f t="shared" si="82"/>
        <v>Feb-2024</v>
      </c>
      <c r="L1303" t="str">
        <f t="shared" si="83"/>
        <v>High</v>
      </c>
    </row>
    <row r="1304" spans="1:12" x14ac:dyDescent="0.3">
      <c r="A1304">
        <v>2024</v>
      </c>
      <c r="B1304" s="2" t="s">
        <v>19</v>
      </c>
      <c r="C1304" t="s">
        <v>8</v>
      </c>
      <c r="D1304" t="s">
        <v>9</v>
      </c>
      <c r="E1304">
        <v>100</v>
      </c>
      <c r="F1304">
        <v>161.19999999999999</v>
      </c>
      <c r="G1304">
        <v>4.2</v>
      </c>
      <c r="H1304" s="3">
        <f t="shared" si="80"/>
        <v>45352</v>
      </c>
      <c r="I1304">
        <f>MONTH(Table1[[#This Row],[Date]])</f>
        <v>3</v>
      </c>
      <c r="J1304" t="str">
        <f t="shared" si="81"/>
        <v>Q1</v>
      </c>
      <c r="K1304" t="str">
        <f t="shared" si="82"/>
        <v>Mar-2024</v>
      </c>
      <c r="L1304" t="str">
        <f t="shared" si="83"/>
        <v>High</v>
      </c>
    </row>
    <row r="1305" spans="1:12" x14ac:dyDescent="0.3">
      <c r="A1305">
        <v>2024</v>
      </c>
      <c r="B1305" s="2" t="s">
        <v>19</v>
      </c>
      <c r="C1305" t="s">
        <v>8</v>
      </c>
      <c r="D1305" t="s">
        <v>10</v>
      </c>
      <c r="E1305">
        <v>45.86</v>
      </c>
      <c r="F1305">
        <v>163.19999999999999</v>
      </c>
      <c r="G1305">
        <v>4.28</v>
      </c>
      <c r="H1305" s="3">
        <f t="shared" si="80"/>
        <v>45352</v>
      </c>
      <c r="I1305">
        <f>MONTH(Table1[[#This Row],[Date]])</f>
        <v>3</v>
      </c>
      <c r="J1305" t="str">
        <f t="shared" si="81"/>
        <v>Q1</v>
      </c>
      <c r="K1305" t="str">
        <f t="shared" si="82"/>
        <v>Mar-2024</v>
      </c>
      <c r="L1305" t="str">
        <f t="shared" si="83"/>
        <v>High</v>
      </c>
    </row>
    <row r="1306" spans="1:12" x14ac:dyDescent="0.3">
      <c r="A1306">
        <v>2024</v>
      </c>
      <c r="B1306" s="2" t="s">
        <v>19</v>
      </c>
      <c r="C1306" t="s">
        <v>8</v>
      </c>
      <c r="D1306" t="s">
        <v>11</v>
      </c>
      <c r="E1306">
        <v>2.38</v>
      </c>
      <c r="F1306">
        <v>165.2</v>
      </c>
      <c r="G1306">
        <v>4.3600000000000003</v>
      </c>
      <c r="H1306" s="3">
        <f t="shared" si="80"/>
        <v>45352</v>
      </c>
      <c r="I1306">
        <f>MONTH(Table1[[#This Row],[Date]])</f>
        <v>3</v>
      </c>
      <c r="J1306" t="str">
        <f t="shared" si="81"/>
        <v>Q1</v>
      </c>
      <c r="K1306" t="str">
        <f t="shared" si="82"/>
        <v>Mar-2024</v>
      </c>
      <c r="L1306" t="str">
        <f t="shared" si="83"/>
        <v>High</v>
      </c>
    </row>
    <row r="1307" spans="1:12" x14ac:dyDescent="0.3">
      <c r="A1307">
        <v>2024</v>
      </c>
      <c r="B1307" s="2" t="s">
        <v>19</v>
      </c>
      <c r="C1307" t="s">
        <v>8</v>
      </c>
      <c r="D1307" t="s">
        <v>12</v>
      </c>
      <c r="E1307">
        <v>6.53</v>
      </c>
      <c r="F1307">
        <v>167.2</v>
      </c>
      <c r="G1307">
        <v>4.4400000000000004</v>
      </c>
      <c r="H1307" s="3">
        <f t="shared" si="80"/>
        <v>45352</v>
      </c>
      <c r="I1307">
        <f>MONTH(Table1[[#This Row],[Date]])</f>
        <v>3</v>
      </c>
      <c r="J1307" t="str">
        <f t="shared" si="81"/>
        <v>Q1</v>
      </c>
      <c r="K1307" t="str">
        <f t="shared" si="82"/>
        <v>Mar-2024</v>
      </c>
      <c r="L1307" t="str">
        <f t="shared" si="83"/>
        <v>High</v>
      </c>
    </row>
    <row r="1308" spans="1:12" x14ac:dyDescent="0.3">
      <c r="A1308">
        <v>2024</v>
      </c>
      <c r="B1308" s="2" t="s">
        <v>19</v>
      </c>
      <c r="C1308" t="s">
        <v>8</v>
      </c>
      <c r="D1308" t="s">
        <v>13</v>
      </c>
      <c r="E1308">
        <v>10.07</v>
      </c>
      <c r="F1308">
        <v>169.2</v>
      </c>
      <c r="G1308">
        <v>4.5199999999999996</v>
      </c>
      <c r="H1308" s="3">
        <f t="shared" si="80"/>
        <v>45352</v>
      </c>
      <c r="I1308">
        <f>MONTH(Table1[[#This Row],[Date]])</f>
        <v>3</v>
      </c>
      <c r="J1308" t="str">
        <f t="shared" si="81"/>
        <v>Q1</v>
      </c>
      <c r="K1308" t="str">
        <f t="shared" si="82"/>
        <v>Mar-2024</v>
      </c>
      <c r="L1308" t="str">
        <f t="shared" si="83"/>
        <v>High</v>
      </c>
    </row>
    <row r="1309" spans="1:12" x14ac:dyDescent="0.3">
      <c r="A1309">
        <v>2024</v>
      </c>
      <c r="B1309" s="2" t="s">
        <v>19</v>
      </c>
      <c r="C1309" t="s">
        <v>8</v>
      </c>
      <c r="D1309" t="s">
        <v>14</v>
      </c>
      <c r="E1309">
        <v>6.84</v>
      </c>
      <c r="F1309">
        <v>171.2</v>
      </c>
      <c r="G1309">
        <v>4.5999999999999996</v>
      </c>
      <c r="H1309" s="3">
        <f t="shared" si="80"/>
        <v>45352</v>
      </c>
      <c r="I1309">
        <f>MONTH(Table1[[#This Row],[Date]])</f>
        <v>3</v>
      </c>
      <c r="J1309" t="str">
        <f t="shared" si="81"/>
        <v>Q1</v>
      </c>
      <c r="K1309" t="str">
        <f t="shared" si="82"/>
        <v>Mar-2024</v>
      </c>
      <c r="L1309" t="str">
        <f t="shared" si="83"/>
        <v>High</v>
      </c>
    </row>
    <row r="1310" spans="1:12" x14ac:dyDescent="0.3">
      <c r="A1310">
        <v>2024</v>
      </c>
      <c r="B1310" s="2" t="s">
        <v>19</v>
      </c>
      <c r="C1310" t="s">
        <v>8</v>
      </c>
      <c r="D1310" t="s">
        <v>15</v>
      </c>
      <c r="E1310">
        <v>28.32</v>
      </c>
      <c r="F1310">
        <v>173.2</v>
      </c>
      <c r="G1310">
        <v>4.68</v>
      </c>
      <c r="H1310" s="3">
        <f t="shared" si="80"/>
        <v>45352</v>
      </c>
      <c r="I1310">
        <f>MONTH(Table1[[#This Row],[Date]])</f>
        <v>3</v>
      </c>
      <c r="J1310" t="str">
        <f t="shared" si="81"/>
        <v>Q1</v>
      </c>
      <c r="K1310" t="str">
        <f t="shared" si="82"/>
        <v>Mar-2024</v>
      </c>
      <c r="L1310" t="str">
        <f t="shared" si="83"/>
        <v>High</v>
      </c>
    </row>
    <row r="1311" spans="1:12" x14ac:dyDescent="0.3">
      <c r="A1311">
        <v>2024</v>
      </c>
      <c r="B1311" s="2" t="s">
        <v>19</v>
      </c>
      <c r="C1311" t="s">
        <v>16</v>
      </c>
      <c r="D1311" t="s">
        <v>9</v>
      </c>
      <c r="E1311">
        <v>100</v>
      </c>
      <c r="F1311">
        <v>161.80000000000001</v>
      </c>
      <c r="G1311">
        <v>4.2</v>
      </c>
      <c r="H1311" s="3">
        <f t="shared" si="80"/>
        <v>45352</v>
      </c>
      <c r="I1311">
        <f>MONTH(Table1[[#This Row],[Date]])</f>
        <v>3</v>
      </c>
      <c r="J1311" t="str">
        <f t="shared" si="81"/>
        <v>Q1</v>
      </c>
      <c r="K1311" t="str">
        <f t="shared" si="82"/>
        <v>Mar-2024</v>
      </c>
      <c r="L1311" t="str">
        <f t="shared" si="83"/>
        <v>High</v>
      </c>
    </row>
    <row r="1312" spans="1:12" x14ac:dyDescent="0.3">
      <c r="A1312">
        <v>2024</v>
      </c>
      <c r="B1312" s="2" t="s">
        <v>19</v>
      </c>
      <c r="C1312" t="s">
        <v>16</v>
      </c>
      <c r="D1312" t="s">
        <v>10</v>
      </c>
      <c r="E1312">
        <v>45.86</v>
      </c>
      <c r="F1312">
        <v>163.80000000000001</v>
      </c>
      <c r="G1312">
        <v>4.28</v>
      </c>
      <c r="H1312" s="3">
        <f t="shared" si="80"/>
        <v>45352</v>
      </c>
      <c r="I1312">
        <f>MONTH(Table1[[#This Row],[Date]])</f>
        <v>3</v>
      </c>
      <c r="J1312" t="str">
        <f t="shared" si="81"/>
        <v>Q1</v>
      </c>
      <c r="K1312" t="str">
        <f t="shared" si="82"/>
        <v>Mar-2024</v>
      </c>
      <c r="L1312" t="str">
        <f t="shared" si="83"/>
        <v>High</v>
      </c>
    </row>
    <row r="1313" spans="1:12" x14ac:dyDescent="0.3">
      <c r="A1313">
        <v>2024</v>
      </c>
      <c r="B1313" s="2" t="s">
        <v>19</v>
      </c>
      <c r="C1313" t="s">
        <v>16</v>
      </c>
      <c r="D1313" t="s">
        <v>11</v>
      </c>
      <c r="E1313">
        <v>2.38</v>
      </c>
      <c r="F1313">
        <v>165.8</v>
      </c>
      <c r="G1313">
        <v>4.3600000000000003</v>
      </c>
      <c r="H1313" s="3">
        <f t="shared" si="80"/>
        <v>45352</v>
      </c>
      <c r="I1313">
        <f>MONTH(Table1[[#This Row],[Date]])</f>
        <v>3</v>
      </c>
      <c r="J1313" t="str">
        <f t="shared" si="81"/>
        <v>Q1</v>
      </c>
      <c r="K1313" t="str">
        <f t="shared" si="82"/>
        <v>Mar-2024</v>
      </c>
      <c r="L1313" t="str">
        <f t="shared" si="83"/>
        <v>High</v>
      </c>
    </row>
    <row r="1314" spans="1:12" x14ac:dyDescent="0.3">
      <c r="A1314">
        <v>2024</v>
      </c>
      <c r="B1314" s="2" t="s">
        <v>19</v>
      </c>
      <c r="C1314" t="s">
        <v>16</v>
      </c>
      <c r="D1314" t="s">
        <v>12</v>
      </c>
      <c r="E1314">
        <v>6.53</v>
      </c>
      <c r="F1314">
        <v>167.8</v>
      </c>
      <c r="G1314">
        <v>4.4400000000000004</v>
      </c>
      <c r="H1314" s="3">
        <f t="shared" si="80"/>
        <v>45352</v>
      </c>
      <c r="I1314">
        <f>MONTH(Table1[[#This Row],[Date]])</f>
        <v>3</v>
      </c>
      <c r="J1314" t="str">
        <f t="shared" si="81"/>
        <v>Q1</v>
      </c>
      <c r="K1314" t="str">
        <f t="shared" si="82"/>
        <v>Mar-2024</v>
      </c>
      <c r="L1314" t="str">
        <f t="shared" si="83"/>
        <v>High</v>
      </c>
    </row>
    <row r="1315" spans="1:12" x14ac:dyDescent="0.3">
      <c r="A1315">
        <v>2024</v>
      </c>
      <c r="B1315" s="2" t="s">
        <v>19</v>
      </c>
      <c r="C1315" t="s">
        <v>16</v>
      </c>
      <c r="D1315" t="s">
        <v>13</v>
      </c>
      <c r="E1315">
        <v>10.07</v>
      </c>
      <c r="F1315">
        <v>169.8</v>
      </c>
      <c r="G1315">
        <v>4.5199999999999996</v>
      </c>
      <c r="H1315" s="3">
        <f t="shared" si="80"/>
        <v>45352</v>
      </c>
      <c r="I1315">
        <f>MONTH(Table1[[#This Row],[Date]])</f>
        <v>3</v>
      </c>
      <c r="J1315" t="str">
        <f t="shared" si="81"/>
        <v>Q1</v>
      </c>
      <c r="K1315" t="str">
        <f t="shared" si="82"/>
        <v>Mar-2024</v>
      </c>
      <c r="L1315" t="str">
        <f t="shared" si="83"/>
        <v>High</v>
      </c>
    </row>
    <row r="1316" spans="1:12" x14ac:dyDescent="0.3">
      <c r="A1316">
        <v>2024</v>
      </c>
      <c r="B1316" s="2" t="s">
        <v>19</v>
      </c>
      <c r="C1316" t="s">
        <v>16</v>
      </c>
      <c r="D1316" t="s">
        <v>14</v>
      </c>
      <c r="E1316">
        <v>6.84</v>
      </c>
      <c r="F1316">
        <v>171.8</v>
      </c>
      <c r="G1316">
        <v>4.5999999999999996</v>
      </c>
      <c r="H1316" s="3">
        <f t="shared" si="80"/>
        <v>45352</v>
      </c>
      <c r="I1316">
        <f>MONTH(Table1[[#This Row],[Date]])</f>
        <v>3</v>
      </c>
      <c r="J1316" t="str">
        <f t="shared" si="81"/>
        <v>Q1</v>
      </c>
      <c r="K1316" t="str">
        <f t="shared" si="82"/>
        <v>Mar-2024</v>
      </c>
      <c r="L1316" t="str">
        <f t="shared" si="83"/>
        <v>High</v>
      </c>
    </row>
    <row r="1317" spans="1:12" x14ac:dyDescent="0.3">
      <c r="A1317">
        <v>2024</v>
      </c>
      <c r="B1317" s="2" t="s">
        <v>19</v>
      </c>
      <c r="C1317" t="s">
        <v>16</v>
      </c>
      <c r="D1317" t="s">
        <v>15</v>
      </c>
      <c r="E1317">
        <v>28.32</v>
      </c>
      <c r="F1317">
        <v>173.8</v>
      </c>
      <c r="G1317">
        <v>4.68</v>
      </c>
      <c r="H1317" s="3">
        <f t="shared" si="80"/>
        <v>45352</v>
      </c>
      <c r="I1317">
        <f>MONTH(Table1[[#This Row],[Date]])</f>
        <v>3</v>
      </c>
      <c r="J1317" t="str">
        <f t="shared" si="81"/>
        <v>Q1</v>
      </c>
      <c r="K1317" t="str">
        <f t="shared" si="82"/>
        <v>Mar-2024</v>
      </c>
      <c r="L1317" t="str">
        <f t="shared" si="83"/>
        <v>High</v>
      </c>
    </row>
    <row r="1318" spans="1:12" x14ac:dyDescent="0.3">
      <c r="A1318">
        <v>2024</v>
      </c>
      <c r="B1318" s="2" t="s">
        <v>19</v>
      </c>
      <c r="C1318" t="s">
        <v>17</v>
      </c>
      <c r="D1318" t="s">
        <v>9</v>
      </c>
      <c r="E1318">
        <v>100</v>
      </c>
      <c r="F1318">
        <v>162.4</v>
      </c>
      <c r="G1318">
        <v>4.2</v>
      </c>
      <c r="H1318" s="3">
        <f t="shared" si="80"/>
        <v>45352</v>
      </c>
      <c r="I1318">
        <f>MONTH(Table1[[#This Row],[Date]])</f>
        <v>3</v>
      </c>
      <c r="J1318" t="str">
        <f t="shared" si="81"/>
        <v>Q1</v>
      </c>
      <c r="K1318" t="str">
        <f t="shared" si="82"/>
        <v>Mar-2024</v>
      </c>
      <c r="L1318" t="str">
        <f t="shared" si="83"/>
        <v>High</v>
      </c>
    </row>
    <row r="1319" spans="1:12" x14ac:dyDescent="0.3">
      <c r="A1319">
        <v>2024</v>
      </c>
      <c r="B1319" s="2" t="s">
        <v>19</v>
      </c>
      <c r="C1319" t="s">
        <v>17</v>
      </c>
      <c r="D1319" t="s">
        <v>10</v>
      </c>
      <c r="E1319">
        <v>45.86</v>
      </c>
      <c r="F1319">
        <v>164.4</v>
      </c>
      <c r="G1319">
        <v>4.28</v>
      </c>
      <c r="H1319" s="3">
        <f t="shared" si="80"/>
        <v>45352</v>
      </c>
      <c r="I1319">
        <f>MONTH(Table1[[#This Row],[Date]])</f>
        <v>3</v>
      </c>
      <c r="J1319" t="str">
        <f t="shared" si="81"/>
        <v>Q1</v>
      </c>
      <c r="K1319" t="str">
        <f t="shared" si="82"/>
        <v>Mar-2024</v>
      </c>
      <c r="L1319" t="str">
        <f t="shared" si="83"/>
        <v>High</v>
      </c>
    </row>
    <row r="1320" spans="1:12" x14ac:dyDescent="0.3">
      <c r="A1320">
        <v>2024</v>
      </c>
      <c r="B1320" s="2" t="s">
        <v>19</v>
      </c>
      <c r="C1320" t="s">
        <v>17</v>
      </c>
      <c r="D1320" t="s">
        <v>11</v>
      </c>
      <c r="E1320">
        <v>2.38</v>
      </c>
      <c r="F1320">
        <v>166.4</v>
      </c>
      <c r="G1320">
        <v>4.3600000000000003</v>
      </c>
      <c r="H1320" s="3">
        <f t="shared" si="80"/>
        <v>45352</v>
      </c>
      <c r="I1320">
        <f>MONTH(Table1[[#This Row],[Date]])</f>
        <v>3</v>
      </c>
      <c r="J1320" t="str">
        <f t="shared" si="81"/>
        <v>Q1</v>
      </c>
      <c r="K1320" t="str">
        <f t="shared" si="82"/>
        <v>Mar-2024</v>
      </c>
      <c r="L1320" t="str">
        <f t="shared" si="83"/>
        <v>High</v>
      </c>
    </row>
    <row r="1321" spans="1:12" x14ac:dyDescent="0.3">
      <c r="A1321">
        <v>2024</v>
      </c>
      <c r="B1321" s="2" t="s">
        <v>19</v>
      </c>
      <c r="C1321" t="s">
        <v>17</v>
      </c>
      <c r="D1321" t="s">
        <v>12</v>
      </c>
      <c r="E1321">
        <v>6.53</v>
      </c>
      <c r="F1321">
        <v>168.4</v>
      </c>
      <c r="G1321">
        <v>4.4400000000000004</v>
      </c>
      <c r="H1321" s="3">
        <f t="shared" si="80"/>
        <v>45352</v>
      </c>
      <c r="I1321">
        <f>MONTH(Table1[[#This Row],[Date]])</f>
        <v>3</v>
      </c>
      <c r="J1321" t="str">
        <f t="shared" si="81"/>
        <v>Q1</v>
      </c>
      <c r="K1321" t="str">
        <f t="shared" si="82"/>
        <v>Mar-2024</v>
      </c>
      <c r="L1321" t="str">
        <f t="shared" si="83"/>
        <v>High</v>
      </c>
    </row>
    <row r="1322" spans="1:12" x14ac:dyDescent="0.3">
      <c r="A1322">
        <v>2024</v>
      </c>
      <c r="B1322" s="2" t="s">
        <v>19</v>
      </c>
      <c r="C1322" t="s">
        <v>17</v>
      </c>
      <c r="D1322" t="s">
        <v>13</v>
      </c>
      <c r="E1322">
        <v>10.07</v>
      </c>
      <c r="F1322">
        <v>170.4</v>
      </c>
      <c r="G1322">
        <v>4.5199999999999996</v>
      </c>
      <c r="H1322" s="3">
        <f t="shared" si="80"/>
        <v>45352</v>
      </c>
      <c r="I1322">
        <f>MONTH(Table1[[#This Row],[Date]])</f>
        <v>3</v>
      </c>
      <c r="J1322" t="str">
        <f t="shared" si="81"/>
        <v>Q1</v>
      </c>
      <c r="K1322" t="str">
        <f t="shared" si="82"/>
        <v>Mar-2024</v>
      </c>
      <c r="L1322" t="str">
        <f t="shared" si="83"/>
        <v>High</v>
      </c>
    </row>
    <row r="1323" spans="1:12" x14ac:dyDescent="0.3">
      <c r="A1323">
        <v>2024</v>
      </c>
      <c r="B1323" s="2" t="s">
        <v>19</v>
      </c>
      <c r="C1323" t="s">
        <v>17</v>
      </c>
      <c r="D1323" t="s">
        <v>14</v>
      </c>
      <c r="E1323">
        <v>6.84</v>
      </c>
      <c r="F1323">
        <v>172.4</v>
      </c>
      <c r="G1323">
        <v>4.5999999999999996</v>
      </c>
      <c r="H1323" s="3">
        <f t="shared" si="80"/>
        <v>45352</v>
      </c>
      <c r="I1323">
        <f>MONTH(Table1[[#This Row],[Date]])</f>
        <v>3</v>
      </c>
      <c r="J1323" t="str">
        <f t="shared" si="81"/>
        <v>Q1</v>
      </c>
      <c r="K1323" t="str">
        <f t="shared" si="82"/>
        <v>Mar-2024</v>
      </c>
      <c r="L1323" t="str">
        <f t="shared" si="83"/>
        <v>High</v>
      </c>
    </row>
    <row r="1324" spans="1:12" x14ac:dyDescent="0.3">
      <c r="A1324">
        <v>2024</v>
      </c>
      <c r="B1324" s="2" t="s">
        <v>19</v>
      </c>
      <c r="C1324" t="s">
        <v>17</v>
      </c>
      <c r="D1324" t="s">
        <v>15</v>
      </c>
      <c r="E1324">
        <v>28.32</v>
      </c>
      <c r="F1324">
        <v>174.4</v>
      </c>
      <c r="G1324">
        <v>4.68</v>
      </c>
      <c r="H1324" s="3">
        <f t="shared" si="80"/>
        <v>45352</v>
      </c>
      <c r="I1324">
        <f>MONTH(Table1[[#This Row],[Date]])</f>
        <v>3</v>
      </c>
      <c r="J1324" t="str">
        <f t="shared" si="81"/>
        <v>Q1</v>
      </c>
      <c r="K1324" t="str">
        <f t="shared" si="82"/>
        <v>Mar-2024</v>
      </c>
      <c r="L1324" t="str">
        <f t="shared" si="83"/>
        <v>High</v>
      </c>
    </row>
    <row r="1325" spans="1:12" x14ac:dyDescent="0.3">
      <c r="A1325">
        <v>2024</v>
      </c>
      <c r="B1325" s="2" t="s">
        <v>20</v>
      </c>
      <c r="C1325" t="s">
        <v>8</v>
      </c>
      <c r="D1325" t="s">
        <v>9</v>
      </c>
      <c r="E1325">
        <v>100</v>
      </c>
      <c r="F1325">
        <v>161.6</v>
      </c>
      <c r="G1325">
        <v>4.3499999999999996</v>
      </c>
      <c r="H1325" s="3">
        <f t="shared" si="80"/>
        <v>45383</v>
      </c>
      <c r="I1325">
        <f>MONTH(Table1[[#This Row],[Date]])</f>
        <v>4</v>
      </c>
      <c r="J1325" t="str">
        <f t="shared" si="81"/>
        <v>Q2</v>
      </c>
      <c r="K1325" t="str">
        <f t="shared" si="82"/>
        <v>Apr-2024</v>
      </c>
      <c r="L1325" t="str">
        <f t="shared" si="83"/>
        <v>High</v>
      </c>
    </row>
    <row r="1326" spans="1:12" x14ac:dyDescent="0.3">
      <c r="A1326">
        <v>2024</v>
      </c>
      <c r="B1326" s="2" t="s">
        <v>20</v>
      </c>
      <c r="C1326" t="s">
        <v>8</v>
      </c>
      <c r="D1326" t="s">
        <v>10</v>
      </c>
      <c r="E1326">
        <v>45.86</v>
      </c>
      <c r="F1326">
        <v>163.6</v>
      </c>
      <c r="G1326">
        <v>4.43</v>
      </c>
      <c r="H1326" s="3">
        <f t="shared" si="80"/>
        <v>45383</v>
      </c>
      <c r="I1326">
        <f>MONTH(Table1[[#This Row],[Date]])</f>
        <v>4</v>
      </c>
      <c r="J1326" t="str">
        <f t="shared" si="81"/>
        <v>Q2</v>
      </c>
      <c r="K1326" t="str">
        <f t="shared" si="82"/>
        <v>Apr-2024</v>
      </c>
      <c r="L1326" t="str">
        <f t="shared" si="83"/>
        <v>High</v>
      </c>
    </row>
    <row r="1327" spans="1:12" x14ac:dyDescent="0.3">
      <c r="A1327">
        <v>2024</v>
      </c>
      <c r="B1327" s="2" t="s">
        <v>20</v>
      </c>
      <c r="C1327" t="s">
        <v>8</v>
      </c>
      <c r="D1327" t="s">
        <v>11</v>
      </c>
      <c r="E1327">
        <v>2.38</v>
      </c>
      <c r="F1327">
        <v>165.6</v>
      </c>
      <c r="G1327">
        <v>4.51</v>
      </c>
      <c r="H1327" s="3">
        <f t="shared" si="80"/>
        <v>45383</v>
      </c>
      <c r="I1327">
        <f>MONTH(Table1[[#This Row],[Date]])</f>
        <v>4</v>
      </c>
      <c r="J1327" t="str">
        <f t="shared" si="81"/>
        <v>Q2</v>
      </c>
      <c r="K1327" t="str">
        <f t="shared" si="82"/>
        <v>Apr-2024</v>
      </c>
      <c r="L1327" t="str">
        <f t="shared" si="83"/>
        <v>High</v>
      </c>
    </row>
    <row r="1328" spans="1:12" x14ac:dyDescent="0.3">
      <c r="A1328">
        <v>2024</v>
      </c>
      <c r="B1328" s="2" t="s">
        <v>20</v>
      </c>
      <c r="C1328" t="s">
        <v>8</v>
      </c>
      <c r="D1328" t="s">
        <v>12</v>
      </c>
      <c r="E1328">
        <v>6.53</v>
      </c>
      <c r="F1328">
        <v>167.6</v>
      </c>
      <c r="G1328">
        <v>4.59</v>
      </c>
      <c r="H1328" s="3">
        <f t="shared" si="80"/>
        <v>45383</v>
      </c>
      <c r="I1328">
        <f>MONTH(Table1[[#This Row],[Date]])</f>
        <v>4</v>
      </c>
      <c r="J1328" t="str">
        <f t="shared" si="81"/>
        <v>Q2</v>
      </c>
      <c r="K1328" t="str">
        <f t="shared" si="82"/>
        <v>Apr-2024</v>
      </c>
      <c r="L1328" t="str">
        <f t="shared" si="83"/>
        <v>High</v>
      </c>
    </row>
    <row r="1329" spans="1:12" x14ac:dyDescent="0.3">
      <c r="A1329">
        <v>2024</v>
      </c>
      <c r="B1329" s="2" t="s">
        <v>20</v>
      </c>
      <c r="C1329" t="s">
        <v>8</v>
      </c>
      <c r="D1329" t="s">
        <v>13</v>
      </c>
      <c r="E1329">
        <v>10.07</v>
      </c>
      <c r="F1329">
        <v>169.6</v>
      </c>
      <c r="G1329">
        <v>4.67</v>
      </c>
      <c r="H1329" s="3">
        <f t="shared" si="80"/>
        <v>45383</v>
      </c>
      <c r="I1329">
        <f>MONTH(Table1[[#This Row],[Date]])</f>
        <v>4</v>
      </c>
      <c r="J1329" t="str">
        <f t="shared" si="81"/>
        <v>Q2</v>
      </c>
      <c r="K1329" t="str">
        <f t="shared" si="82"/>
        <v>Apr-2024</v>
      </c>
      <c r="L1329" t="str">
        <f t="shared" si="83"/>
        <v>High</v>
      </c>
    </row>
    <row r="1330" spans="1:12" x14ac:dyDescent="0.3">
      <c r="A1330">
        <v>2024</v>
      </c>
      <c r="B1330" s="2" t="s">
        <v>20</v>
      </c>
      <c r="C1330" t="s">
        <v>8</v>
      </c>
      <c r="D1330" t="s">
        <v>14</v>
      </c>
      <c r="E1330">
        <v>6.84</v>
      </c>
      <c r="F1330">
        <v>171.6</v>
      </c>
      <c r="G1330">
        <v>4.75</v>
      </c>
      <c r="H1330" s="3">
        <f t="shared" si="80"/>
        <v>45383</v>
      </c>
      <c r="I1330">
        <f>MONTH(Table1[[#This Row],[Date]])</f>
        <v>4</v>
      </c>
      <c r="J1330" t="str">
        <f t="shared" si="81"/>
        <v>Q2</v>
      </c>
      <c r="K1330" t="str">
        <f t="shared" si="82"/>
        <v>Apr-2024</v>
      </c>
      <c r="L1330" t="str">
        <f t="shared" si="83"/>
        <v>High</v>
      </c>
    </row>
    <row r="1331" spans="1:12" x14ac:dyDescent="0.3">
      <c r="A1331">
        <v>2024</v>
      </c>
      <c r="B1331" s="2" t="s">
        <v>20</v>
      </c>
      <c r="C1331" t="s">
        <v>8</v>
      </c>
      <c r="D1331" t="s">
        <v>15</v>
      </c>
      <c r="E1331">
        <v>28.32</v>
      </c>
      <c r="F1331">
        <v>173.6</v>
      </c>
      <c r="G1331">
        <v>4.83</v>
      </c>
      <c r="H1331" s="3">
        <f t="shared" si="80"/>
        <v>45383</v>
      </c>
      <c r="I1331">
        <f>MONTH(Table1[[#This Row],[Date]])</f>
        <v>4</v>
      </c>
      <c r="J1331" t="str">
        <f t="shared" si="81"/>
        <v>Q2</v>
      </c>
      <c r="K1331" t="str">
        <f t="shared" si="82"/>
        <v>Apr-2024</v>
      </c>
      <c r="L1331" t="str">
        <f t="shared" si="83"/>
        <v>High</v>
      </c>
    </row>
    <row r="1332" spans="1:12" x14ac:dyDescent="0.3">
      <c r="A1332">
        <v>2024</v>
      </c>
      <c r="B1332" s="2" t="s">
        <v>20</v>
      </c>
      <c r="C1332" t="s">
        <v>16</v>
      </c>
      <c r="D1332" t="s">
        <v>9</v>
      </c>
      <c r="E1332">
        <v>100</v>
      </c>
      <c r="F1332">
        <v>162.19999999999999</v>
      </c>
      <c r="G1332">
        <v>4.3499999999999996</v>
      </c>
      <c r="H1332" s="3">
        <f t="shared" si="80"/>
        <v>45383</v>
      </c>
      <c r="I1332">
        <f>MONTH(Table1[[#This Row],[Date]])</f>
        <v>4</v>
      </c>
      <c r="J1332" t="str">
        <f t="shared" si="81"/>
        <v>Q2</v>
      </c>
      <c r="K1332" t="str">
        <f t="shared" si="82"/>
        <v>Apr-2024</v>
      </c>
      <c r="L1332" t="str">
        <f t="shared" si="83"/>
        <v>High</v>
      </c>
    </row>
    <row r="1333" spans="1:12" x14ac:dyDescent="0.3">
      <c r="A1333">
        <v>2024</v>
      </c>
      <c r="B1333" s="2" t="s">
        <v>20</v>
      </c>
      <c r="C1333" t="s">
        <v>16</v>
      </c>
      <c r="D1333" t="s">
        <v>10</v>
      </c>
      <c r="E1333">
        <v>45.86</v>
      </c>
      <c r="F1333">
        <v>164.2</v>
      </c>
      <c r="G1333">
        <v>4.43</v>
      </c>
      <c r="H1333" s="3">
        <f t="shared" si="80"/>
        <v>45383</v>
      </c>
      <c r="I1333">
        <f>MONTH(Table1[[#This Row],[Date]])</f>
        <v>4</v>
      </c>
      <c r="J1333" t="str">
        <f t="shared" si="81"/>
        <v>Q2</v>
      </c>
      <c r="K1333" t="str">
        <f t="shared" si="82"/>
        <v>Apr-2024</v>
      </c>
      <c r="L1333" t="str">
        <f t="shared" si="83"/>
        <v>High</v>
      </c>
    </row>
    <row r="1334" spans="1:12" x14ac:dyDescent="0.3">
      <c r="A1334">
        <v>2024</v>
      </c>
      <c r="B1334" s="2" t="s">
        <v>20</v>
      </c>
      <c r="C1334" t="s">
        <v>16</v>
      </c>
      <c r="D1334" t="s">
        <v>11</v>
      </c>
      <c r="E1334">
        <v>2.38</v>
      </c>
      <c r="F1334">
        <v>166.2</v>
      </c>
      <c r="G1334">
        <v>4.51</v>
      </c>
      <c r="H1334" s="3">
        <f t="shared" si="80"/>
        <v>45383</v>
      </c>
      <c r="I1334">
        <f>MONTH(Table1[[#This Row],[Date]])</f>
        <v>4</v>
      </c>
      <c r="J1334" t="str">
        <f t="shared" si="81"/>
        <v>Q2</v>
      </c>
      <c r="K1334" t="str">
        <f t="shared" si="82"/>
        <v>Apr-2024</v>
      </c>
      <c r="L1334" t="str">
        <f t="shared" si="83"/>
        <v>High</v>
      </c>
    </row>
    <row r="1335" spans="1:12" x14ac:dyDescent="0.3">
      <c r="A1335">
        <v>2024</v>
      </c>
      <c r="B1335" s="2" t="s">
        <v>20</v>
      </c>
      <c r="C1335" t="s">
        <v>16</v>
      </c>
      <c r="D1335" t="s">
        <v>12</v>
      </c>
      <c r="E1335">
        <v>6.53</v>
      </c>
      <c r="F1335">
        <v>168.2</v>
      </c>
      <c r="G1335">
        <v>4.59</v>
      </c>
      <c r="H1335" s="3">
        <f t="shared" si="80"/>
        <v>45383</v>
      </c>
      <c r="I1335">
        <f>MONTH(Table1[[#This Row],[Date]])</f>
        <v>4</v>
      </c>
      <c r="J1335" t="str">
        <f t="shared" si="81"/>
        <v>Q2</v>
      </c>
      <c r="K1335" t="str">
        <f t="shared" si="82"/>
        <v>Apr-2024</v>
      </c>
      <c r="L1335" t="str">
        <f t="shared" si="83"/>
        <v>High</v>
      </c>
    </row>
    <row r="1336" spans="1:12" x14ac:dyDescent="0.3">
      <c r="A1336">
        <v>2024</v>
      </c>
      <c r="B1336" s="2" t="s">
        <v>20</v>
      </c>
      <c r="C1336" t="s">
        <v>16</v>
      </c>
      <c r="D1336" t="s">
        <v>13</v>
      </c>
      <c r="E1336">
        <v>10.07</v>
      </c>
      <c r="F1336">
        <v>170.2</v>
      </c>
      <c r="G1336">
        <v>4.67</v>
      </c>
      <c r="H1336" s="3">
        <f t="shared" si="80"/>
        <v>45383</v>
      </c>
      <c r="I1336">
        <f>MONTH(Table1[[#This Row],[Date]])</f>
        <v>4</v>
      </c>
      <c r="J1336" t="str">
        <f t="shared" si="81"/>
        <v>Q2</v>
      </c>
      <c r="K1336" t="str">
        <f t="shared" si="82"/>
        <v>Apr-2024</v>
      </c>
      <c r="L1336" t="str">
        <f t="shared" si="83"/>
        <v>High</v>
      </c>
    </row>
    <row r="1337" spans="1:12" x14ac:dyDescent="0.3">
      <c r="A1337">
        <v>2024</v>
      </c>
      <c r="B1337" s="2" t="s">
        <v>20</v>
      </c>
      <c r="C1337" t="s">
        <v>16</v>
      </c>
      <c r="D1337" t="s">
        <v>14</v>
      </c>
      <c r="E1337">
        <v>6.84</v>
      </c>
      <c r="F1337">
        <v>172.2</v>
      </c>
      <c r="G1337">
        <v>4.75</v>
      </c>
      <c r="H1337" s="3">
        <f t="shared" si="80"/>
        <v>45383</v>
      </c>
      <c r="I1337">
        <f>MONTH(Table1[[#This Row],[Date]])</f>
        <v>4</v>
      </c>
      <c r="J1337" t="str">
        <f t="shared" si="81"/>
        <v>Q2</v>
      </c>
      <c r="K1337" t="str">
        <f t="shared" si="82"/>
        <v>Apr-2024</v>
      </c>
      <c r="L1337" t="str">
        <f t="shared" si="83"/>
        <v>High</v>
      </c>
    </row>
    <row r="1338" spans="1:12" x14ac:dyDescent="0.3">
      <c r="A1338">
        <v>2024</v>
      </c>
      <c r="B1338" s="2" t="s">
        <v>20</v>
      </c>
      <c r="C1338" t="s">
        <v>16</v>
      </c>
      <c r="D1338" t="s">
        <v>15</v>
      </c>
      <c r="E1338">
        <v>28.32</v>
      </c>
      <c r="F1338">
        <v>174.2</v>
      </c>
      <c r="G1338">
        <v>4.83</v>
      </c>
      <c r="H1338" s="3">
        <f t="shared" si="80"/>
        <v>45383</v>
      </c>
      <c r="I1338">
        <f>MONTH(Table1[[#This Row],[Date]])</f>
        <v>4</v>
      </c>
      <c r="J1338" t="str">
        <f t="shared" si="81"/>
        <v>Q2</v>
      </c>
      <c r="K1338" t="str">
        <f t="shared" si="82"/>
        <v>Apr-2024</v>
      </c>
      <c r="L1338" t="str">
        <f t="shared" si="83"/>
        <v>High</v>
      </c>
    </row>
    <row r="1339" spans="1:12" x14ac:dyDescent="0.3">
      <c r="A1339">
        <v>2024</v>
      </c>
      <c r="B1339" s="2" t="s">
        <v>20</v>
      </c>
      <c r="C1339" t="s">
        <v>17</v>
      </c>
      <c r="D1339" t="s">
        <v>9</v>
      </c>
      <c r="E1339">
        <v>100</v>
      </c>
      <c r="F1339">
        <v>162.80000000000001</v>
      </c>
      <c r="G1339">
        <v>4.3499999999999996</v>
      </c>
      <c r="H1339" s="3">
        <f t="shared" si="80"/>
        <v>45383</v>
      </c>
      <c r="I1339">
        <f>MONTH(Table1[[#This Row],[Date]])</f>
        <v>4</v>
      </c>
      <c r="J1339" t="str">
        <f t="shared" si="81"/>
        <v>Q2</v>
      </c>
      <c r="K1339" t="str">
        <f t="shared" si="82"/>
        <v>Apr-2024</v>
      </c>
      <c r="L1339" t="str">
        <f t="shared" si="83"/>
        <v>High</v>
      </c>
    </row>
    <row r="1340" spans="1:12" x14ac:dyDescent="0.3">
      <c r="A1340">
        <v>2024</v>
      </c>
      <c r="B1340" s="2" t="s">
        <v>20</v>
      </c>
      <c r="C1340" t="s">
        <v>17</v>
      </c>
      <c r="D1340" t="s">
        <v>10</v>
      </c>
      <c r="E1340">
        <v>45.86</v>
      </c>
      <c r="F1340">
        <v>164.8</v>
      </c>
      <c r="G1340">
        <v>4.43</v>
      </c>
      <c r="H1340" s="3">
        <f t="shared" si="80"/>
        <v>45383</v>
      </c>
      <c r="I1340">
        <f>MONTH(Table1[[#This Row],[Date]])</f>
        <v>4</v>
      </c>
      <c r="J1340" t="str">
        <f t="shared" si="81"/>
        <v>Q2</v>
      </c>
      <c r="K1340" t="str">
        <f t="shared" si="82"/>
        <v>Apr-2024</v>
      </c>
      <c r="L1340" t="str">
        <f t="shared" si="83"/>
        <v>High</v>
      </c>
    </row>
    <row r="1341" spans="1:12" x14ac:dyDescent="0.3">
      <c r="A1341">
        <v>2024</v>
      </c>
      <c r="B1341" s="2" t="s">
        <v>20</v>
      </c>
      <c r="C1341" t="s">
        <v>17</v>
      </c>
      <c r="D1341" t="s">
        <v>11</v>
      </c>
      <c r="E1341">
        <v>2.38</v>
      </c>
      <c r="F1341">
        <v>166.8</v>
      </c>
      <c r="G1341">
        <v>4.51</v>
      </c>
      <c r="H1341" s="3">
        <f t="shared" si="80"/>
        <v>45383</v>
      </c>
      <c r="I1341">
        <f>MONTH(Table1[[#This Row],[Date]])</f>
        <v>4</v>
      </c>
      <c r="J1341" t="str">
        <f t="shared" si="81"/>
        <v>Q2</v>
      </c>
      <c r="K1341" t="str">
        <f t="shared" si="82"/>
        <v>Apr-2024</v>
      </c>
      <c r="L1341" t="str">
        <f t="shared" si="83"/>
        <v>High</v>
      </c>
    </row>
    <row r="1342" spans="1:12" x14ac:dyDescent="0.3">
      <c r="A1342">
        <v>2024</v>
      </c>
      <c r="B1342" s="2" t="s">
        <v>20</v>
      </c>
      <c r="C1342" t="s">
        <v>17</v>
      </c>
      <c r="D1342" t="s">
        <v>12</v>
      </c>
      <c r="E1342">
        <v>6.53</v>
      </c>
      <c r="F1342">
        <v>168.8</v>
      </c>
      <c r="G1342">
        <v>4.59</v>
      </c>
      <c r="H1342" s="3">
        <f t="shared" si="80"/>
        <v>45383</v>
      </c>
      <c r="I1342">
        <f>MONTH(Table1[[#This Row],[Date]])</f>
        <v>4</v>
      </c>
      <c r="J1342" t="str">
        <f t="shared" si="81"/>
        <v>Q2</v>
      </c>
      <c r="K1342" t="str">
        <f t="shared" si="82"/>
        <v>Apr-2024</v>
      </c>
      <c r="L1342" t="str">
        <f t="shared" si="83"/>
        <v>High</v>
      </c>
    </row>
    <row r="1343" spans="1:12" x14ac:dyDescent="0.3">
      <c r="A1343">
        <v>2024</v>
      </c>
      <c r="B1343" s="2" t="s">
        <v>20</v>
      </c>
      <c r="C1343" t="s">
        <v>17</v>
      </c>
      <c r="D1343" t="s">
        <v>13</v>
      </c>
      <c r="E1343">
        <v>10.07</v>
      </c>
      <c r="F1343">
        <v>170.8</v>
      </c>
      <c r="G1343">
        <v>4.67</v>
      </c>
      <c r="H1343" s="3">
        <f t="shared" si="80"/>
        <v>45383</v>
      </c>
      <c r="I1343">
        <f>MONTH(Table1[[#This Row],[Date]])</f>
        <v>4</v>
      </c>
      <c r="J1343" t="str">
        <f t="shared" si="81"/>
        <v>Q2</v>
      </c>
      <c r="K1343" t="str">
        <f t="shared" si="82"/>
        <v>Apr-2024</v>
      </c>
      <c r="L1343" t="str">
        <f t="shared" si="83"/>
        <v>High</v>
      </c>
    </row>
    <row r="1344" spans="1:12" x14ac:dyDescent="0.3">
      <c r="A1344">
        <v>2024</v>
      </c>
      <c r="B1344" s="2" t="s">
        <v>20</v>
      </c>
      <c r="C1344" t="s">
        <v>17</v>
      </c>
      <c r="D1344" t="s">
        <v>14</v>
      </c>
      <c r="E1344">
        <v>6.84</v>
      </c>
      <c r="F1344">
        <v>172.8</v>
      </c>
      <c r="G1344">
        <v>4.75</v>
      </c>
      <c r="H1344" s="3">
        <f t="shared" si="80"/>
        <v>45383</v>
      </c>
      <c r="I1344">
        <f>MONTH(Table1[[#This Row],[Date]])</f>
        <v>4</v>
      </c>
      <c r="J1344" t="str">
        <f t="shared" si="81"/>
        <v>Q2</v>
      </c>
      <c r="K1344" t="str">
        <f t="shared" si="82"/>
        <v>Apr-2024</v>
      </c>
      <c r="L1344" t="str">
        <f t="shared" si="83"/>
        <v>High</v>
      </c>
    </row>
    <row r="1345" spans="1:12" x14ac:dyDescent="0.3">
      <c r="A1345">
        <v>2024</v>
      </c>
      <c r="B1345" s="2" t="s">
        <v>20</v>
      </c>
      <c r="C1345" t="s">
        <v>17</v>
      </c>
      <c r="D1345" t="s">
        <v>15</v>
      </c>
      <c r="E1345">
        <v>28.32</v>
      </c>
      <c r="F1345">
        <v>174.8</v>
      </c>
      <c r="G1345">
        <v>4.83</v>
      </c>
      <c r="H1345" s="3">
        <f t="shared" si="80"/>
        <v>45383</v>
      </c>
      <c r="I1345">
        <f>MONTH(Table1[[#This Row],[Date]])</f>
        <v>4</v>
      </c>
      <c r="J1345" t="str">
        <f t="shared" si="81"/>
        <v>Q2</v>
      </c>
      <c r="K1345" t="str">
        <f t="shared" si="82"/>
        <v>Apr-2024</v>
      </c>
      <c r="L1345" t="str">
        <f t="shared" si="83"/>
        <v>High</v>
      </c>
    </row>
    <row r="1346" spans="1:12" x14ac:dyDescent="0.3">
      <c r="A1346">
        <v>2024</v>
      </c>
      <c r="B1346" s="2" t="s">
        <v>21</v>
      </c>
      <c r="C1346" t="s">
        <v>8</v>
      </c>
      <c r="D1346" t="s">
        <v>9</v>
      </c>
      <c r="E1346">
        <v>100</v>
      </c>
      <c r="F1346">
        <v>162</v>
      </c>
      <c r="G1346">
        <v>4.5</v>
      </c>
      <c r="H1346" s="3">
        <f t="shared" ref="H1346:H1409" si="84">DATE(A1346,MONTH(DATEVALUE(B1346&amp;" 1")),1)</f>
        <v>45413</v>
      </c>
      <c r="I1346">
        <f>MONTH(Table1[[#This Row],[Date]])</f>
        <v>5</v>
      </c>
      <c r="J1346" t="str">
        <f t="shared" ref="J1346:J1409" si="85">"Q"&amp;ROUNDUP(MONTH(H1346)/3,0)</f>
        <v>Q2</v>
      </c>
      <c r="K1346" t="str">
        <f t="shared" ref="K1346:K1409" si="86">TEXT(H1346,"mmm-yyyy")</f>
        <v>May-2024</v>
      </c>
      <c r="L1346" t="str">
        <f t="shared" ref="L1346:L1409" si="87">IF(G1346&lt;3,"Low",IF(G1346&lt;4,"Medium","High"))</f>
        <v>High</v>
      </c>
    </row>
    <row r="1347" spans="1:12" x14ac:dyDescent="0.3">
      <c r="A1347">
        <v>2024</v>
      </c>
      <c r="B1347" s="2" t="s">
        <v>21</v>
      </c>
      <c r="C1347" t="s">
        <v>8</v>
      </c>
      <c r="D1347" t="s">
        <v>10</v>
      </c>
      <c r="E1347">
        <v>45.86</v>
      </c>
      <c r="F1347">
        <v>164</v>
      </c>
      <c r="G1347">
        <v>4.58</v>
      </c>
      <c r="H1347" s="3">
        <f t="shared" si="84"/>
        <v>45413</v>
      </c>
      <c r="I1347">
        <f>MONTH(Table1[[#This Row],[Date]])</f>
        <v>5</v>
      </c>
      <c r="J1347" t="str">
        <f t="shared" si="85"/>
        <v>Q2</v>
      </c>
      <c r="K1347" t="str">
        <f t="shared" si="86"/>
        <v>May-2024</v>
      </c>
      <c r="L1347" t="str">
        <f t="shared" si="87"/>
        <v>High</v>
      </c>
    </row>
    <row r="1348" spans="1:12" x14ac:dyDescent="0.3">
      <c r="A1348">
        <v>2024</v>
      </c>
      <c r="B1348" s="2" t="s">
        <v>21</v>
      </c>
      <c r="C1348" t="s">
        <v>8</v>
      </c>
      <c r="D1348" t="s">
        <v>11</v>
      </c>
      <c r="E1348">
        <v>2.38</v>
      </c>
      <c r="F1348">
        <v>166</v>
      </c>
      <c r="G1348">
        <v>4.66</v>
      </c>
      <c r="H1348" s="3">
        <f t="shared" si="84"/>
        <v>45413</v>
      </c>
      <c r="I1348">
        <f>MONTH(Table1[[#This Row],[Date]])</f>
        <v>5</v>
      </c>
      <c r="J1348" t="str">
        <f t="shared" si="85"/>
        <v>Q2</v>
      </c>
      <c r="K1348" t="str">
        <f t="shared" si="86"/>
        <v>May-2024</v>
      </c>
      <c r="L1348" t="str">
        <f t="shared" si="87"/>
        <v>High</v>
      </c>
    </row>
    <row r="1349" spans="1:12" x14ac:dyDescent="0.3">
      <c r="A1349">
        <v>2024</v>
      </c>
      <c r="B1349" s="2" t="s">
        <v>21</v>
      </c>
      <c r="C1349" t="s">
        <v>8</v>
      </c>
      <c r="D1349" t="s">
        <v>12</v>
      </c>
      <c r="E1349">
        <v>6.53</v>
      </c>
      <c r="F1349">
        <v>168</v>
      </c>
      <c r="G1349">
        <v>4.74</v>
      </c>
      <c r="H1349" s="3">
        <f t="shared" si="84"/>
        <v>45413</v>
      </c>
      <c r="I1349">
        <f>MONTH(Table1[[#This Row],[Date]])</f>
        <v>5</v>
      </c>
      <c r="J1349" t="str">
        <f t="shared" si="85"/>
        <v>Q2</v>
      </c>
      <c r="K1349" t="str">
        <f t="shared" si="86"/>
        <v>May-2024</v>
      </c>
      <c r="L1349" t="str">
        <f t="shared" si="87"/>
        <v>High</v>
      </c>
    </row>
    <row r="1350" spans="1:12" x14ac:dyDescent="0.3">
      <c r="A1350">
        <v>2024</v>
      </c>
      <c r="B1350" s="2" t="s">
        <v>21</v>
      </c>
      <c r="C1350" t="s">
        <v>8</v>
      </c>
      <c r="D1350" t="s">
        <v>13</v>
      </c>
      <c r="E1350">
        <v>10.07</v>
      </c>
      <c r="F1350">
        <v>170</v>
      </c>
      <c r="G1350">
        <v>4.82</v>
      </c>
      <c r="H1350" s="3">
        <f t="shared" si="84"/>
        <v>45413</v>
      </c>
      <c r="I1350">
        <f>MONTH(Table1[[#This Row],[Date]])</f>
        <v>5</v>
      </c>
      <c r="J1350" t="str">
        <f t="shared" si="85"/>
        <v>Q2</v>
      </c>
      <c r="K1350" t="str">
        <f t="shared" si="86"/>
        <v>May-2024</v>
      </c>
      <c r="L1350" t="str">
        <f t="shared" si="87"/>
        <v>High</v>
      </c>
    </row>
    <row r="1351" spans="1:12" x14ac:dyDescent="0.3">
      <c r="A1351">
        <v>2024</v>
      </c>
      <c r="B1351" s="2" t="s">
        <v>21</v>
      </c>
      <c r="C1351" t="s">
        <v>8</v>
      </c>
      <c r="D1351" t="s">
        <v>14</v>
      </c>
      <c r="E1351">
        <v>6.84</v>
      </c>
      <c r="F1351">
        <v>172</v>
      </c>
      <c r="G1351">
        <v>4.9000000000000004</v>
      </c>
      <c r="H1351" s="3">
        <f t="shared" si="84"/>
        <v>45413</v>
      </c>
      <c r="I1351">
        <f>MONTH(Table1[[#This Row],[Date]])</f>
        <v>5</v>
      </c>
      <c r="J1351" t="str">
        <f t="shared" si="85"/>
        <v>Q2</v>
      </c>
      <c r="K1351" t="str">
        <f t="shared" si="86"/>
        <v>May-2024</v>
      </c>
      <c r="L1351" t="str">
        <f t="shared" si="87"/>
        <v>High</v>
      </c>
    </row>
    <row r="1352" spans="1:12" x14ac:dyDescent="0.3">
      <c r="A1352">
        <v>2024</v>
      </c>
      <c r="B1352" s="2" t="s">
        <v>21</v>
      </c>
      <c r="C1352" t="s">
        <v>8</v>
      </c>
      <c r="D1352" t="s">
        <v>15</v>
      </c>
      <c r="E1352">
        <v>28.32</v>
      </c>
      <c r="F1352">
        <v>174</v>
      </c>
      <c r="G1352">
        <v>4.9800000000000004</v>
      </c>
      <c r="H1352" s="3">
        <f t="shared" si="84"/>
        <v>45413</v>
      </c>
      <c r="I1352">
        <f>MONTH(Table1[[#This Row],[Date]])</f>
        <v>5</v>
      </c>
      <c r="J1352" t="str">
        <f t="shared" si="85"/>
        <v>Q2</v>
      </c>
      <c r="K1352" t="str">
        <f t="shared" si="86"/>
        <v>May-2024</v>
      </c>
      <c r="L1352" t="str">
        <f t="shared" si="87"/>
        <v>High</v>
      </c>
    </row>
    <row r="1353" spans="1:12" x14ac:dyDescent="0.3">
      <c r="A1353">
        <v>2024</v>
      </c>
      <c r="B1353" s="2" t="s">
        <v>21</v>
      </c>
      <c r="C1353" t="s">
        <v>16</v>
      </c>
      <c r="D1353" t="s">
        <v>9</v>
      </c>
      <c r="E1353">
        <v>100</v>
      </c>
      <c r="F1353">
        <v>162.6</v>
      </c>
      <c r="G1353">
        <v>4.5</v>
      </c>
      <c r="H1353" s="3">
        <f t="shared" si="84"/>
        <v>45413</v>
      </c>
      <c r="I1353">
        <f>MONTH(Table1[[#This Row],[Date]])</f>
        <v>5</v>
      </c>
      <c r="J1353" t="str">
        <f t="shared" si="85"/>
        <v>Q2</v>
      </c>
      <c r="K1353" t="str">
        <f t="shared" si="86"/>
        <v>May-2024</v>
      </c>
      <c r="L1353" t="str">
        <f t="shared" si="87"/>
        <v>High</v>
      </c>
    </row>
    <row r="1354" spans="1:12" x14ac:dyDescent="0.3">
      <c r="A1354">
        <v>2024</v>
      </c>
      <c r="B1354" s="2" t="s">
        <v>21</v>
      </c>
      <c r="C1354" t="s">
        <v>16</v>
      </c>
      <c r="D1354" t="s">
        <v>10</v>
      </c>
      <c r="E1354">
        <v>45.86</v>
      </c>
      <c r="F1354">
        <v>164.6</v>
      </c>
      <c r="G1354">
        <v>4.58</v>
      </c>
      <c r="H1354" s="3">
        <f t="shared" si="84"/>
        <v>45413</v>
      </c>
      <c r="I1354">
        <f>MONTH(Table1[[#This Row],[Date]])</f>
        <v>5</v>
      </c>
      <c r="J1354" t="str">
        <f t="shared" si="85"/>
        <v>Q2</v>
      </c>
      <c r="K1354" t="str">
        <f t="shared" si="86"/>
        <v>May-2024</v>
      </c>
      <c r="L1354" t="str">
        <f t="shared" si="87"/>
        <v>High</v>
      </c>
    </row>
    <row r="1355" spans="1:12" x14ac:dyDescent="0.3">
      <c r="A1355">
        <v>2024</v>
      </c>
      <c r="B1355" s="2" t="s">
        <v>21</v>
      </c>
      <c r="C1355" t="s">
        <v>16</v>
      </c>
      <c r="D1355" t="s">
        <v>11</v>
      </c>
      <c r="E1355">
        <v>2.38</v>
      </c>
      <c r="F1355">
        <v>166.6</v>
      </c>
      <c r="G1355">
        <v>4.66</v>
      </c>
      <c r="H1355" s="3">
        <f t="shared" si="84"/>
        <v>45413</v>
      </c>
      <c r="I1355">
        <f>MONTH(Table1[[#This Row],[Date]])</f>
        <v>5</v>
      </c>
      <c r="J1355" t="str">
        <f t="shared" si="85"/>
        <v>Q2</v>
      </c>
      <c r="K1355" t="str">
        <f t="shared" si="86"/>
        <v>May-2024</v>
      </c>
      <c r="L1355" t="str">
        <f t="shared" si="87"/>
        <v>High</v>
      </c>
    </row>
    <row r="1356" spans="1:12" x14ac:dyDescent="0.3">
      <c r="A1356">
        <v>2024</v>
      </c>
      <c r="B1356" s="2" t="s">
        <v>21</v>
      </c>
      <c r="C1356" t="s">
        <v>16</v>
      </c>
      <c r="D1356" t="s">
        <v>12</v>
      </c>
      <c r="E1356">
        <v>6.53</v>
      </c>
      <c r="F1356">
        <v>168.6</v>
      </c>
      <c r="G1356">
        <v>4.74</v>
      </c>
      <c r="H1356" s="3">
        <f t="shared" si="84"/>
        <v>45413</v>
      </c>
      <c r="I1356">
        <f>MONTH(Table1[[#This Row],[Date]])</f>
        <v>5</v>
      </c>
      <c r="J1356" t="str">
        <f t="shared" si="85"/>
        <v>Q2</v>
      </c>
      <c r="K1356" t="str">
        <f t="shared" si="86"/>
        <v>May-2024</v>
      </c>
      <c r="L1356" t="str">
        <f t="shared" si="87"/>
        <v>High</v>
      </c>
    </row>
    <row r="1357" spans="1:12" x14ac:dyDescent="0.3">
      <c r="A1357">
        <v>2024</v>
      </c>
      <c r="B1357" s="2" t="s">
        <v>21</v>
      </c>
      <c r="C1357" t="s">
        <v>16</v>
      </c>
      <c r="D1357" t="s">
        <v>13</v>
      </c>
      <c r="E1357">
        <v>10.07</v>
      </c>
      <c r="F1357">
        <v>170.6</v>
      </c>
      <c r="G1357">
        <v>4.82</v>
      </c>
      <c r="H1357" s="3">
        <f t="shared" si="84"/>
        <v>45413</v>
      </c>
      <c r="I1357">
        <f>MONTH(Table1[[#This Row],[Date]])</f>
        <v>5</v>
      </c>
      <c r="J1357" t="str">
        <f t="shared" si="85"/>
        <v>Q2</v>
      </c>
      <c r="K1357" t="str">
        <f t="shared" si="86"/>
        <v>May-2024</v>
      </c>
      <c r="L1357" t="str">
        <f t="shared" si="87"/>
        <v>High</v>
      </c>
    </row>
    <row r="1358" spans="1:12" x14ac:dyDescent="0.3">
      <c r="A1358">
        <v>2024</v>
      </c>
      <c r="B1358" s="2" t="s">
        <v>21</v>
      </c>
      <c r="C1358" t="s">
        <v>16</v>
      </c>
      <c r="D1358" t="s">
        <v>14</v>
      </c>
      <c r="E1358">
        <v>6.84</v>
      </c>
      <c r="F1358">
        <v>172.6</v>
      </c>
      <c r="G1358">
        <v>4.9000000000000004</v>
      </c>
      <c r="H1358" s="3">
        <f t="shared" si="84"/>
        <v>45413</v>
      </c>
      <c r="I1358">
        <f>MONTH(Table1[[#This Row],[Date]])</f>
        <v>5</v>
      </c>
      <c r="J1358" t="str">
        <f t="shared" si="85"/>
        <v>Q2</v>
      </c>
      <c r="K1358" t="str">
        <f t="shared" si="86"/>
        <v>May-2024</v>
      </c>
      <c r="L1358" t="str">
        <f t="shared" si="87"/>
        <v>High</v>
      </c>
    </row>
    <row r="1359" spans="1:12" x14ac:dyDescent="0.3">
      <c r="A1359">
        <v>2024</v>
      </c>
      <c r="B1359" s="2" t="s">
        <v>21</v>
      </c>
      <c r="C1359" t="s">
        <v>16</v>
      </c>
      <c r="D1359" t="s">
        <v>15</v>
      </c>
      <c r="E1359">
        <v>28.32</v>
      </c>
      <c r="F1359">
        <v>174.6</v>
      </c>
      <c r="G1359">
        <v>4.9800000000000004</v>
      </c>
      <c r="H1359" s="3">
        <f t="shared" si="84"/>
        <v>45413</v>
      </c>
      <c r="I1359">
        <f>MONTH(Table1[[#This Row],[Date]])</f>
        <v>5</v>
      </c>
      <c r="J1359" t="str">
        <f t="shared" si="85"/>
        <v>Q2</v>
      </c>
      <c r="K1359" t="str">
        <f t="shared" si="86"/>
        <v>May-2024</v>
      </c>
      <c r="L1359" t="str">
        <f t="shared" si="87"/>
        <v>High</v>
      </c>
    </row>
    <row r="1360" spans="1:12" x14ac:dyDescent="0.3">
      <c r="A1360">
        <v>2024</v>
      </c>
      <c r="B1360" s="2" t="s">
        <v>21</v>
      </c>
      <c r="C1360" t="s">
        <v>17</v>
      </c>
      <c r="D1360" t="s">
        <v>9</v>
      </c>
      <c r="E1360">
        <v>100</v>
      </c>
      <c r="F1360">
        <v>163.19999999999999</v>
      </c>
      <c r="G1360">
        <v>4.5</v>
      </c>
      <c r="H1360" s="3">
        <f t="shared" si="84"/>
        <v>45413</v>
      </c>
      <c r="I1360">
        <f>MONTH(Table1[[#This Row],[Date]])</f>
        <v>5</v>
      </c>
      <c r="J1360" t="str">
        <f t="shared" si="85"/>
        <v>Q2</v>
      </c>
      <c r="K1360" t="str">
        <f t="shared" si="86"/>
        <v>May-2024</v>
      </c>
      <c r="L1360" t="str">
        <f t="shared" si="87"/>
        <v>High</v>
      </c>
    </row>
    <row r="1361" spans="1:12" x14ac:dyDescent="0.3">
      <c r="A1361">
        <v>2024</v>
      </c>
      <c r="B1361" s="2" t="s">
        <v>21</v>
      </c>
      <c r="C1361" t="s">
        <v>17</v>
      </c>
      <c r="D1361" t="s">
        <v>10</v>
      </c>
      <c r="E1361">
        <v>45.86</v>
      </c>
      <c r="F1361">
        <v>165.2</v>
      </c>
      <c r="G1361">
        <v>4.58</v>
      </c>
      <c r="H1361" s="3">
        <f t="shared" si="84"/>
        <v>45413</v>
      </c>
      <c r="I1361">
        <f>MONTH(Table1[[#This Row],[Date]])</f>
        <v>5</v>
      </c>
      <c r="J1361" t="str">
        <f t="shared" si="85"/>
        <v>Q2</v>
      </c>
      <c r="K1361" t="str">
        <f t="shared" si="86"/>
        <v>May-2024</v>
      </c>
      <c r="L1361" t="str">
        <f t="shared" si="87"/>
        <v>High</v>
      </c>
    </row>
    <row r="1362" spans="1:12" x14ac:dyDescent="0.3">
      <c r="A1362">
        <v>2024</v>
      </c>
      <c r="B1362" s="2" t="s">
        <v>21</v>
      </c>
      <c r="C1362" t="s">
        <v>17</v>
      </c>
      <c r="D1362" t="s">
        <v>11</v>
      </c>
      <c r="E1362">
        <v>2.38</v>
      </c>
      <c r="F1362">
        <v>167.2</v>
      </c>
      <c r="G1362">
        <v>4.66</v>
      </c>
      <c r="H1362" s="3">
        <f t="shared" si="84"/>
        <v>45413</v>
      </c>
      <c r="I1362">
        <f>MONTH(Table1[[#This Row],[Date]])</f>
        <v>5</v>
      </c>
      <c r="J1362" t="str">
        <f t="shared" si="85"/>
        <v>Q2</v>
      </c>
      <c r="K1362" t="str">
        <f t="shared" si="86"/>
        <v>May-2024</v>
      </c>
      <c r="L1362" t="str">
        <f t="shared" si="87"/>
        <v>High</v>
      </c>
    </row>
    <row r="1363" spans="1:12" x14ac:dyDescent="0.3">
      <c r="A1363">
        <v>2024</v>
      </c>
      <c r="B1363" s="2" t="s">
        <v>21</v>
      </c>
      <c r="C1363" t="s">
        <v>17</v>
      </c>
      <c r="D1363" t="s">
        <v>12</v>
      </c>
      <c r="E1363">
        <v>6.53</v>
      </c>
      <c r="F1363">
        <v>169.2</v>
      </c>
      <c r="G1363">
        <v>4.74</v>
      </c>
      <c r="H1363" s="3">
        <f t="shared" si="84"/>
        <v>45413</v>
      </c>
      <c r="I1363">
        <f>MONTH(Table1[[#This Row],[Date]])</f>
        <v>5</v>
      </c>
      <c r="J1363" t="str">
        <f t="shared" si="85"/>
        <v>Q2</v>
      </c>
      <c r="K1363" t="str">
        <f t="shared" si="86"/>
        <v>May-2024</v>
      </c>
      <c r="L1363" t="str">
        <f t="shared" si="87"/>
        <v>High</v>
      </c>
    </row>
    <row r="1364" spans="1:12" x14ac:dyDescent="0.3">
      <c r="A1364">
        <v>2024</v>
      </c>
      <c r="B1364" s="2" t="s">
        <v>21</v>
      </c>
      <c r="C1364" t="s">
        <v>17</v>
      </c>
      <c r="D1364" t="s">
        <v>13</v>
      </c>
      <c r="E1364">
        <v>10.07</v>
      </c>
      <c r="F1364">
        <v>171.2</v>
      </c>
      <c r="G1364">
        <v>4.82</v>
      </c>
      <c r="H1364" s="3">
        <f t="shared" si="84"/>
        <v>45413</v>
      </c>
      <c r="I1364">
        <f>MONTH(Table1[[#This Row],[Date]])</f>
        <v>5</v>
      </c>
      <c r="J1364" t="str">
        <f t="shared" si="85"/>
        <v>Q2</v>
      </c>
      <c r="K1364" t="str">
        <f t="shared" si="86"/>
        <v>May-2024</v>
      </c>
      <c r="L1364" t="str">
        <f t="shared" si="87"/>
        <v>High</v>
      </c>
    </row>
    <row r="1365" spans="1:12" x14ac:dyDescent="0.3">
      <c r="A1365">
        <v>2024</v>
      </c>
      <c r="B1365" s="2" t="s">
        <v>21</v>
      </c>
      <c r="C1365" t="s">
        <v>17</v>
      </c>
      <c r="D1365" t="s">
        <v>14</v>
      </c>
      <c r="E1365">
        <v>6.84</v>
      </c>
      <c r="F1365">
        <v>173.2</v>
      </c>
      <c r="G1365">
        <v>4.9000000000000004</v>
      </c>
      <c r="H1365" s="3">
        <f t="shared" si="84"/>
        <v>45413</v>
      </c>
      <c r="I1365">
        <f>MONTH(Table1[[#This Row],[Date]])</f>
        <v>5</v>
      </c>
      <c r="J1365" t="str">
        <f t="shared" si="85"/>
        <v>Q2</v>
      </c>
      <c r="K1365" t="str">
        <f t="shared" si="86"/>
        <v>May-2024</v>
      </c>
      <c r="L1365" t="str">
        <f t="shared" si="87"/>
        <v>High</v>
      </c>
    </row>
    <row r="1366" spans="1:12" x14ac:dyDescent="0.3">
      <c r="A1366">
        <v>2024</v>
      </c>
      <c r="B1366" s="2" t="s">
        <v>21</v>
      </c>
      <c r="C1366" t="s">
        <v>17</v>
      </c>
      <c r="D1366" t="s">
        <v>15</v>
      </c>
      <c r="E1366">
        <v>28.32</v>
      </c>
      <c r="F1366">
        <v>175.2</v>
      </c>
      <c r="G1366">
        <v>4.9800000000000004</v>
      </c>
      <c r="H1366" s="3">
        <f t="shared" si="84"/>
        <v>45413</v>
      </c>
      <c r="I1366">
        <f>MONTH(Table1[[#This Row],[Date]])</f>
        <v>5</v>
      </c>
      <c r="J1366" t="str">
        <f t="shared" si="85"/>
        <v>Q2</v>
      </c>
      <c r="K1366" t="str">
        <f t="shared" si="86"/>
        <v>May-2024</v>
      </c>
      <c r="L1366" t="str">
        <f t="shared" si="87"/>
        <v>High</v>
      </c>
    </row>
    <row r="1367" spans="1:12" x14ac:dyDescent="0.3">
      <c r="A1367">
        <v>2024</v>
      </c>
      <c r="B1367" s="2" t="s">
        <v>22</v>
      </c>
      <c r="C1367" t="s">
        <v>8</v>
      </c>
      <c r="D1367" t="s">
        <v>9</v>
      </c>
      <c r="E1367">
        <v>100</v>
      </c>
      <c r="F1367">
        <v>162.4</v>
      </c>
      <c r="G1367">
        <v>3.75</v>
      </c>
      <c r="H1367" s="3">
        <f t="shared" si="84"/>
        <v>45444</v>
      </c>
      <c r="I1367">
        <f>MONTH(Table1[[#This Row],[Date]])</f>
        <v>6</v>
      </c>
      <c r="J1367" t="str">
        <f t="shared" si="85"/>
        <v>Q2</v>
      </c>
      <c r="K1367" t="str">
        <f t="shared" si="86"/>
        <v>Jun-2024</v>
      </c>
      <c r="L1367" t="str">
        <f t="shared" si="87"/>
        <v>Medium</v>
      </c>
    </row>
    <row r="1368" spans="1:12" x14ac:dyDescent="0.3">
      <c r="A1368">
        <v>2024</v>
      </c>
      <c r="B1368" s="2" t="s">
        <v>22</v>
      </c>
      <c r="C1368" t="s">
        <v>8</v>
      </c>
      <c r="D1368" t="s">
        <v>10</v>
      </c>
      <c r="E1368">
        <v>45.86</v>
      </c>
      <c r="F1368">
        <v>164.4</v>
      </c>
      <c r="G1368">
        <v>3.83</v>
      </c>
      <c r="H1368" s="3">
        <f t="shared" si="84"/>
        <v>45444</v>
      </c>
      <c r="I1368">
        <f>MONTH(Table1[[#This Row],[Date]])</f>
        <v>6</v>
      </c>
      <c r="J1368" t="str">
        <f t="shared" si="85"/>
        <v>Q2</v>
      </c>
      <c r="K1368" t="str">
        <f t="shared" si="86"/>
        <v>Jun-2024</v>
      </c>
      <c r="L1368" t="str">
        <f t="shared" si="87"/>
        <v>Medium</v>
      </c>
    </row>
    <row r="1369" spans="1:12" x14ac:dyDescent="0.3">
      <c r="A1369">
        <v>2024</v>
      </c>
      <c r="B1369" s="2" t="s">
        <v>22</v>
      </c>
      <c r="C1369" t="s">
        <v>8</v>
      </c>
      <c r="D1369" t="s">
        <v>11</v>
      </c>
      <c r="E1369">
        <v>2.38</v>
      </c>
      <c r="F1369">
        <v>166.4</v>
      </c>
      <c r="G1369">
        <v>3.91</v>
      </c>
      <c r="H1369" s="3">
        <f t="shared" si="84"/>
        <v>45444</v>
      </c>
      <c r="I1369">
        <f>MONTH(Table1[[#This Row],[Date]])</f>
        <v>6</v>
      </c>
      <c r="J1369" t="str">
        <f t="shared" si="85"/>
        <v>Q2</v>
      </c>
      <c r="K1369" t="str">
        <f t="shared" si="86"/>
        <v>Jun-2024</v>
      </c>
      <c r="L1369" t="str">
        <f t="shared" si="87"/>
        <v>Medium</v>
      </c>
    </row>
    <row r="1370" spans="1:12" x14ac:dyDescent="0.3">
      <c r="A1370">
        <v>2024</v>
      </c>
      <c r="B1370" s="2" t="s">
        <v>22</v>
      </c>
      <c r="C1370" t="s">
        <v>8</v>
      </c>
      <c r="D1370" t="s">
        <v>12</v>
      </c>
      <c r="E1370">
        <v>6.53</v>
      </c>
      <c r="F1370">
        <v>168.4</v>
      </c>
      <c r="G1370">
        <v>3.99</v>
      </c>
      <c r="H1370" s="3">
        <f t="shared" si="84"/>
        <v>45444</v>
      </c>
      <c r="I1370">
        <f>MONTH(Table1[[#This Row],[Date]])</f>
        <v>6</v>
      </c>
      <c r="J1370" t="str">
        <f t="shared" si="85"/>
        <v>Q2</v>
      </c>
      <c r="K1370" t="str">
        <f t="shared" si="86"/>
        <v>Jun-2024</v>
      </c>
      <c r="L1370" t="str">
        <f t="shared" si="87"/>
        <v>Medium</v>
      </c>
    </row>
    <row r="1371" spans="1:12" x14ac:dyDescent="0.3">
      <c r="A1371">
        <v>2024</v>
      </c>
      <c r="B1371" s="2" t="s">
        <v>22</v>
      </c>
      <c r="C1371" t="s">
        <v>8</v>
      </c>
      <c r="D1371" t="s">
        <v>13</v>
      </c>
      <c r="E1371">
        <v>10.07</v>
      </c>
      <c r="F1371">
        <v>170.4</v>
      </c>
      <c r="G1371">
        <v>4.07</v>
      </c>
      <c r="H1371" s="3">
        <f t="shared" si="84"/>
        <v>45444</v>
      </c>
      <c r="I1371">
        <f>MONTH(Table1[[#This Row],[Date]])</f>
        <v>6</v>
      </c>
      <c r="J1371" t="str">
        <f t="shared" si="85"/>
        <v>Q2</v>
      </c>
      <c r="K1371" t="str">
        <f t="shared" si="86"/>
        <v>Jun-2024</v>
      </c>
      <c r="L1371" t="str">
        <f t="shared" si="87"/>
        <v>High</v>
      </c>
    </row>
    <row r="1372" spans="1:12" x14ac:dyDescent="0.3">
      <c r="A1372">
        <v>2024</v>
      </c>
      <c r="B1372" s="2" t="s">
        <v>22</v>
      </c>
      <c r="C1372" t="s">
        <v>8</v>
      </c>
      <c r="D1372" t="s">
        <v>14</v>
      </c>
      <c r="E1372">
        <v>6.84</v>
      </c>
      <c r="F1372">
        <v>172.4</v>
      </c>
      <c r="G1372">
        <v>4.1500000000000004</v>
      </c>
      <c r="H1372" s="3">
        <f t="shared" si="84"/>
        <v>45444</v>
      </c>
      <c r="I1372">
        <f>MONTH(Table1[[#This Row],[Date]])</f>
        <v>6</v>
      </c>
      <c r="J1372" t="str">
        <f t="shared" si="85"/>
        <v>Q2</v>
      </c>
      <c r="K1372" t="str">
        <f t="shared" si="86"/>
        <v>Jun-2024</v>
      </c>
      <c r="L1372" t="str">
        <f t="shared" si="87"/>
        <v>High</v>
      </c>
    </row>
    <row r="1373" spans="1:12" x14ac:dyDescent="0.3">
      <c r="A1373">
        <v>2024</v>
      </c>
      <c r="B1373" s="2" t="s">
        <v>22</v>
      </c>
      <c r="C1373" t="s">
        <v>8</v>
      </c>
      <c r="D1373" t="s">
        <v>15</v>
      </c>
      <c r="E1373">
        <v>28.32</v>
      </c>
      <c r="F1373">
        <v>174.4</v>
      </c>
      <c r="G1373">
        <v>4.2300000000000004</v>
      </c>
      <c r="H1373" s="3">
        <f t="shared" si="84"/>
        <v>45444</v>
      </c>
      <c r="I1373">
        <f>MONTH(Table1[[#This Row],[Date]])</f>
        <v>6</v>
      </c>
      <c r="J1373" t="str">
        <f t="shared" si="85"/>
        <v>Q2</v>
      </c>
      <c r="K1373" t="str">
        <f t="shared" si="86"/>
        <v>Jun-2024</v>
      </c>
      <c r="L1373" t="str">
        <f t="shared" si="87"/>
        <v>High</v>
      </c>
    </row>
    <row r="1374" spans="1:12" x14ac:dyDescent="0.3">
      <c r="A1374">
        <v>2024</v>
      </c>
      <c r="B1374" s="2" t="s">
        <v>22</v>
      </c>
      <c r="C1374" t="s">
        <v>16</v>
      </c>
      <c r="D1374" t="s">
        <v>9</v>
      </c>
      <c r="E1374">
        <v>100</v>
      </c>
      <c r="F1374">
        <v>163</v>
      </c>
      <c r="G1374">
        <v>3.75</v>
      </c>
      <c r="H1374" s="3">
        <f t="shared" si="84"/>
        <v>45444</v>
      </c>
      <c r="I1374">
        <f>MONTH(Table1[[#This Row],[Date]])</f>
        <v>6</v>
      </c>
      <c r="J1374" t="str">
        <f t="shared" si="85"/>
        <v>Q2</v>
      </c>
      <c r="K1374" t="str">
        <f t="shared" si="86"/>
        <v>Jun-2024</v>
      </c>
      <c r="L1374" t="str">
        <f t="shared" si="87"/>
        <v>Medium</v>
      </c>
    </row>
    <row r="1375" spans="1:12" x14ac:dyDescent="0.3">
      <c r="A1375">
        <v>2024</v>
      </c>
      <c r="B1375" s="2" t="s">
        <v>22</v>
      </c>
      <c r="C1375" t="s">
        <v>16</v>
      </c>
      <c r="D1375" t="s">
        <v>10</v>
      </c>
      <c r="E1375">
        <v>45.86</v>
      </c>
      <c r="F1375">
        <v>165</v>
      </c>
      <c r="G1375">
        <v>3.83</v>
      </c>
      <c r="H1375" s="3">
        <f t="shared" si="84"/>
        <v>45444</v>
      </c>
      <c r="I1375">
        <f>MONTH(Table1[[#This Row],[Date]])</f>
        <v>6</v>
      </c>
      <c r="J1375" t="str">
        <f t="shared" si="85"/>
        <v>Q2</v>
      </c>
      <c r="K1375" t="str">
        <f t="shared" si="86"/>
        <v>Jun-2024</v>
      </c>
      <c r="L1375" t="str">
        <f t="shared" si="87"/>
        <v>Medium</v>
      </c>
    </row>
    <row r="1376" spans="1:12" x14ac:dyDescent="0.3">
      <c r="A1376">
        <v>2024</v>
      </c>
      <c r="B1376" s="2" t="s">
        <v>22</v>
      </c>
      <c r="C1376" t="s">
        <v>16</v>
      </c>
      <c r="D1376" t="s">
        <v>11</v>
      </c>
      <c r="E1376">
        <v>2.38</v>
      </c>
      <c r="F1376">
        <v>167</v>
      </c>
      <c r="G1376">
        <v>3.91</v>
      </c>
      <c r="H1376" s="3">
        <f t="shared" si="84"/>
        <v>45444</v>
      </c>
      <c r="I1376">
        <f>MONTH(Table1[[#This Row],[Date]])</f>
        <v>6</v>
      </c>
      <c r="J1376" t="str">
        <f t="shared" si="85"/>
        <v>Q2</v>
      </c>
      <c r="K1376" t="str">
        <f t="shared" si="86"/>
        <v>Jun-2024</v>
      </c>
      <c r="L1376" t="str">
        <f t="shared" si="87"/>
        <v>Medium</v>
      </c>
    </row>
    <row r="1377" spans="1:12" x14ac:dyDescent="0.3">
      <c r="A1377">
        <v>2024</v>
      </c>
      <c r="B1377" s="2" t="s">
        <v>22</v>
      </c>
      <c r="C1377" t="s">
        <v>16</v>
      </c>
      <c r="D1377" t="s">
        <v>12</v>
      </c>
      <c r="E1377">
        <v>6.53</v>
      </c>
      <c r="F1377">
        <v>169</v>
      </c>
      <c r="G1377">
        <v>3.99</v>
      </c>
      <c r="H1377" s="3">
        <f t="shared" si="84"/>
        <v>45444</v>
      </c>
      <c r="I1377">
        <f>MONTH(Table1[[#This Row],[Date]])</f>
        <v>6</v>
      </c>
      <c r="J1377" t="str">
        <f t="shared" si="85"/>
        <v>Q2</v>
      </c>
      <c r="K1377" t="str">
        <f t="shared" si="86"/>
        <v>Jun-2024</v>
      </c>
      <c r="L1377" t="str">
        <f t="shared" si="87"/>
        <v>Medium</v>
      </c>
    </row>
    <row r="1378" spans="1:12" x14ac:dyDescent="0.3">
      <c r="A1378">
        <v>2024</v>
      </c>
      <c r="B1378" s="2" t="s">
        <v>22</v>
      </c>
      <c r="C1378" t="s">
        <v>16</v>
      </c>
      <c r="D1378" t="s">
        <v>13</v>
      </c>
      <c r="E1378">
        <v>10.07</v>
      </c>
      <c r="F1378">
        <v>171</v>
      </c>
      <c r="G1378">
        <v>4.07</v>
      </c>
      <c r="H1378" s="3">
        <f t="shared" si="84"/>
        <v>45444</v>
      </c>
      <c r="I1378">
        <f>MONTH(Table1[[#This Row],[Date]])</f>
        <v>6</v>
      </c>
      <c r="J1378" t="str">
        <f t="shared" si="85"/>
        <v>Q2</v>
      </c>
      <c r="K1378" t="str">
        <f t="shared" si="86"/>
        <v>Jun-2024</v>
      </c>
      <c r="L1378" t="str">
        <f t="shared" si="87"/>
        <v>High</v>
      </c>
    </row>
    <row r="1379" spans="1:12" x14ac:dyDescent="0.3">
      <c r="A1379">
        <v>2024</v>
      </c>
      <c r="B1379" s="2" t="s">
        <v>22</v>
      </c>
      <c r="C1379" t="s">
        <v>16</v>
      </c>
      <c r="D1379" t="s">
        <v>14</v>
      </c>
      <c r="E1379">
        <v>6.84</v>
      </c>
      <c r="F1379">
        <v>173</v>
      </c>
      <c r="G1379">
        <v>4.1500000000000004</v>
      </c>
      <c r="H1379" s="3">
        <f t="shared" si="84"/>
        <v>45444</v>
      </c>
      <c r="I1379">
        <f>MONTH(Table1[[#This Row],[Date]])</f>
        <v>6</v>
      </c>
      <c r="J1379" t="str">
        <f t="shared" si="85"/>
        <v>Q2</v>
      </c>
      <c r="K1379" t="str">
        <f t="shared" si="86"/>
        <v>Jun-2024</v>
      </c>
      <c r="L1379" t="str">
        <f t="shared" si="87"/>
        <v>High</v>
      </c>
    </row>
    <row r="1380" spans="1:12" x14ac:dyDescent="0.3">
      <c r="A1380">
        <v>2024</v>
      </c>
      <c r="B1380" s="2" t="s">
        <v>22</v>
      </c>
      <c r="C1380" t="s">
        <v>16</v>
      </c>
      <c r="D1380" t="s">
        <v>15</v>
      </c>
      <c r="E1380">
        <v>28.32</v>
      </c>
      <c r="F1380">
        <v>175</v>
      </c>
      <c r="G1380">
        <v>4.2300000000000004</v>
      </c>
      <c r="H1380" s="3">
        <f t="shared" si="84"/>
        <v>45444</v>
      </c>
      <c r="I1380">
        <f>MONTH(Table1[[#This Row],[Date]])</f>
        <v>6</v>
      </c>
      <c r="J1380" t="str">
        <f t="shared" si="85"/>
        <v>Q2</v>
      </c>
      <c r="K1380" t="str">
        <f t="shared" si="86"/>
        <v>Jun-2024</v>
      </c>
      <c r="L1380" t="str">
        <f t="shared" si="87"/>
        <v>High</v>
      </c>
    </row>
    <row r="1381" spans="1:12" x14ac:dyDescent="0.3">
      <c r="A1381">
        <v>2024</v>
      </c>
      <c r="B1381" s="2" t="s">
        <v>22</v>
      </c>
      <c r="C1381" t="s">
        <v>17</v>
      </c>
      <c r="D1381" t="s">
        <v>9</v>
      </c>
      <c r="E1381">
        <v>100</v>
      </c>
      <c r="F1381">
        <v>163.6</v>
      </c>
      <c r="G1381">
        <v>3.75</v>
      </c>
      <c r="H1381" s="3">
        <f t="shared" si="84"/>
        <v>45444</v>
      </c>
      <c r="I1381">
        <f>MONTH(Table1[[#This Row],[Date]])</f>
        <v>6</v>
      </c>
      <c r="J1381" t="str">
        <f t="shared" si="85"/>
        <v>Q2</v>
      </c>
      <c r="K1381" t="str">
        <f t="shared" si="86"/>
        <v>Jun-2024</v>
      </c>
      <c r="L1381" t="str">
        <f t="shared" si="87"/>
        <v>Medium</v>
      </c>
    </row>
    <row r="1382" spans="1:12" x14ac:dyDescent="0.3">
      <c r="A1382">
        <v>2024</v>
      </c>
      <c r="B1382" s="2" t="s">
        <v>22</v>
      </c>
      <c r="C1382" t="s">
        <v>17</v>
      </c>
      <c r="D1382" t="s">
        <v>10</v>
      </c>
      <c r="E1382">
        <v>45.86</v>
      </c>
      <c r="F1382">
        <v>165.6</v>
      </c>
      <c r="G1382">
        <v>3.83</v>
      </c>
      <c r="H1382" s="3">
        <f t="shared" si="84"/>
        <v>45444</v>
      </c>
      <c r="I1382">
        <f>MONTH(Table1[[#This Row],[Date]])</f>
        <v>6</v>
      </c>
      <c r="J1382" t="str">
        <f t="shared" si="85"/>
        <v>Q2</v>
      </c>
      <c r="K1382" t="str">
        <f t="shared" si="86"/>
        <v>Jun-2024</v>
      </c>
      <c r="L1382" t="str">
        <f t="shared" si="87"/>
        <v>Medium</v>
      </c>
    </row>
    <row r="1383" spans="1:12" x14ac:dyDescent="0.3">
      <c r="A1383">
        <v>2024</v>
      </c>
      <c r="B1383" s="2" t="s">
        <v>22</v>
      </c>
      <c r="C1383" t="s">
        <v>17</v>
      </c>
      <c r="D1383" t="s">
        <v>11</v>
      </c>
      <c r="E1383">
        <v>2.38</v>
      </c>
      <c r="F1383">
        <v>167.6</v>
      </c>
      <c r="G1383">
        <v>3.91</v>
      </c>
      <c r="H1383" s="3">
        <f t="shared" si="84"/>
        <v>45444</v>
      </c>
      <c r="I1383">
        <f>MONTH(Table1[[#This Row],[Date]])</f>
        <v>6</v>
      </c>
      <c r="J1383" t="str">
        <f t="shared" si="85"/>
        <v>Q2</v>
      </c>
      <c r="K1383" t="str">
        <f t="shared" si="86"/>
        <v>Jun-2024</v>
      </c>
      <c r="L1383" t="str">
        <f t="shared" si="87"/>
        <v>Medium</v>
      </c>
    </row>
    <row r="1384" spans="1:12" x14ac:dyDescent="0.3">
      <c r="A1384">
        <v>2024</v>
      </c>
      <c r="B1384" s="2" t="s">
        <v>22</v>
      </c>
      <c r="C1384" t="s">
        <v>17</v>
      </c>
      <c r="D1384" t="s">
        <v>12</v>
      </c>
      <c r="E1384">
        <v>6.53</v>
      </c>
      <c r="F1384">
        <v>169.6</v>
      </c>
      <c r="G1384">
        <v>3.99</v>
      </c>
      <c r="H1384" s="3">
        <f t="shared" si="84"/>
        <v>45444</v>
      </c>
      <c r="I1384">
        <f>MONTH(Table1[[#This Row],[Date]])</f>
        <v>6</v>
      </c>
      <c r="J1384" t="str">
        <f t="shared" si="85"/>
        <v>Q2</v>
      </c>
      <c r="K1384" t="str">
        <f t="shared" si="86"/>
        <v>Jun-2024</v>
      </c>
      <c r="L1384" t="str">
        <f t="shared" si="87"/>
        <v>Medium</v>
      </c>
    </row>
    <row r="1385" spans="1:12" x14ac:dyDescent="0.3">
      <c r="A1385">
        <v>2024</v>
      </c>
      <c r="B1385" s="2" t="s">
        <v>22</v>
      </c>
      <c r="C1385" t="s">
        <v>17</v>
      </c>
      <c r="D1385" t="s">
        <v>13</v>
      </c>
      <c r="E1385">
        <v>10.07</v>
      </c>
      <c r="F1385">
        <v>171.6</v>
      </c>
      <c r="G1385">
        <v>4.07</v>
      </c>
      <c r="H1385" s="3">
        <f t="shared" si="84"/>
        <v>45444</v>
      </c>
      <c r="I1385">
        <f>MONTH(Table1[[#This Row],[Date]])</f>
        <v>6</v>
      </c>
      <c r="J1385" t="str">
        <f t="shared" si="85"/>
        <v>Q2</v>
      </c>
      <c r="K1385" t="str">
        <f t="shared" si="86"/>
        <v>Jun-2024</v>
      </c>
      <c r="L1385" t="str">
        <f t="shared" si="87"/>
        <v>High</v>
      </c>
    </row>
    <row r="1386" spans="1:12" x14ac:dyDescent="0.3">
      <c r="A1386">
        <v>2024</v>
      </c>
      <c r="B1386" s="2" t="s">
        <v>22</v>
      </c>
      <c r="C1386" t="s">
        <v>17</v>
      </c>
      <c r="D1386" t="s">
        <v>14</v>
      </c>
      <c r="E1386">
        <v>6.84</v>
      </c>
      <c r="F1386">
        <v>173.6</v>
      </c>
      <c r="G1386">
        <v>4.1500000000000004</v>
      </c>
      <c r="H1386" s="3">
        <f t="shared" si="84"/>
        <v>45444</v>
      </c>
      <c r="I1386">
        <f>MONTH(Table1[[#This Row],[Date]])</f>
        <v>6</v>
      </c>
      <c r="J1386" t="str">
        <f t="shared" si="85"/>
        <v>Q2</v>
      </c>
      <c r="K1386" t="str">
        <f t="shared" si="86"/>
        <v>Jun-2024</v>
      </c>
      <c r="L1386" t="str">
        <f t="shared" si="87"/>
        <v>High</v>
      </c>
    </row>
    <row r="1387" spans="1:12" x14ac:dyDescent="0.3">
      <c r="A1387">
        <v>2024</v>
      </c>
      <c r="B1387" s="2" t="s">
        <v>22</v>
      </c>
      <c r="C1387" t="s">
        <v>17</v>
      </c>
      <c r="D1387" t="s">
        <v>15</v>
      </c>
      <c r="E1387">
        <v>28.32</v>
      </c>
      <c r="F1387">
        <v>175.6</v>
      </c>
      <c r="G1387">
        <v>4.2300000000000004</v>
      </c>
      <c r="H1387" s="3">
        <f t="shared" si="84"/>
        <v>45444</v>
      </c>
      <c r="I1387">
        <f>MONTH(Table1[[#This Row],[Date]])</f>
        <v>6</v>
      </c>
      <c r="J1387" t="str">
        <f t="shared" si="85"/>
        <v>Q2</v>
      </c>
      <c r="K1387" t="str">
        <f t="shared" si="86"/>
        <v>Jun-2024</v>
      </c>
      <c r="L1387" t="str">
        <f t="shared" si="87"/>
        <v>High</v>
      </c>
    </row>
    <row r="1388" spans="1:12" x14ac:dyDescent="0.3">
      <c r="A1388">
        <v>2024</v>
      </c>
      <c r="B1388" s="2" t="s">
        <v>23</v>
      </c>
      <c r="C1388" t="s">
        <v>8</v>
      </c>
      <c r="D1388" t="s">
        <v>9</v>
      </c>
      <c r="E1388">
        <v>100</v>
      </c>
      <c r="F1388">
        <v>162.80000000000001</v>
      </c>
      <c r="G1388">
        <v>3.9</v>
      </c>
      <c r="H1388" s="3">
        <f t="shared" si="84"/>
        <v>45474</v>
      </c>
      <c r="I1388">
        <f>MONTH(Table1[[#This Row],[Date]])</f>
        <v>7</v>
      </c>
      <c r="J1388" t="str">
        <f t="shared" si="85"/>
        <v>Q3</v>
      </c>
      <c r="K1388" t="str">
        <f t="shared" si="86"/>
        <v>Jul-2024</v>
      </c>
      <c r="L1388" t="str">
        <f t="shared" si="87"/>
        <v>Medium</v>
      </c>
    </row>
    <row r="1389" spans="1:12" x14ac:dyDescent="0.3">
      <c r="A1389">
        <v>2024</v>
      </c>
      <c r="B1389" s="2" t="s">
        <v>23</v>
      </c>
      <c r="C1389" t="s">
        <v>8</v>
      </c>
      <c r="D1389" t="s">
        <v>10</v>
      </c>
      <c r="E1389">
        <v>45.86</v>
      </c>
      <c r="F1389">
        <v>164.8</v>
      </c>
      <c r="G1389">
        <v>3.98</v>
      </c>
      <c r="H1389" s="3">
        <f t="shared" si="84"/>
        <v>45474</v>
      </c>
      <c r="I1389">
        <f>MONTH(Table1[[#This Row],[Date]])</f>
        <v>7</v>
      </c>
      <c r="J1389" t="str">
        <f t="shared" si="85"/>
        <v>Q3</v>
      </c>
      <c r="K1389" t="str">
        <f t="shared" si="86"/>
        <v>Jul-2024</v>
      </c>
      <c r="L1389" t="str">
        <f t="shared" si="87"/>
        <v>Medium</v>
      </c>
    </row>
    <row r="1390" spans="1:12" x14ac:dyDescent="0.3">
      <c r="A1390">
        <v>2024</v>
      </c>
      <c r="B1390" s="2" t="s">
        <v>23</v>
      </c>
      <c r="C1390" t="s">
        <v>8</v>
      </c>
      <c r="D1390" t="s">
        <v>11</v>
      </c>
      <c r="E1390">
        <v>2.38</v>
      </c>
      <c r="F1390">
        <v>166.8</v>
      </c>
      <c r="G1390">
        <v>4.0599999999999996</v>
      </c>
      <c r="H1390" s="3">
        <f t="shared" si="84"/>
        <v>45474</v>
      </c>
      <c r="I1390">
        <f>MONTH(Table1[[#This Row],[Date]])</f>
        <v>7</v>
      </c>
      <c r="J1390" t="str">
        <f t="shared" si="85"/>
        <v>Q3</v>
      </c>
      <c r="K1390" t="str">
        <f t="shared" si="86"/>
        <v>Jul-2024</v>
      </c>
      <c r="L1390" t="str">
        <f t="shared" si="87"/>
        <v>High</v>
      </c>
    </row>
    <row r="1391" spans="1:12" x14ac:dyDescent="0.3">
      <c r="A1391">
        <v>2024</v>
      </c>
      <c r="B1391" s="2" t="s">
        <v>23</v>
      </c>
      <c r="C1391" t="s">
        <v>8</v>
      </c>
      <c r="D1391" t="s">
        <v>12</v>
      </c>
      <c r="E1391">
        <v>6.53</v>
      </c>
      <c r="F1391">
        <v>168.8</v>
      </c>
      <c r="G1391">
        <v>4.1399999999999997</v>
      </c>
      <c r="H1391" s="3">
        <f t="shared" si="84"/>
        <v>45474</v>
      </c>
      <c r="I1391">
        <f>MONTH(Table1[[#This Row],[Date]])</f>
        <v>7</v>
      </c>
      <c r="J1391" t="str">
        <f t="shared" si="85"/>
        <v>Q3</v>
      </c>
      <c r="K1391" t="str">
        <f t="shared" si="86"/>
        <v>Jul-2024</v>
      </c>
      <c r="L1391" t="str">
        <f t="shared" si="87"/>
        <v>High</v>
      </c>
    </row>
    <row r="1392" spans="1:12" x14ac:dyDescent="0.3">
      <c r="A1392">
        <v>2024</v>
      </c>
      <c r="B1392" s="2" t="s">
        <v>23</v>
      </c>
      <c r="C1392" t="s">
        <v>8</v>
      </c>
      <c r="D1392" t="s">
        <v>13</v>
      </c>
      <c r="E1392">
        <v>10.07</v>
      </c>
      <c r="F1392">
        <v>170.8</v>
      </c>
      <c r="G1392">
        <v>4.22</v>
      </c>
      <c r="H1392" s="3">
        <f t="shared" si="84"/>
        <v>45474</v>
      </c>
      <c r="I1392">
        <f>MONTH(Table1[[#This Row],[Date]])</f>
        <v>7</v>
      </c>
      <c r="J1392" t="str">
        <f t="shared" si="85"/>
        <v>Q3</v>
      </c>
      <c r="K1392" t="str">
        <f t="shared" si="86"/>
        <v>Jul-2024</v>
      </c>
      <c r="L1392" t="str">
        <f t="shared" si="87"/>
        <v>High</v>
      </c>
    </row>
    <row r="1393" spans="1:12" x14ac:dyDescent="0.3">
      <c r="A1393">
        <v>2024</v>
      </c>
      <c r="B1393" s="2" t="s">
        <v>23</v>
      </c>
      <c r="C1393" t="s">
        <v>8</v>
      </c>
      <c r="D1393" t="s">
        <v>14</v>
      </c>
      <c r="E1393">
        <v>6.84</v>
      </c>
      <c r="F1393">
        <v>172.8</v>
      </c>
      <c r="G1393">
        <v>4.3</v>
      </c>
      <c r="H1393" s="3">
        <f t="shared" si="84"/>
        <v>45474</v>
      </c>
      <c r="I1393">
        <f>MONTH(Table1[[#This Row],[Date]])</f>
        <v>7</v>
      </c>
      <c r="J1393" t="str">
        <f t="shared" si="85"/>
        <v>Q3</v>
      </c>
      <c r="K1393" t="str">
        <f t="shared" si="86"/>
        <v>Jul-2024</v>
      </c>
      <c r="L1393" t="str">
        <f t="shared" si="87"/>
        <v>High</v>
      </c>
    </row>
    <row r="1394" spans="1:12" x14ac:dyDescent="0.3">
      <c r="A1394">
        <v>2024</v>
      </c>
      <c r="B1394" s="2" t="s">
        <v>23</v>
      </c>
      <c r="C1394" t="s">
        <v>8</v>
      </c>
      <c r="D1394" t="s">
        <v>15</v>
      </c>
      <c r="E1394">
        <v>28.32</v>
      </c>
      <c r="F1394">
        <v>174.8</v>
      </c>
      <c r="G1394">
        <v>4.38</v>
      </c>
      <c r="H1394" s="3">
        <f t="shared" si="84"/>
        <v>45474</v>
      </c>
      <c r="I1394">
        <f>MONTH(Table1[[#This Row],[Date]])</f>
        <v>7</v>
      </c>
      <c r="J1394" t="str">
        <f t="shared" si="85"/>
        <v>Q3</v>
      </c>
      <c r="K1394" t="str">
        <f t="shared" si="86"/>
        <v>Jul-2024</v>
      </c>
      <c r="L1394" t="str">
        <f t="shared" si="87"/>
        <v>High</v>
      </c>
    </row>
    <row r="1395" spans="1:12" x14ac:dyDescent="0.3">
      <c r="A1395">
        <v>2024</v>
      </c>
      <c r="B1395" s="2" t="s">
        <v>23</v>
      </c>
      <c r="C1395" t="s">
        <v>16</v>
      </c>
      <c r="D1395" t="s">
        <v>9</v>
      </c>
      <c r="E1395">
        <v>100</v>
      </c>
      <c r="F1395">
        <v>163.4</v>
      </c>
      <c r="G1395">
        <v>3.9</v>
      </c>
      <c r="H1395" s="3">
        <f t="shared" si="84"/>
        <v>45474</v>
      </c>
      <c r="I1395">
        <f>MONTH(Table1[[#This Row],[Date]])</f>
        <v>7</v>
      </c>
      <c r="J1395" t="str">
        <f t="shared" si="85"/>
        <v>Q3</v>
      </c>
      <c r="K1395" t="str">
        <f t="shared" si="86"/>
        <v>Jul-2024</v>
      </c>
      <c r="L1395" t="str">
        <f t="shared" si="87"/>
        <v>Medium</v>
      </c>
    </row>
    <row r="1396" spans="1:12" x14ac:dyDescent="0.3">
      <c r="A1396">
        <v>2024</v>
      </c>
      <c r="B1396" s="2" t="s">
        <v>23</v>
      </c>
      <c r="C1396" t="s">
        <v>16</v>
      </c>
      <c r="D1396" t="s">
        <v>10</v>
      </c>
      <c r="E1396">
        <v>45.86</v>
      </c>
      <c r="F1396">
        <v>165.4</v>
      </c>
      <c r="G1396">
        <v>3.98</v>
      </c>
      <c r="H1396" s="3">
        <f t="shared" si="84"/>
        <v>45474</v>
      </c>
      <c r="I1396">
        <f>MONTH(Table1[[#This Row],[Date]])</f>
        <v>7</v>
      </c>
      <c r="J1396" t="str">
        <f t="shared" si="85"/>
        <v>Q3</v>
      </c>
      <c r="K1396" t="str">
        <f t="shared" si="86"/>
        <v>Jul-2024</v>
      </c>
      <c r="L1396" t="str">
        <f t="shared" si="87"/>
        <v>Medium</v>
      </c>
    </row>
    <row r="1397" spans="1:12" x14ac:dyDescent="0.3">
      <c r="A1397">
        <v>2024</v>
      </c>
      <c r="B1397" s="2" t="s">
        <v>23</v>
      </c>
      <c r="C1397" t="s">
        <v>16</v>
      </c>
      <c r="D1397" t="s">
        <v>11</v>
      </c>
      <c r="E1397">
        <v>2.38</v>
      </c>
      <c r="F1397">
        <v>167.4</v>
      </c>
      <c r="G1397">
        <v>4.0599999999999996</v>
      </c>
      <c r="H1397" s="3">
        <f t="shared" si="84"/>
        <v>45474</v>
      </c>
      <c r="I1397">
        <f>MONTH(Table1[[#This Row],[Date]])</f>
        <v>7</v>
      </c>
      <c r="J1397" t="str">
        <f t="shared" si="85"/>
        <v>Q3</v>
      </c>
      <c r="K1397" t="str">
        <f t="shared" si="86"/>
        <v>Jul-2024</v>
      </c>
      <c r="L1397" t="str">
        <f t="shared" si="87"/>
        <v>High</v>
      </c>
    </row>
    <row r="1398" spans="1:12" x14ac:dyDescent="0.3">
      <c r="A1398">
        <v>2024</v>
      </c>
      <c r="B1398" s="2" t="s">
        <v>23</v>
      </c>
      <c r="C1398" t="s">
        <v>16</v>
      </c>
      <c r="D1398" t="s">
        <v>12</v>
      </c>
      <c r="E1398">
        <v>6.53</v>
      </c>
      <c r="F1398">
        <v>169.4</v>
      </c>
      <c r="G1398">
        <v>4.1399999999999997</v>
      </c>
      <c r="H1398" s="3">
        <f t="shared" si="84"/>
        <v>45474</v>
      </c>
      <c r="I1398">
        <f>MONTH(Table1[[#This Row],[Date]])</f>
        <v>7</v>
      </c>
      <c r="J1398" t="str">
        <f t="shared" si="85"/>
        <v>Q3</v>
      </c>
      <c r="K1398" t="str">
        <f t="shared" si="86"/>
        <v>Jul-2024</v>
      </c>
      <c r="L1398" t="str">
        <f t="shared" si="87"/>
        <v>High</v>
      </c>
    </row>
    <row r="1399" spans="1:12" x14ac:dyDescent="0.3">
      <c r="A1399">
        <v>2024</v>
      </c>
      <c r="B1399" s="2" t="s">
        <v>23</v>
      </c>
      <c r="C1399" t="s">
        <v>16</v>
      </c>
      <c r="D1399" t="s">
        <v>13</v>
      </c>
      <c r="E1399">
        <v>10.07</v>
      </c>
      <c r="F1399">
        <v>171.4</v>
      </c>
      <c r="G1399">
        <v>4.22</v>
      </c>
      <c r="H1399" s="3">
        <f t="shared" si="84"/>
        <v>45474</v>
      </c>
      <c r="I1399">
        <f>MONTH(Table1[[#This Row],[Date]])</f>
        <v>7</v>
      </c>
      <c r="J1399" t="str">
        <f t="shared" si="85"/>
        <v>Q3</v>
      </c>
      <c r="K1399" t="str">
        <f t="shared" si="86"/>
        <v>Jul-2024</v>
      </c>
      <c r="L1399" t="str">
        <f t="shared" si="87"/>
        <v>High</v>
      </c>
    </row>
    <row r="1400" spans="1:12" x14ac:dyDescent="0.3">
      <c r="A1400">
        <v>2024</v>
      </c>
      <c r="B1400" s="2" t="s">
        <v>23</v>
      </c>
      <c r="C1400" t="s">
        <v>16</v>
      </c>
      <c r="D1400" t="s">
        <v>14</v>
      </c>
      <c r="E1400">
        <v>6.84</v>
      </c>
      <c r="F1400">
        <v>173.4</v>
      </c>
      <c r="G1400">
        <v>4.3</v>
      </c>
      <c r="H1400" s="3">
        <f t="shared" si="84"/>
        <v>45474</v>
      </c>
      <c r="I1400">
        <f>MONTH(Table1[[#This Row],[Date]])</f>
        <v>7</v>
      </c>
      <c r="J1400" t="str">
        <f t="shared" si="85"/>
        <v>Q3</v>
      </c>
      <c r="K1400" t="str">
        <f t="shared" si="86"/>
        <v>Jul-2024</v>
      </c>
      <c r="L1400" t="str">
        <f t="shared" si="87"/>
        <v>High</v>
      </c>
    </row>
    <row r="1401" spans="1:12" x14ac:dyDescent="0.3">
      <c r="A1401">
        <v>2024</v>
      </c>
      <c r="B1401" s="2" t="s">
        <v>23</v>
      </c>
      <c r="C1401" t="s">
        <v>16</v>
      </c>
      <c r="D1401" t="s">
        <v>15</v>
      </c>
      <c r="E1401">
        <v>28.32</v>
      </c>
      <c r="F1401">
        <v>175.4</v>
      </c>
      <c r="G1401">
        <v>4.38</v>
      </c>
      <c r="H1401" s="3">
        <f t="shared" si="84"/>
        <v>45474</v>
      </c>
      <c r="I1401">
        <f>MONTH(Table1[[#This Row],[Date]])</f>
        <v>7</v>
      </c>
      <c r="J1401" t="str">
        <f t="shared" si="85"/>
        <v>Q3</v>
      </c>
      <c r="K1401" t="str">
        <f t="shared" si="86"/>
        <v>Jul-2024</v>
      </c>
      <c r="L1401" t="str">
        <f t="shared" si="87"/>
        <v>High</v>
      </c>
    </row>
    <row r="1402" spans="1:12" x14ac:dyDescent="0.3">
      <c r="A1402">
        <v>2024</v>
      </c>
      <c r="B1402" s="2" t="s">
        <v>23</v>
      </c>
      <c r="C1402" t="s">
        <v>17</v>
      </c>
      <c r="D1402" t="s">
        <v>9</v>
      </c>
      <c r="E1402">
        <v>100</v>
      </c>
      <c r="F1402">
        <v>164</v>
      </c>
      <c r="G1402">
        <v>3.9</v>
      </c>
      <c r="H1402" s="3">
        <f t="shared" si="84"/>
        <v>45474</v>
      </c>
      <c r="I1402">
        <f>MONTH(Table1[[#This Row],[Date]])</f>
        <v>7</v>
      </c>
      <c r="J1402" t="str">
        <f t="shared" si="85"/>
        <v>Q3</v>
      </c>
      <c r="K1402" t="str">
        <f t="shared" si="86"/>
        <v>Jul-2024</v>
      </c>
      <c r="L1402" t="str">
        <f t="shared" si="87"/>
        <v>Medium</v>
      </c>
    </row>
    <row r="1403" spans="1:12" x14ac:dyDescent="0.3">
      <c r="A1403">
        <v>2024</v>
      </c>
      <c r="B1403" s="2" t="s">
        <v>23</v>
      </c>
      <c r="C1403" t="s">
        <v>17</v>
      </c>
      <c r="D1403" t="s">
        <v>10</v>
      </c>
      <c r="E1403">
        <v>45.86</v>
      </c>
      <c r="F1403">
        <v>166</v>
      </c>
      <c r="G1403">
        <v>3.98</v>
      </c>
      <c r="H1403" s="3">
        <f t="shared" si="84"/>
        <v>45474</v>
      </c>
      <c r="I1403">
        <f>MONTH(Table1[[#This Row],[Date]])</f>
        <v>7</v>
      </c>
      <c r="J1403" t="str">
        <f t="shared" si="85"/>
        <v>Q3</v>
      </c>
      <c r="K1403" t="str">
        <f t="shared" si="86"/>
        <v>Jul-2024</v>
      </c>
      <c r="L1403" t="str">
        <f t="shared" si="87"/>
        <v>Medium</v>
      </c>
    </row>
    <row r="1404" spans="1:12" x14ac:dyDescent="0.3">
      <c r="A1404">
        <v>2024</v>
      </c>
      <c r="B1404" s="2" t="s">
        <v>23</v>
      </c>
      <c r="C1404" t="s">
        <v>17</v>
      </c>
      <c r="D1404" t="s">
        <v>11</v>
      </c>
      <c r="E1404">
        <v>2.38</v>
      </c>
      <c r="F1404">
        <v>168</v>
      </c>
      <c r="G1404">
        <v>4.0599999999999996</v>
      </c>
      <c r="H1404" s="3">
        <f t="shared" si="84"/>
        <v>45474</v>
      </c>
      <c r="I1404">
        <f>MONTH(Table1[[#This Row],[Date]])</f>
        <v>7</v>
      </c>
      <c r="J1404" t="str">
        <f t="shared" si="85"/>
        <v>Q3</v>
      </c>
      <c r="K1404" t="str">
        <f t="shared" si="86"/>
        <v>Jul-2024</v>
      </c>
      <c r="L1404" t="str">
        <f t="shared" si="87"/>
        <v>High</v>
      </c>
    </row>
    <row r="1405" spans="1:12" x14ac:dyDescent="0.3">
      <c r="A1405">
        <v>2024</v>
      </c>
      <c r="B1405" s="2" t="s">
        <v>23</v>
      </c>
      <c r="C1405" t="s">
        <v>17</v>
      </c>
      <c r="D1405" t="s">
        <v>12</v>
      </c>
      <c r="E1405">
        <v>6.53</v>
      </c>
      <c r="F1405">
        <v>170</v>
      </c>
      <c r="G1405">
        <v>4.1399999999999997</v>
      </c>
      <c r="H1405" s="3">
        <f t="shared" si="84"/>
        <v>45474</v>
      </c>
      <c r="I1405">
        <f>MONTH(Table1[[#This Row],[Date]])</f>
        <v>7</v>
      </c>
      <c r="J1405" t="str">
        <f t="shared" si="85"/>
        <v>Q3</v>
      </c>
      <c r="K1405" t="str">
        <f t="shared" si="86"/>
        <v>Jul-2024</v>
      </c>
      <c r="L1405" t="str">
        <f t="shared" si="87"/>
        <v>High</v>
      </c>
    </row>
    <row r="1406" spans="1:12" x14ac:dyDescent="0.3">
      <c r="A1406">
        <v>2024</v>
      </c>
      <c r="B1406" s="2" t="s">
        <v>23</v>
      </c>
      <c r="C1406" t="s">
        <v>17</v>
      </c>
      <c r="D1406" t="s">
        <v>13</v>
      </c>
      <c r="E1406">
        <v>10.07</v>
      </c>
      <c r="F1406">
        <v>172</v>
      </c>
      <c r="G1406">
        <v>4.22</v>
      </c>
      <c r="H1406" s="3">
        <f t="shared" si="84"/>
        <v>45474</v>
      </c>
      <c r="I1406">
        <f>MONTH(Table1[[#This Row],[Date]])</f>
        <v>7</v>
      </c>
      <c r="J1406" t="str">
        <f t="shared" si="85"/>
        <v>Q3</v>
      </c>
      <c r="K1406" t="str">
        <f t="shared" si="86"/>
        <v>Jul-2024</v>
      </c>
      <c r="L1406" t="str">
        <f t="shared" si="87"/>
        <v>High</v>
      </c>
    </row>
    <row r="1407" spans="1:12" x14ac:dyDescent="0.3">
      <c r="A1407">
        <v>2024</v>
      </c>
      <c r="B1407" s="2" t="s">
        <v>23</v>
      </c>
      <c r="C1407" t="s">
        <v>17</v>
      </c>
      <c r="D1407" t="s">
        <v>14</v>
      </c>
      <c r="E1407">
        <v>6.84</v>
      </c>
      <c r="F1407">
        <v>174</v>
      </c>
      <c r="G1407">
        <v>4.3</v>
      </c>
      <c r="H1407" s="3">
        <f t="shared" si="84"/>
        <v>45474</v>
      </c>
      <c r="I1407">
        <f>MONTH(Table1[[#This Row],[Date]])</f>
        <v>7</v>
      </c>
      <c r="J1407" t="str">
        <f t="shared" si="85"/>
        <v>Q3</v>
      </c>
      <c r="K1407" t="str">
        <f t="shared" si="86"/>
        <v>Jul-2024</v>
      </c>
      <c r="L1407" t="str">
        <f t="shared" si="87"/>
        <v>High</v>
      </c>
    </row>
    <row r="1408" spans="1:12" x14ac:dyDescent="0.3">
      <c r="A1408">
        <v>2024</v>
      </c>
      <c r="B1408" s="2" t="s">
        <v>23</v>
      </c>
      <c r="C1408" t="s">
        <v>17</v>
      </c>
      <c r="D1408" t="s">
        <v>15</v>
      </c>
      <c r="E1408">
        <v>28.32</v>
      </c>
      <c r="F1408">
        <v>176</v>
      </c>
      <c r="G1408">
        <v>4.38</v>
      </c>
      <c r="H1408" s="3">
        <f t="shared" si="84"/>
        <v>45474</v>
      </c>
      <c r="I1408">
        <f>MONTH(Table1[[#This Row],[Date]])</f>
        <v>7</v>
      </c>
      <c r="J1408" t="str">
        <f t="shared" si="85"/>
        <v>Q3</v>
      </c>
      <c r="K1408" t="str">
        <f t="shared" si="86"/>
        <v>Jul-2024</v>
      </c>
      <c r="L1408" t="str">
        <f t="shared" si="87"/>
        <v>High</v>
      </c>
    </row>
    <row r="1409" spans="1:12" x14ac:dyDescent="0.3">
      <c r="A1409">
        <v>2024</v>
      </c>
      <c r="B1409" s="2" t="s">
        <v>24</v>
      </c>
      <c r="C1409" t="s">
        <v>8</v>
      </c>
      <c r="D1409" t="s">
        <v>9</v>
      </c>
      <c r="E1409">
        <v>100</v>
      </c>
      <c r="F1409">
        <v>163.19999999999999</v>
      </c>
      <c r="G1409">
        <v>4.05</v>
      </c>
      <c r="H1409" s="3">
        <f t="shared" si="84"/>
        <v>45505</v>
      </c>
      <c r="I1409">
        <f>MONTH(Table1[[#This Row],[Date]])</f>
        <v>8</v>
      </c>
      <c r="J1409" t="str">
        <f t="shared" si="85"/>
        <v>Q3</v>
      </c>
      <c r="K1409" t="str">
        <f t="shared" si="86"/>
        <v>Aug-2024</v>
      </c>
      <c r="L1409" t="str">
        <f t="shared" si="87"/>
        <v>High</v>
      </c>
    </row>
    <row r="1410" spans="1:12" x14ac:dyDescent="0.3">
      <c r="A1410">
        <v>2024</v>
      </c>
      <c r="B1410" s="2" t="s">
        <v>24</v>
      </c>
      <c r="C1410" t="s">
        <v>8</v>
      </c>
      <c r="D1410" t="s">
        <v>10</v>
      </c>
      <c r="E1410">
        <v>45.86</v>
      </c>
      <c r="F1410">
        <v>165.2</v>
      </c>
      <c r="G1410">
        <v>4.13</v>
      </c>
      <c r="H1410" s="3">
        <f t="shared" ref="H1410:H1473" si="88">DATE(A1410,MONTH(DATEVALUE(B1410&amp;" 1")),1)</f>
        <v>45505</v>
      </c>
      <c r="I1410">
        <f>MONTH(Table1[[#This Row],[Date]])</f>
        <v>8</v>
      </c>
      <c r="J1410" t="str">
        <f t="shared" ref="J1410:J1473" si="89">"Q"&amp;ROUNDUP(MONTH(H1410)/3,0)</f>
        <v>Q3</v>
      </c>
      <c r="K1410" t="str">
        <f t="shared" ref="K1410:K1473" si="90">TEXT(H1410,"mmm-yyyy")</f>
        <v>Aug-2024</v>
      </c>
      <c r="L1410" t="str">
        <f t="shared" ref="L1410:L1473" si="91">IF(G1410&lt;3,"Low",IF(G1410&lt;4,"Medium","High"))</f>
        <v>High</v>
      </c>
    </row>
    <row r="1411" spans="1:12" x14ac:dyDescent="0.3">
      <c r="A1411">
        <v>2024</v>
      </c>
      <c r="B1411" s="2" t="s">
        <v>24</v>
      </c>
      <c r="C1411" t="s">
        <v>8</v>
      </c>
      <c r="D1411" t="s">
        <v>11</v>
      </c>
      <c r="E1411">
        <v>2.38</v>
      </c>
      <c r="F1411">
        <v>167.2</v>
      </c>
      <c r="G1411">
        <v>4.21</v>
      </c>
      <c r="H1411" s="3">
        <f t="shared" si="88"/>
        <v>45505</v>
      </c>
      <c r="I1411">
        <f>MONTH(Table1[[#This Row],[Date]])</f>
        <v>8</v>
      </c>
      <c r="J1411" t="str">
        <f t="shared" si="89"/>
        <v>Q3</v>
      </c>
      <c r="K1411" t="str">
        <f t="shared" si="90"/>
        <v>Aug-2024</v>
      </c>
      <c r="L1411" t="str">
        <f t="shared" si="91"/>
        <v>High</v>
      </c>
    </row>
    <row r="1412" spans="1:12" x14ac:dyDescent="0.3">
      <c r="A1412">
        <v>2024</v>
      </c>
      <c r="B1412" s="2" t="s">
        <v>24</v>
      </c>
      <c r="C1412" t="s">
        <v>8</v>
      </c>
      <c r="D1412" t="s">
        <v>12</v>
      </c>
      <c r="E1412">
        <v>6.53</v>
      </c>
      <c r="F1412">
        <v>169.2</v>
      </c>
      <c r="G1412">
        <v>4.29</v>
      </c>
      <c r="H1412" s="3">
        <f t="shared" si="88"/>
        <v>45505</v>
      </c>
      <c r="I1412">
        <f>MONTH(Table1[[#This Row],[Date]])</f>
        <v>8</v>
      </c>
      <c r="J1412" t="str">
        <f t="shared" si="89"/>
        <v>Q3</v>
      </c>
      <c r="K1412" t="str">
        <f t="shared" si="90"/>
        <v>Aug-2024</v>
      </c>
      <c r="L1412" t="str">
        <f t="shared" si="91"/>
        <v>High</v>
      </c>
    </row>
    <row r="1413" spans="1:12" x14ac:dyDescent="0.3">
      <c r="A1413">
        <v>2024</v>
      </c>
      <c r="B1413" s="2" t="s">
        <v>24</v>
      </c>
      <c r="C1413" t="s">
        <v>8</v>
      </c>
      <c r="D1413" t="s">
        <v>13</v>
      </c>
      <c r="E1413">
        <v>10.07</v>
      </c>
      <c r="F1413">
        <v>171.2</v>
      </c>
      <c r="G1413">
        <v>4.37</v>
      </c>
      <c r="H1413" s="3">
        <f t="shared" si="88"/>
        <v>45505</v>
      </c>
      <c r="I1413">
        <f>MONTH(Table1[[#This Row],[Date]])</f>
        <v>8</v>
      </c>
      <c r="J1413" t="str">
        <f t="shared" si="89"/>
        <v>Q3</v>
      </c>
      <c r="K1413" t="str">
        <f t="shared" si="90"/>
        <v>Aug-2024</v>
      </c>
      <c r="L1413" t="str">
        <f t="shared" si="91"/>
        <v>High</v>
      </c>
    </row>
    <row r="1414" spans="1:12" x14ac:dyDescent="0.3">
      <c r="A1414">
        <v>2024</v>
      </c>
      <c r="B1414" s="2" t="s">
        <v>24</v>
      </c>
      <c r="C1414" t="s">
        <v>8</v>
      </c>
      <c r="D1414" t="s">
        <v>14</v>
      </c>
      <c r="E1414">
        <v>6.84</v>
      </c>
      <c r="F1414">
        <v>173.2</v>
      </c>
      <c r="G1414">
        <v>4.45</v>
      </c>
      <c r="H1414" s="3">
        <f t="shared" si="88"/>
        <v>45505</v>
      </c>
      <c r="I1414">
        <f>MONTH(Table1[[#This Row],[Date]])</f>
        <v>8</v>
      </c>
      <c r="J1414" t="str">
        <f t="shared" si="89"/>
        <v>Q3</v>
      </c>
      <c r="K1414" t="str">
        <f t="shared" si="90"/>
        <v>Aug-2024</v>
      </c>
      <c r="L1414" t="str">
        <f t="shared" si="91"/>
        <v>High</v>
      </c>
    </row>
    <row r="1415" spans="1:12" x14ac:dyDescent="0.3">
      <c r="A1415">
        <v>2024</v>
      </c>
      <c r="B1415" s="2" t="s">
        <v>24</v>
      </c>
      <c r="C1415" t="s">
        <v>8</v>
      </c>
      <c r="D1415" t="s">
        <v>15</v>
      </c>
      <c r="E1415">
        <v>28.32</v>
      </c>
      <c r="F1415">
        <v>175.2</v>
      </c>
      <c r="G1415">
        <v>4.53</v>
      </c>
      <c r="H1415" s="3">
        <f t="shared" si="88"/>
        <v>45505</v>
      </c>
      <c r="I1415">
        <f>MONTH(Table1[[#This Row],[Date]])</f>
        <v>8</v>
      </c>
      <c r="J1415" t="str">
        <f t="shared" si="89"/>
        <v>Q3</v>
      </c>
      <c r="K1415" t="str">
        <f t="shared" si="90"/>
        <v>Aug-2024</v>
      </c>
      <c r="L1415" t="str">
        <f t="shared" si="91"/>
        <v>High</v>
      </c>
    </row>
    <row r="1416" spans="1:12" x14ac:dyDescent="0.3">
      <c r="A1416">
        <v>2024</v>
      </c>
      <c r="B1416" s="2" t="s">
        <v>24</v>
      </c>
      <c r="C1416" t="s">
        <v>16</v>
      </c>
      <c r="D1416" t="s">
        <v>9</v>
      </c>
      <c r="E1416">
        <v>100</v>
      </c>
      <c r="F1416">
        <v>163.80000000000001</v>
      </c>
      <c r="G1416">
        <v>4.05</v>
      </c>
      <c r="H1416" s="3">
        <f t="shared" si="88"/>
        <v>45505</v>
      </c>
      <c r="I1416">
        <f>MONTH(Table1[[#This Row],[Date]])</f>
        <v>8</v>
      </c>
      <c r="J1416" t="str">
        <f t="shared" si="89"/>
        <v>Q3</v>
      </c>
      <c r="K1416" t="str">
        <f t="shared" si="90"/>
        <v>Aug-2024</v>
      </c>
      <c r="L1416" t="str">
        <f t="shared" si="91"/>
        <v>High</v>
      </c>
    </row>
    <row r="1417" spans="1:12" x14ac:dyDescent="0.3">
      <c r="A1417">
        <v>2024</v>
      </c>
      <c r="B1417" s="2" t="s">
        <v>24</v>
      </c>
      <c r="C1417" t="s">
        <v>16</v>
      </c>
      <c r="D1417" t="s">
        <v>10</v>
      </c>
      <c r="E1417">
        <v>45.86</v>
      </c>
      <c r="F1417">
        <v>165.8</v>
      </c>
      <c r="G1417">
        <v>4.13</v>
      </c>
      <c r="H1417" s="3">
        <f t="shared" si="88"/>
        <v>45505</v>
      </c>
      <c r="I1417">
        <f>MONTH(Table1[[#This Row],[Date]])</f>
        <v>8</v>
      </c>
      <c r="J1417" t="str">
        <f t="shared" si="89"/>
        <v>Q3</v>
      </c>
      <c r="K1417" t="str">
        <f t="shared" si="90"/>
        <v>Aug-2024</v>
      </c>
      <c r="L1417" t="str">
        <f t="shared" si="91"/>
        <v>High</v>
      </c>
    </row>
    <row r="1418" spans="1:12" x14ac:dyDescent="0.3">
      <c r="A1418">
        <v>2024</v>
      </c>
      <c r="B1418" s="2" t="s">
        <v>24</v>
      </c>
      <c r="C1418" t="s">
        <v>16</v>
      </c>
      <c r="D1418" t="s">
        <v>11</v>
      </c>
      <c r="E1418">
        <v>2.38</v>
      </c>
      <c r="F1418">
        <v>167.8</v>
      </c>
      <c r="G1418">
        <v>4.21</v>
      </c>
      <c r="H1418" s="3">
        <f t="shared" si="88"/>
        <v>45505</v>
      </c>
      <c r="I1418">
        <f>MONTH(Table1[[#This Row],[Date]])</f>
        <v>8</v>
      </c>
      <c r="J1418" t="str">
        <f t="shared" si="89"/>
        <v>Q3</v>
      </c>
      <c r="K1418" t="str">
        <f t="shared" si="90"/>
        <v>Aug-2024</v>
      </c>
      <c r="L1418" t="str">
        <f t="shared" si="91"/>
        <v>High</v>
      </c>
    </row>
    <row r="1419" spans="1:12" x14ac:dyDescent="0.3">
      <c r="A1419">
        <v>2024</v>
      </c>
      <c r="B1419" s="2" t="s">
        <v>24</v>
      </c>
      <c r="C1419" t="s">
        <v>16</v>
      </c>
      <c r="D1419" t="s">
        <v>12</v>
      </c>
      <c r="E1419">
        <v>6.53</v>
      </c>
      <c r="F1419">
        <v>169.8</v>
      </c>
      <c r="G1419">
        <v>4.29</v>
      </c>
      <c r="H1419" s="3">
        <f t="shared" si="88"/>
        <v>45505</v>
      </c>
      <c r="I1419">
        <f>MONTH(Table1[[#This Row],[Date]])</f>
        <v>8</v>
      </c>
      <c r="J1419" t="str">
        <f t="shared" si="89"/>
        <v>Q3</v>
      </c>
      <c r="K1419" t="str">
        <f t="shared" si="90"/>
        <v>Aug-2024</v>
      </c>
      <c r="L1419" t="str">
        <f t="shared" si="91"/>
        <v>High</v>
      </c>
    </row>
    <row r="1420" spans="1:12" x14ac:dyDescent="0.3">
      <c r="A1420">
        <v>2024</v>
      </c>
      <c r="B1420" s="2" t="s">
        <v>24</v>
      </c>
      <c r="C1420" t="s">
        <v>16</v>
      </c>
      <c r="D1420" t="s">
        <v>13</v>
      </c>
      <c r="E1420">
        <v>10.07</v>
      </c>
      <c r="F1420">
        <v>171.8</v>
      </c>
      <c r="G1420">
        <v>4.37</v>
      </c>
      <c r="H1420" s="3">
        <f t="shared" si="88"/>
        <v>45505</v>
      </c>
      <c r="I1420">
        <f>MONTH(Table1[[#This Row],[Date]])</f>
        <v>8</v>
      </c>
      <c r="J1420" t="str">
        <f t="shared" si="89"/>
        <v>Q3</v>
      </c>
      <c r="K1420" t="str">
        <f t="shared" si="90"/>
        <v>Aug-2024</v>
      </c>
      <c r="L1420" t="str">
        <f t="shared" si="91"/>
        <v>High</v>
      </c>
    </row>
    <row r="1421" spans="1:12" x14ac:dyDescent="0.3">
      <c r="A1421">
        <v>2024</v>
      </c>
      <c r="B1421" s="2" t="s">
        <v>24</v>
      </c>
      <c r="C1421" t="s">
        <v>16</v>
      </c>
      <c r="D1421" t="s">
        <v>14</v>
      </c>
      <c r="E1421">
        <v>6.84</v>
      </c>
      <c r="F1421">
        <v>173.8</v>
      </c>
      <c r="G1421">
        <v>4.45</v>
      </c>
      <c r="H1421" s="3">
        <f t="shared" si="88"/>
        <v>45505</v>
      </c>
      <c r="I1421">
        <f>MONTH(Table1[[#This Row],[Date]])</f>
        <v>8</v>
      </c>
      <c r="J1421" t="str">
        <f t="shared" si="89"/>
        <v>Q3</v>
      </c>
      <c r="K1421" t="str">
        <f t="shared" si="90"/>
        <v>Aug-2024</v>
      </c>
      <c r="L1421" t="str">
        <f t="shared" si="91"/>
        <v>High</v>
      </c>
    </row>
    <row r="1422" spans="1:12" x14ac:dyDescent="0.3">
      <c r="A1422">
        <v>2024</v>
      </c>
      <c r="B1422" s="2" t="s">
        <v>24</v>
      </c>
      <c r="C1422" t="s">
        <v>16</v>
      </c>
      <c r="D1422" t="s">
        <v>15</v>
      </c>
      <c r="E1422">
        <v>28.32</v>
      </c>
      <c r="F1422">
        <v>175.8</v>
      </c>
      <c r="G1422">
        <v>4.53</v>
      </c>
      <c r="H1422" s="3">
        <f t="shared" si="88"/>
        <v>45505</v>
      </c>
      <c r="I1422">
        <f>MONTH(Table1[[#This Row],[Date]])</f>
        <v>8</v>
      </c>
      <c r="J1422" t="str">
        <f t="shared" si="89"/>
        <v>Q3</v>
      </c>
      <c r="K1422" t="str">
        <f t="shared" si="90"/>
        <v>Aug-2024</v>
      </c>
      <c r="L1422" t="str">
        <f t="shared" si="91"/>
        <v>High</v>
      </c>
    </row>
    <row r="1423" spans="1:12" x14ac:dyDescent="0.3">
      <c r="A1423">
        <v>2024</v>
      </c>
      <c r="B1423" s="2" t="s">
        <v>24</v>
      </c>
      <c r="C1423" t="s">
        <v>17</v>
      </c>
      <c r="D1423" t="s">
        <v>9</v>
      </c>
      <c r="E1423">
        <v>100</v>
      </c>
      <c r="F1423">
        <v>164.4</v>
      </c>
      <c r="G1423">
        <v>4.05</v>
      </c>
      <c r="H1423" s="3">
        <f t="shared" si="88"/>
        <v>45505</v>
      </c>
      <c r="I1423">
        <f>MONTH(Table1[[#This Row],[Date]])</f>
        <v>8</v>
      </c>
      <c r="J1423" t="str">
        <f t="shared" si="89"/>
        <v>Q3</v>
      </c>
      <c r="K1423" t="str">
        <f t="shared" si="90"/>
        <v>Aug-2024</v>
      </c>
      <c r="L1423" t="str">
        <f t="shared" si="91"/>
        <v>High</v>
      </c>
    </row>
    <row r="1424" spans="1:12" x14ac:dyDescent="0.3">
      <c r="A1424">
        <v>2024</v>
      </c>
      <c r="B1424" s="2" t="s">
        <v>24</v>
      </c>
      <c r="C1424" t="s">
        <v>17</v>
      </c>
      <c r="D1424" t="s">
        <v>10</v>
      </c>
      <c r="E1424">
        <v>45.86</v>
      </c>
      <c r="F1424">
        <v>166.4</v>
      </c>
      <c r="G1424">
        <v>4.13</v>
      </c>
      <c r="H1424" s="3">
        <f t="shared" si="88"/>
        <v>45505</v>
      </c>
      <c r="I1424">
        <f>MONTH(Table1[[#This Row],[Date]])</f>
        <v>8</v>
      </c>
      <c r="J1424" t="str">
        <f t="shared" si="89"/>
        <v>Q3</v>
      </c>
      <c r="K1424" t="str">
        <f t="shared" si="90"/>
        <v>Aug-2024</v>
      </c>
      <c r="L1424" t="str">
        <f t="shared" si="91"/>
        <v>High</v>
      </c>
    </row>
    <row r="1425" spans="1:12" x14ac:dyDescent="0.3">
      <c r="A1425">
        <v>2024</v>
      </c>
      <c r="B1425" s="2" t="s">
        <v>24</v>
      </c>
      <c r="C1425" t="s">
        <v>17</v>
      </c>
      <c r="D1425" t="s">
        <v>11</v>
      </c>
      <c r="E1425">
        <v>2.38</v>
      </c>
      <c r="F1425">
        <v>168.4</v>
      </c>
      <c r="G1425">
        <v>4.21</v>
      </c>
      <c r="H1425" s="3">
        <f t="shared" si="88"/>
        <v>45505</v>
      </c>
      <c r="I1425">
        <f>MONTH(Table1[[#This Row],[Date]])</f>
        <v>8</v>
      </c>
      <c r="J1425" t="str">
        <f t="shared" si="89"/>
        <v>Q3</v>
      </c>
      <c r="K1425" t="str">
        <f t="shared" si="90"/>
        <v>Aug-2024</v>
      </c>
      <c r="L1425" t="str">
        <f t="shared" si="91"/>
        <v>High</v>
      </c>
    </row>
    <row r="1426" spans="1:12" x14ac:dyDescent="0.3">
      <c r="A1426">
        <v>2024</v>
      </c>
      <c r="B1426" s="2" t="s">
        <v>24</v>
      </c>
      <c r="C1426" t="s">
        <v>17</v>
      </c>
      <c r="D1426" t="s">
        <v>12</v>
      </c>
      <c r="E1426">
        <v>6.53</v>
      </c>
      <c r="F1426">
        <v>170.4</v>
      </c>
      <c r="G1426">
        <v>4.29</v>
      </c>
      <c r="H1426" s="3">
        <f t="shared" si="88"/>
        <v>45505</v>
      </c>
      <c r="I1426">
        <f>MONTH(Table1[[#This Row],[Date]])</f>
        <v>8</v>
      </c>
      <c r="J1426" t="str">
        <f t="shared" si="89"/>
        <v>Q3</v>
      </c>
      <c r="K1426" t="str">
        <f t="shared" si="90"/>
        <v>Aug-2024</v>
      </c>
      <c r="L1426" t="str">
        <f t="shared" si="91"/>
        <v>High</v>
      </c>
    </row>
    <row r="1427" spans="1:12" x14ac:dyDescent="0.3">
      <c r="A1427">
        <v>2024</v>
      </c>
      <c r="B1427" s="2" t="s">
        <v>24</v>
      </c>
      <c r="C1427" t="s">
        <v>17</v>
      </c>
      <c r="D1427" t="s">
        <v>13</v>
      </c>
      <c r="E1427">
        <v>10.07</v>
      </c>
      <c r="F1427">
        <v>172.4</v>
      </c>
      <c r="G1427">
        <v>4.37</v>
      </c>
      <c r="H1427" s="3">
        <f t="shared" si="88"/>
        <v>45505</v>
      </c>
      <c r="I1427">
        <f>MONTH(Table1[[#This Row],[Date]])</f>
        <v>8</v>
      </c>
      <c r="J1427" t="str">
        <f t="shared" si="89"/>
        <v>Q3</v>
      </c>
      <c r="K1427" t="str">
        <f t="shared" si="90"/>
        <v>Aug-2024</v>
      </c>
      <c r="L1427" t="str">
        <f t="shared" si="91"/>
        <v>High</v>
      </c>
    </row>
    <row r="1428" spans="1:12" x14ac:dyDescent="0.3">
      <c r="A1428">
        <v>2024</v>
      </c>
      <c r="B1428" s="2" t="s">
        <v>24</v>
      </c>
      <c r="C1428" t="s">
        <v>17</v>
      </c>
      <c r="D1428" t="s">
        <v>14</v>
      </c>
      <c r="E1428">
        <v>6.84</v>
      </c>
      <c r="F1428">
        <v>174.4</v>
      </c>
      <c r="G1428">
        <v>4.45</v>
      </c>
      <c r="H1428" s="3">
        <f t="shared" si="88"/>
        <v>45505</v>
      </c>
      <c r="I1428">
        <f>MONTH(Table1[[#This Row],[Date]])</f>
        <v>8</v>
      </c>
      <c r="J1428" t="str">
        <f t="shared" si="89"/>
        <v>Q3</v>
      </c>
      <c r="K1428" t="str">
        <f t="shared" si="90"/>
        <v>Aug-2024</v>
      </c>
      <c r="L1428" t="str">
        <f t="shared" si="91"/>
        <v>High</v>
      </c>
    </row>
    <row r="1429" spans="1:12" x14ac:dyDescent="0.3">
      <c r="A1429">
        <v>2024</v>
      </c>
      <c r="B1429" s="2" t="s">
        <v>24</v>
      </c>
      <c r="C1429" t="s">
        <v>17</v>
      </c>
      <c r="D1429" t="s">
        <v>15</v>
      </c>
      <c r="E1429">
        <v>28.32</v>
      </c>
      <c r="F1429">
        <v>176.4</v>
      </c>
      <c r="G1429">
        <v>4.53</v>
      </c>
      <c r="H1429" s="3">
        <f t="shared" si="88"/>
        <v>45505</v>
      </c>
      <c r="I1429">
        <f>MONTH(Table1[[#This Row],[Date]])</f>
        <v>8</v>
      </c>
      <c r="J1429" t="str">
        <f t="shared" si="89"/>
        <v>Q3</v>
      </c>
      <c r="K1429" t="str">
        <f t="shared" si="90"/>
        <v>Aug-2024</v>
      </c>
      <c r="L1429" t="str">
        <f t="shared" si="91"/>
        <v>High</v>
      </c>
    </row>
    <row r="1430" spans="1:12" x14ac:dyDescent="0.3">
      <c r="A1430">
        <v>2024</v>
      </c>
      <c r="B1430" s="2" t="s">
        <v>25</v>
      </c>
      <c r="C1430" t="s">
        <v>8</v>
      </c>
      <c r="D1430" t="s">
        <v>9</v>
      </c>
      <c r="E1430">
        <v>100</v>
      </c>
      <c r="F1430">
        <v>163.6</v>
      </c>
      <c r="G1430">
        <v>4.2</v>
      </c>
      <c r="H1430" s="3">
        <f t="shared" si="88"/>
        <v>45536</v>
      </c>
      <c r="I1430">
        <f>MONTH(Table1[[#This Row],[Date]])</f>
        <v>9</v>
      </c>
      <c r="J1430" t="str">
        <f t="shared" si="89"/>
        <v>Q3</v>
      </c>
      <c r="K1430" t="str">
        <f t="shared" si="90"/>
        <v>Sept-2024</v>
      </c>
      <c r="L1430" t="str">
        <f t="shared" si="91"/>
        <v>High</v>
      </c>
    </row>
    <row r="1431" spans="1:12" x14ac:dyDescent="0.3">
      <c r="A1431">
        <v>2024</v>
      </c>
      <c r="B1431" s="2" t="s">
        <v>25</v>
      </c>
      <c r="C1431" t="s">
        <v>8</v>
      </c>
      <c r="D1431" t="s">
        <v>10</v>
      </c>
      <c r="E1431">
        <v>45.86</v>
      </c>
      <c r="F1431">
        <v>165.6</v>
      </c>
      <c r="G1431">
        <v>4.28</v>
      </c>
      <c r="H1431" s="3">
        <f t="shared" si="88"/>
        <v>45536</v>
      </c>
      <c r="I1431">
        <f>MONTH(Table1[[#This Row],[Date]])</f>
        <v>9</v>
      </c>
      <c r="J1431" t="str">
        <f t="shared" si="89"/>
        <v>Q3</v>
      </c>
      <c r="K1431" t="str">
        <f t="shared" si="90"/>
        <v>Sept-2024</v>
      </c>
      <c r="L1431" t="str">
        <f t="shared" si="91"/>
        <v>High</v>
      </c>
    </row>
    <row r="1432" spans="1:12" x14ac:dyDescent="0.3">
      <c r="A1432">
        <v>2024</v>
      </c>
      <c r="B1432" s="2" t="s">
        <v>25</v>
      </c>
      <c r="C1432" t="s">
        <v>8</v>
      </c>
      <c r="D1432" t="s">
        <v>11</v>
      </c>
      <c r="E1432">
        <v>2.38</v>
      </c>
      <c r="F1432">
        <v>167.6</v>
      </c>
      <c r="G1432">
        <v>4.3600000000000003</v>
      </c>
      <c r="H1432" s="3">
        <f t="shared" si="88"/>
        <v>45536</v>
      </c>
      <c r="I1432">
        <f>MONTH(Table1[[#This Row],[Date]])</f>
        <v>9</v>
      </c>
      <c r="J1432" t="str">
        <f t="shared" si="89"/>
        <v>Q3</v>
      </c>
      <c r="K1432" t="str">
        <f t="shared" si="90"/>
        <v>Sept-2024</v>
      </c>
      <c r="L1432" t="str">
        <f t="shared" si="91"/>
        <v>High</v>
      </c>
    </row>
    <row r="1433" spans="1:12" x14ac:dyDescent="0.3">
      <c r="A1433">
        <v>2024</v>
      </c>
      <c r="B1433" s="2" t="s">
        <v>25</v>
      </c>
      <c r="C1433" t="s">
        <v>8</v>
      </c>
      <c r="D1433" t="s">
        <v>12</v>
      </c>
      <c r="E1433">
        <v>6.53</v>
      </c>
      <c r="F1433">
        <v>169.6</v>
      </c>
      <c r="G1433">
        <v>4.4400000000000004</v>
      </c>
      <c r="H1433" s="3">
        <f t="shared" si="88"/>
        <v>45536</v>
      </c>
      <c r="I1433">
        <f>MONTH(Table1[[#This Row],[Date]])</f>
        <v>9</v>
      </c>
      <c r="J1433" t="str">
        <f t="shared" si="89"/>
        <v>Q3</v>
      </c>
      <c r="K1433" t="str">
        <f t="shared" si="90"/>
        <v>Sept-2024</v>
      </c>
      <c r="L1433" t="str">
        <f t="shared" si="91"/>
        <v>High</v>
      </c>
    </row>
    <row r="1434" spans="1:12" x14ac:dyDescent="0.3">
      <c r="A1434">
        <v>2024</v>
      </c>
      <c r="B1434" s="2" t="s">
        <v>25</v>
      </c>
      <c r="C1434" t="s">
        <v>8</v>
      </c>
      <c r="D1434" t="s">
        <v>13</v>
      </c>
      <c r="E1434">
        <v>10.07</v>
      </c>
      <c r="F1434">
        <v>171.6</v>
      </c>
      <c r="G1434">
        <v>4.5199999999999996</v>
      </c>
      <c r="H1434" s="3">
        <f t="shared" si="88"/>
        <v>45536</v>
      </c>
      <c r="I1434">
        <f>MONTH(Table1[[#This Row],[Date]])</f>
        <v>9</v>
      </c>
      <c r="J1434" t="str">
        <f t="shared" si="89"/>
        <v>Q3</v>
      </c>
      <c r="K1434" t="str">
        <f t="shared" si="90"/>
        <v>Sept-2024</v>
      </c>
      <c r="L1434" t="str">
        <f t="shared" si="91"/>
        <v>High</v>
      </c>
    </row>
    <row r="1435" spans="1:12" x14ac:dyDescent="0.3">
      <c r="A1435">
        <v>2024</v>
      </c>
      <c r="B1435" s="2" t="s">
        <v>25</v>
      </c>
      <c r="C1435" t="s">
        <v>8</v>
      </c>
      <c r="D1435" t="s">
        <v>14</v>
      </c>
      <c r="E1435">
        <v>6.84</v>
      </c>
      <c r="F1435">
        <v>173.6</v>
      </c>
      <c r="G1435">
        <v>4.5999999999999996</v>
      </c>
      <c r="H1435" s="3">
        <f t="shared" si="88"/>
        <v>45536</v>
      </c>
      <c r="I1435">
        <f>MONTH(Table1[[#This Row],[Date]])</f>
        <v>9</v>
      </c>
      <c r="J1435" t="str">
        <f t="shared" si="89"/>
        <v>Q3</v>
      </c>
      <c r="K1435" t="str">
        <f t="shared" si="90"/>
        <v>Sept-2024</v>
      </c>
      <c r="L1435" t="str">
        <f t="shared" si="91"/>
        <v>High</v>
      </c>
    </row>
    <row r="1436" spans="1:12" x14ac:dyDescent="0.3">
      <c r="A1436">
        <v>2024</v>
      </c>
      <c r="B1436" s="2" t="s">
        <v>25</v>
      </c>
      <c r="C1436" t="s">
        <v>8</v>
      </c>
      <c r="D1436" t="s">
        <v>15</v>
      </c>
      <c r="E1436">
        <v>28.32</v>
      </c>
      <c r="F1436">
        <v>175.6</v>
      </c>
      <c r="G1436">
        <v>4.68</v>
      </c>
      <c r="H1436" s="3">
        <f t="shared" si="88"/>
        <v>45536</v>
      </c>
      <c r="I1436">
        <f>MONTH(Table1[[#This Row],[Date]])</f>
        <v>9</v>
      </c>
      <c r="J1436" t="str">
        <f t="shared" si="89"/>
        <v>Q3</v>
      </c>
      <c r="K1436" t="str">
        <f t="shared" si="90"/>
        <v>Sept-2024</v>
      </c>
      <c r="L1436" t="str">
        <f t="shared" si="91"/>
        <v>High</v>
      </c>
    </row>
    <row r="1437" spans="1:12" x14ac:dyDescent="0.3">
      <c r="A1437">
        <v>2024</v>
      </c>
      <c r="B1437" s="2" t="s">
        <v>25</v>
      </c>
      <c r="C1437" t="s">
        <v>16</v>
      </c>
      <c r="D1437" t="s">
        <v>9</v>
      </c>
      <c r="E1437">
        <v>100</v>
      </c>
      <c r="F1437">
        <v>164.2</v>
      </c>
      <c r="G1437">
        <v>4.2</v>
      </c>
      <c r="H1437" s="3">
        <f t="shared" si="88"/>
        <v>45536</v>
      </c>
      <c r="I1437">
        <f>MONTH(Table1[[#This Row],[Date]])</f>
        <v>9</v>
      </c>
      <c r="J1437" t="str">
        <f t="shared" si="89"/>
        <v>Q3</v>
      </c>
      <c r="K1437" t="str">
        <f t="shared" si="90"/>
        <v>Sept-2024</v>
      </c>
      <c r="L1437" t="str">
        <f t="shared" si="91"/>
        <v>High</v>
      </c>
    </row>
    <row r="1438" spans="1:12" x14ac:dyDescent="0.3">
      <c r="A1438">
        <v>2024</v>
      </c>
      <c r="B1438" s="2" t="s">
        <v>25</v>
      </c>
      <c r="C1438" t="s">
        <v>16</v>
      </c>
      <c r="D1438" t="s">
        <v>10</v>
      </c>
      <c r="E1438">
        <v>45.86</v>
      </c>
      <c r="F1438">
        <v>166.2</v>
      </c>
      <c r="G1438">
        <v>4.28</v>
      </c>
      <c r="H1438" s="3">
        <f t="shared" si="88"/>
        <v>45536</v>
      </c>
      <c r="I1438">
        <f>MONTH(Table1[[#This Row],[Date]])</f>
        <v>9</v>
      </c>
      <c r="J1438" t="str">
        <f t="shared" si="89"/>
        <v>Q3</v>
      </c>
      <c r="K1438" t="str">
        <f t="shared" si="90"/>
        <v>Sept-2024</v>
      </c>
      <c r="L1438" t="str">
        <f t="shared" si="91"/>
        <v>High</v>
      </c>
    </row>
    <row r="1439" spans="1:12" x14ac:dyDescent="0.3">
      <c r="A1439">
        <v>2024</v>
      </c>
      <c r="B1439" s="2" t="s">
        <v>25</v>
      </c>
      <c r="C1439" t="s">
        <v>16</v>
      </c>
      <c r="D1439" t="s">
        <v>11</v>
      </c>
      <c r="E1439">
        <v>2.38</v>
      </c>
      <c r="F1439">
        <v>168.2</v>
      </c>
      <c r="G1439">
        <v>4.3600000000000003</v>
      </c>
      <c r="H1439" s="3">
        <f t="shared" si="88"/>
        <v>45536</v>
      </c>
      <c r="I1439">
        <f>MONTH(Table1[[#This Row],[Date]])</f>
        <v>9</v>
      </c>
      <c r="J1439" t="str">
        <f t="shared" si="89"/>
        <v>Q3</v>
      </c>
      <c r="K1439" t="str">
        <f t="shared" si="90"/>
        <v>Sept-2024</v>
      </c>
      <c r="L1439" t="str">
        <f t="shared" si="91"/>
        <v>High</v>
      </c>
    </row>
    <row r="1440" spans="1:12" x14ac:dyDescent="0.3">
      <c r="A1440">
        <v>2024</v>
      </c>
      <c r="B1440" s="2" t="s">
        <v>25</v>
      </c>
      <c r="C1440" t="s">
        <v>16</v>
      </c>
      <c r="D1440" t="s">
        <v>12</v>
      </c>
      <c r="E1440">
        <v>6.53</v>
      </c>
      <c r="F1440">
        <v>170.2</v>
      </c>
      <c r="G1440">
        <v>4.4400000000000004</v>
      </c>
      <c r="H1440" s="3">
        <f t="shared" si="88"/>
        <v>45536</v>
      </c>
      <c r="I1440">
        <f>MONTH(Table1[[#This Row],[Date]])</f>
        <v>9</v>
      </c>
      <c r="J1440" t="str">
        <f t="shared" si="89"/>
        <v>Q3</v>
      </c>
      <c r="K1440" t="str">
        <f t="shared" si="90"/>
        <v>Sept-2024</v>
      </c>
      <c r="L1440" t="str">
        <f t="shared" si="91"/>
        <v>High</v>
      </c>
    </row>
    <row r="1441" spans="1:12" x14ac:dyDescent="0.3">
      <c r="A1441">
        <v>2024</v>
      </c>
      <c r="B1441" s="2" t="s">
        <v>25</v>
      </c>
      <c r="C1441" t="s">
        <v>16</v>
      </c>
      <c r="D1441" t="s">
        <v>13</v>
      </c>
      <c r="E1441">
        <v>10.07</v>
      </c>
      <c r="F1441">
        <v>172.2</v>
      </c>
      <c r="G1441">
        <v>4.5199999999999996</v>
      </c>
      <c r="H1441" s="3">
        <f t="shared" si="88"/>
        <v>45536</v>
      </c>
      <c r="I1441">
        <f>MONTH(Table1[[#This Row],[Date]])</f>
        <v>9</v>
      </c>
      <c r="J1441" t="str">
        <f t="shared" si="89"/>
        <v>Q3</v>
      </c>
      <c r="K1441" t="str">
        <f t="shared" si="90"/>
        <v>Sept-2024</v>
      </c>
      <c r="L1441" t="str">
        <f t="shared" si="91"/>
        <v>High</v>
      </c>
    </row>
    <row r="1442" spans="1:12" x14ac:dyDescent="0.3">
      <c r="A1442">
        <v>2024</v>
      </c>
      <c r="B1442" s="2" t="s">
        <v>25</v>
      </c>
      <c r="C1442" t="s">
        <v>16</v>
      </c>
      <c r="D1442" t="s">
        <v>14</v>
      </c>
      <c r="E1442">
        <v>6.84</v>
      </c>
      <c r="F1442">
        <v>174.2</v>
      </c>
      <c r="G1442">
        <v>4.5999999999999996</v>
      </c>
      <c r="H1442" s="3">
        <f t="shared" si="88"/>
        <v>45536</v>
      </c>
      <c r="I1442">
        <f>MONTH(Table1[[#This Row],[Date]])</f>
        <v>9</v>
      </c>
      <c r="J1442" t="str">
        <f t="shared" si="89"/>
        <v>Q3</v>
      </c>
      <c r="K1442" t="str">
        <f t="shared" si="90"/>
        <v>Sept-2024</v>
      </c>
      <c r="L1442" t="str">
        <f t="shared" si="91"/>
        <v>High</v>
      </c>
    </row>
    <row r="1443" spans="1:12" x14ac:dyDescent="0.3">
      <c r="A1443">
        <v>2024</v>
      </c>
      <c r="B1443" s="2" t="s">
        <v>25</v>
      </c>
      <c r="C1443" t="s">
        <v>16</v>
      </c>
      <c r="D1443" t="s">
        <v>15</v>
      </c>
      <c r="E1443">
        <v>28.32</v>
      </c>
      <c r="F1443">
        <v>176.2</v>
      </c>
      <c r="G1443">
        <v>4.68</v>
      </c>
      <c r="H1443" s="3">
        <f t="shared" si="88"/>
        <v>45536</v>
      </c>
      <c r="I1443">
        <f>MONTH(Table1[[#This Row],[Date]])</f>
        <v>9</v>
      </c>
      <c r="J1443" t="str">
        <f t="shared" si="89"/>
        <v>Q3</v>
      </c>
      <c r="K1443" t="str">
        <f t="shared" si="90"/>
        <v>Sept-2024</v>
      </c>
      <c r="L1443" t="str">
        <f t="shared" si="91"/>
        <v>High</v>
      </c>
    </row>
    <row r="1444" spans="1:12" x14ac:dyDescent="0.3">
      <c r="A1444">
        <v>2024</v>
      </c>
      <c r="B1444" s="2" t="s">
        <v>25</v>
      </c>
      <c r="C1444" t="s">
        <v>17</v>
      </c>
      <c r="D1444" t="s">
        <v>9</v>
      </c>
      <c r="E1444">
        <v>100</v>
      </c>
      <c r="F1444">
        <v>164.8</v>
      </c>
      <c r="G1444">
        <v>4.2</v>
      </c>
      <c r="H1444" s="3">
        <f t="shared" si="88"/>
        <v>45536</v>
      </c>
      <c r="I1444">
        <f>MONTH(Table1[[#This Row],[Date]])</f>
        <v>9</v>
      </c>
      <c r="J1444" t="str">
        <f t="shared" si="89"/>
        <v>Q3</v>
      </c>
      <c r="K1444" t="str">
        <f t="shared" si="90"/>
        <v>Sept-2024</v>
      </c>
      <c r="L1444" t="str">
        <f t="shared" si="91"/>
        <v>High</v>
      </c>
    </row>
    <row r="1445" spans="1:12" x14ac:dyDescent="0.3">
      <c r="A1445">
        <v>2024</v>
      </c>
      <c r="B1445" s="2" t="s">
        <v>25</v>
      </c>
      <c r="C1445" t="s">
        <v>17</v>
      </c>
      <c r="D1445" t="s">
        <v>10</v>
      </c>
      <c r="E1445">
        <v>45.86</v>
      </c>
      <c r="F1445">
        <v>166.8</v>
      </c>
      <c r="G1445">
        <v>4.28</v>
      </c>
      <c r="H1445" s="3">
        <f t="shared" si="88"/>
        <v>45536</v>
      </c>
      <c r="I1445">
        <f>MONTH(Table1[[#This Row],[Date]])</f>
        <v>9</v>
      </c>
      <c r="J1445" t="str">
        <f t="shared" si="89"/>
        <v>Q3</v>
      </c>
      <c r="K1445" t="str">
        <f t="shared" si="90"/>
        <v>Sept-2024</v>
      </c>
      <c r="L1445" t="str">
        <f t="shared" si="91"/>
        <v>High</v>
      </c>
    </row>
    <row r="1446" spans="1:12" x14ac:dyDescent="0.3">
      <c r="A1446">
        <v>2024</v>
      </c>
      <c r="B1446" s="2" t="s">
        <v>25</v>
      </c>
      <c r="C1446" t="s">
        <v>17</v>
      </c>
      <c r="D1446" t="s">
        <v>11</v>
      </c>
      <c r="E1446">
        <v>2.38</v>
      </c>
      <c r="F1446">
        <v>168.8</v>
      </c>
      <c r="G1446">
        <v>4.3600000000000003</v>
      </c>
      <c r="H1446" s="3">
        <f t="shared" si="88"/>
        <v>45536</v>
      </c>
      <c r="I1446">
        <f>MONTH(Table1[[#This Row],[Date]])</f>
        <v>9</v>
      </c>
      <c r="J1446" t="str">
        <f t="shared" si="89"/>
        <v>Q3</v>
      </c>
      <c r="K1446" t="str">
        <f t="shared" si="90"/>
        <v>Sept-2024</v>
      </c>
      <c r="L1446" t="str">
        <f t="shared" si="91"/>
        <v>High</v>
      </c>
    </row>
    <row r="1447" spans="1:12" x14ac:dyDescent="0.3">
      <c r="A1447">
        <v>2024</v>
      </c>
      <c r="B1447" s="2" t="s">
        <v>25</v>
      </c>
      <c r="C1447" t="s">
        <v>17</v>
      </c>
      <c r="D1447" t="s">
        <v>12</v>
      </c>
      <c r="E1447">
        <v>6.53</v>
      </c>
      <c r="F1447">
        <v>170.8</v>
      </c>
      <c r="G1447">
        <v>4.4400000000000004</v>
      </c>
      <c r="H1447" s="3">
        <f t="shared" si="88"/>
        <v>45536</v>
      </c>
      <c r="I1447">
        <f>MONTH(Table1[[#This Row],[Date]])</f>
        <v>9</v>
      </c>
      <c r="J1447" t="str">
        <f t="shared" si="89"/>
        <v>Q3</v>
      </c>
      <c r="K1447" t="str">
        <f t="shared" si="90"/>
        <v>Sept-2024</v>
      </c>
      <c r="L1447" t="str">
        <f t="shared" si="91"/>
        <v>High</v>
      </c>
    </row>
    <row r="1448" spans="1:12" x14ac:dyDescent="0.3">
      <c r="A1448">
        <v>2024</v>
      </c>
      <c r="B1448" s="2" t="s">
        <v>25</v>
      </c>
      <c r="C1448" t="s">
        <v>17</v>
      </c>
      <c r="D1448" t="s">
        <v>13</v>
      </c>
      <c r="E1448">
        <v>10.07</v>
      </c>
      <c r="F1448">
        <v>172.8</v>
      </c>
      <c r="G1448">
        <v>4.5199999999999996</v>
      </c>
      <c r="H1448" s="3">
        <f t="shared" si="88"/>
        <v>45536</v>
      </c>
      <c r="I1448">
        <f>MONTH(Table1[[#This Row],[Date]])</f>
        <v>9</v>
      </c>
      <c r="J1448" t="str">
        <f t="shared" si="89"/>
        <v>Q3</v>
      </c>
      <c r="K1448" t="str">
        <f t="shared" si="90"/>
        <v>Sept-2024</v>
      </c>
      <c r="L1448" t="str">
        <f t="shared" si="91"/>
        <v>High</v>
      </c>
    </row>
    <row r="1449" spans="1:12" x14ac:dyDescent="0.3">
      <c r="A1449">
        <v>2024</v>
      </c>
      <c r="B1449" s="2" t="s">
        <v>25</v>
      </c>
      <c r="C1449" t="s">
        <v>17</v>
      </c>
      <c r="D1449" t="s">
        <v>14</v>
      </c>
      <c r="E1449">
        <v>6.84</v>
      </c>
      <c r="F1449">
        <v>174.8</v>
      </c>
      <c r="G1449">
        <v>4.5999999999999996</v>
      </c>
      <c r="H1449" s="3">
        <f t="shared" si="88"/>
        <v>45536</v>
      </c>
      <c r="I1449">
        <f>MONTH(Table1[[#This Row],[Date]])</f>
        <v>9</v>
      </c>
      <c r="J1449" t="str">
        <f t="shared" si="89"/>
        <v>Q3</v>
      </c>
      <c r="K1449" t="str">
        <f t="shared" si="90"/>
        <v>Sept-2024</v>
      </c>
      <c r="L1449" t="str">
        <f t="shared" si="91"/>
        <v>High</v>
      </c>
    </row>
    <row r="1450" spans="1:12" x14ac:dyDescent="0.3">
      <c r="A1450">
        <v>2024</v>
      </c>
      <c r="B1450" s="2" t="s">
        <v>25</v>
      </c>
      <c r="C1450" t="s">
        <v>17</v>
      </c>
      <c r="D1450" t="s">
        <v>15</v>
      </c>
      <c r="E1450">
        <v>28.32</v>
      </c>
      <c r="F1450">
        <v>176.8</v>
      </c>
      <c r="G1450">
        <v>4.68</v>
      </c>
      <c r="H1450" s="3">
        <f t="shared" si="88"/>
        <v>45536</v>
      </c>
      <c r="I1450">
        <f>MONTH(Table1[[#This Row],[Date]])</f>
        <v>9</v>
      </c>
      <c r="J1450" t="str">
        <f t="shared" si="89"/>
        <v>Q3</v>
      </c>
      <c r="K1450" t="str">
        <f t="shared" si="90"/>
        <v>Sept-2024</v>
      </c>
      <c r="L1450" t="str">
        <f t="shared" si="91"/>
        <v>High</v>
      </c>
    </row>
    <row r="1451" spans="1:12" x14ac:dyDescent="0.3">
      <c r="A1451">
        <v>2024</v>
      </c>
      <c r="B1451" s="2" t="s">
        <v>26</v>
      </c>
      <c r="C1451" t="s">
        <v>8</v>
      </c>
      <c r="D1451" t="s">
        <v>9</v>
      </c>
      <c r="E1451">
        <v>100</v>
      </c>
      <c r="F1451">
        <v>164</v>
      </c>
      <c r="G1451">
        <v>4.3499999999999996</v>
      </c>
      <c r="H1451" s="3">
        <f t="shared" si="88"/>
        <v>45566</v>
      </c>
      <c r="I1451">
        <f>MONTH(Table1[[#This Row],[Date]])</f>
        <v>10</v>
      </c>
      <c r="J1451" t="str">
        <f t="shared" si="89"/>
        <v>Q4</v>
      </c>
      <c r="K1451" t="str">
        <f t="shared" si="90"/>
        <v>Oct-2024</v>
      </c>
      <c r="L1451" t="str">
        <f t="shared" si="91"/>
        <v>High</v>
      </c>
    </row>
    <row r="1452" spans="1:12" x14ac:dyDescent="0.3">
      <c r="A1452">
        <v>2024</v>
      </c>
      <c r="B1452" s="2" t="s">
        <v>26</v>
      </c>
      <c r="C1452" t="s">
        <v>8</v>
      </c>
      <c r="D1452" t="s">
        <v>10</v>
      </c>
      <c r="E1452">
        <v>45.86</v>
      </c>
      <c r="F1452">
        <v>166</v>
      </c>
      <c r="G1452">
        <v>4.43</v>
      </c>
      <c r="H1452" s="3">
        <f t="shared" si="88"/>
        <v>45566</v>
      </c>
      <c r="I1452">
        <f>MONTH(Table1[[#This Row],[Date]])</f>
        <v>10</v>
      </c>
      <c r="J1452" t="str">
        <f t="shared" si="89"/>
        <v>Q4</v>
      </c>
      <c r="K1452" t="str">
        <f t="shared" si="90"/>
        <v>Oct-2024</v>
      </c>
      <c r="L1452" t="str">
        <f t="shared" si="91"/>
        <v>High</v>
      </c>
    </row>
    <row r="1453" spans="1:12" x14ac:dyDescent="0.3">
      <c r="A1453">
        <v>2024</v>
      </c>
      <c r="B1453" s="2" t="s">
        <v>26</v>
      </c>
      <c r="C1453" t="s">
        <v>8</v>
      </c>
      <c r="D1453" t="s">
        <v>11</v>
      </c>
      <c r="E1453">
        <v>2.38</v>
      </c>
      <c r="F1453">
        <v>168</v>
      </c>
      <c r="G1453">
        <v>4.51</v>
      </c>
      <c r="H1453" s="3">
        <f t="shared" si="88"/>
        <v>45566</v>
      </c>
      <c r="I1453">
        <f>MONTH(Table1[[#This Row],[Date]])</f>
        <v>10</v>
      </c>
      <c r="J1453" t="str">
        <f t="shared" si="89"/>
        <v>Q4</v>
      </c>
      <c r="K1453" t="str">
        <f t="shared" si="90"/>
        <v>Oct-2024</v>
      </c>
      <c r="L1453" t="str">
        <f t="shared" si="91"/>
        <v>High</v>
      </c>
    </row>
    <row r="1454" spans="1:12" x14ac:dyDescent="0.3">
      <c r="A1454">
        <v>2024</v>
      </c>
      <c r="B1454" s="2" t="s">
        <v>26</v>
      </c>
      <c r="C1454" t="s">
        <v>8</v>
      </c>
      <c r="D1454" t="s">
        <v>12</v>
      </c>
      <c r="E1454">
        <v>6.53</v>
      </c>
      <c r="F1454">
        <v>170</v>
      </c>
      <c r="G1454">
        <v>4.59</v>
      </c>
      <c r="H1454" s="3">
        <f t="shared" si="88"/>
        <v>45566</v>
      </c>
      <c r="I1454">
        <f>MONTH(Table1[[#This Row],[Date]])</f>
        <v>10</v>
      </c>
      <c r="J1454" t="str">
        <f t="shared" si="89"/>
        <v>Q4</v>
      </c>
      <c r="K1454" t="str">
        <f t="shared" si="90"/>
        <v>Oct-2024</v>
      </c>
      <c r="L1454" t="str">
        <f t="shared" si="91"/>
        <v>High</v>
      </c>
    </row>
    <row r="1455" spans="1:12" x14ac:dyDescent="0.3">
      <c r="A1455">
        <v>2024</v>
      </c>
      <c r="B1455" s="2" t="s">
        <v>26</v>
      </c>
      <c r="C1455" t="s">
        <v>8</v>
      </c>
      <c r="D1455" t="s">
        <v>13</v>
      </c>
      <c r="E1455">
        <v>10.07</v>
      </c>
      <c r="F1455">
        <v>172</v>
      </c>
      <c r="G1455">
        <v>4.67</v>
      </c>
      <c r="H1455" s="3">
        <f t="shared" si="88"/>
        <v>45566</v>
      </c>
      <c r="I1455">
        <f>MONTH(Table1[[#This Row],[Date]])</f>
        <v>10</v>
      </c>
      <c r="J1455" t="str">
        <f t="shared" si="89"/>
        <v>Q4</v>
      </c>
      <c r="K1455" t="str">
        <f t="shared" si="90"/>
        <v>Oct-2024</v>
      </c>
      <c r="L1455" t="str">
        <f t="shared" si="91"/>
        <v>High</v>
      </c>
    </row>
    <row r="1456" spans="1:12" x14ac:dyDescent="0.3">
      <c r="A1456">
        <v>2024</v>
      </c>
      <c r="B1456" s="2" t="s">
        <v>26</v>
      </c>
      <c r="C1456" t="s">
        <v>8</v>
      </c>
      <c r="D1456" t="s">
        <v>14</v>
      </c>
      <c r="E1456">
        <v>6.84</v>
      </c>
      <c r="F1456">
        <v>174</v>
      </c>
      <c r="G1456">
        <v>4.75</v>
      </c>
      <c r="H1456" s="3">
        <f t="shared" si="88"/>
        <v>45566</v>
      </c>
      <c r="I1456">
        <f>MONTH(Table1[[#This Row],[Date]])</f>
        <v>10</v>
      </c>
      <c r="J1456" t="str">
        <f t="shared" si="89"/>
        <v>Q4</v>
      </c>
      <c r="K1456" t="str">
        <f t="shared" si="90"/>
        <v>Oct-2024</v>
      </c>
      <c r="L1456" t="str">
        <f t="shared" si="91"/>
        <v>High</v>
      </c>
    </row>
    <row r="1457" spans="1:12" x14ac:dyDescent="0.3">
      <c r="A1457">
        <v>2024</v>
      </c>
      <c r="B1457" s="2" t="s">
        <v>26</v>
      </c>
      <c r="C1457" t="s">
        <v>8</v>
      </c>
      <c r="D1457" t="s">
        <v>15</v>
      </c>
      <c r="E1457">
        <v>28.32</v>
      </c>
      <c r="F1457">
        <v>176</v>
      </c>
      <c r="G1457">
        <v>4.83</v>
      </c>
      <c r="H1457" s="3">
        <f t="shared" si="88"/>
        <v>45566</v>
      </c>
      <c r="I1457">
        <f>MONTH(Table1[[#This Row],[Date]])</f>
        <v>10</v>
      </c>
      <c r="J1457" t="str">
        <f t="shared" si="89"/>
        <v>Q4</v>
      </c>
      <c r="K1457" t="str">
        <f t="shared" si="90"/>
        <v>Oct-2024</v>
      </c>
      <c r="L1457" t="str">
        <f t="shared" si="91"/>
        <v>High</v>
      </c>
    </row>
    <row r="1458" spans="1:12" x14ac:dyDescent="0.3">
      <c r="A1458">
        <v>2024</v>
      </c>
      <c r="B1458" s="2" t="s">
        <v>26</v>
      </c>
      <c r="C1458" t="s">
        <v>16</v>
      </c>
      <c r="D1458" t="s">
        <v>9</v>
      </c>
      <c r="E1458">
        <v>100</v>
      </c>
      <c r="F1458">
        <v>164.6</v>
      </c>
      <c r="G1458">
        <v>4.3499999999999996</v>
      </c>
      <c r="H1458" s="3">
        <f t="shared" si="88"/>
        <v>45566</v>
      </c>
      <c r="I1458">
        <f>MONTH(Table1[[#This Row],[Date]])</f>
        <v>10</v>
      </c>
      <c r="J1458" t="str">
        <f t="shared" si="89"/>
        <v>Q4</v>
      </c>
      <c r="K1458" t="str">
        <f t="shared" si="90"/>
        <v>Oct-2024</v>
      </c>
      <c r="L1458" t="str">
        <f t="shared" si="91"/>
        <v>High</v>
      </c>
    </row>
    <row r="1459" spans="1:12" x14ac:dyDescent="0.3">
      <c r="A1459">
        <v>2024</v>
      </c>
      <c r="B1459" s="2" t="s">
        <v>26</v>
      </c>
      <c r="C1459" t="s">
        <v>16</v>
      </c>
      <c r="D1459" t="s">
        <v>10</v>
      </c>
      <c r="E1459">
        <v>45.86</v>
      </c>
      <c r="F1459">
        <v>166.6</v>
      </c>
      <c r="G1459">
        <v>4.43</v>
      </c>
      <c r="H1459" s="3">
        <f t="shared" si="88"/>
        <v>45566</v>
      </c>
      <c r="I1459">
        <f>MONTH(Table1[[#This Row],[Date]])</f>
        <v>10</v>
      </c>
      <c r="J1459" t="str">
        <f t="shared" si="89"/>
        <v>Q4</v>
      </c>
      <c r="K1459" t="str">
        <f t="shared" si="90"/>
        <v>Oct-2024</v>
      </c>
      <c r="L1459" t="str">
        <f t="shared" si="91"/>
        <v>High</v>
      </c>
    </row>
    <row r="1460" spans="1:12" x14ac:dyDescent="0.3">
      <c r="A1460">
        <v>2024</v>
      </c>
      <c r="B1460" s="2" t="s">
        <v>26</v>
      </c>
      <c r="C1460" t="s">
        <v>16</v>
      </c>
      <c r="D1460" t="s">
        <v>11</v>
      </c>
      <c r="E1460">
        <v>2.38</v>
      </c>
      <c r="F1460">
        <v>168.6</v>
      </c>
      <c r="G1460">
        <v>4.51</v>
      </c>
      <c r="H1460" s="3">
        <f t="shared" si="88"/>
        <v>45566</v>
      </c>
      <c r="I1460">
        <f>MONTH(Table1[[#This Row],[Date]])</f>
        <v>10</v>
      </c>
      <c r="J1460" t="str">
        <f t="shared" si="89"/>
        <v>Q4</v>
      </c>
      <c r="K1460" t="str">
        <f t="shared" si="90"/>
        <v>Oct-2024</v>
      </c>
      <c r="L1460" t="str">
        <f t="shared" si="91"/>
        <v>High</v>
      </c>
    </row>
    <row r="1461" spans="1:12" x14ac:dyDescent="0.3">
      <c r="A1461">
        <v>2024</v>
      </c>
      <c r="B1461" s="2" t="s">
        <v>26</v>
      </c>
      <c r="C1461" t="s">
        <v>16</v>
      </c>
      <c r="D1461" t="s">
        <v>12</v>
      </c>
      <c r="E1461">
        <v>6.53</v>
      </c>
      <c r="F1461">
        <v>170.6</v>
      </c>
      <c r="G1461">
        <v>4.59</v>
      </c>
      <c r="H1461" s="3">
        <f t="shared" si="88"/>
        <v>45566</v>
      </c>
      <c r="I1461">
        <f>MONTH(Table1[[#This Row],[Date]])</f>
        <v>10</v>
      </c>
      <c r="J1461" t="str">
        <f t="shared" si="89"/>
        <v>Q4</v>
      </c>
      <c r="K1461" t="str">
        <f t="shared" si="90"/>
        <v>Oct-2024</v>
      </c>
      <c r="L1461" t="str">
        <f t="shared" si="91"/>
        <v>High</v>
      </c>
    </row>
    <row r="1462" spans="1:12" x14ac:dyDescent="0.3">
      <c r="A1462">
        <v>2024</v>
      </c>
      <c r="B1462" s="2" t="s">
        <v>26</v>
      </c>
      <c r="C1462" t="s">
        <v>16</v>
      </c>
      <c r="D1462" t="s">
        <v>13</v>
      </c>
      <c r="E1462">
        <v>10.07</v>
      </c>
      <c r="F1462">
        <v>172.6</v>
      </c>
      <c r="G1462">
        <v>4.67</v>
      </c>
      <c r="H1462" s="3">
        <f t="shared" si="88"/>
        <v>45566</v>
      </c>
      <c r="I1462">
        <f>MONTH(Table1[[#This Row],[Date]])</f>
        <v>10</v>
      </c>
      <c r="J1462" t="str">
        <f t="shared" si="89"/>
        <v>Q4</v>
      </c>
      <c r="K1462" t="str">
        <f t="shared" si="90"/>
        <v>Oct-2024</v>
      </c>
      <c r="L1462" t="str">
        <f t="shared" si="91"/>
        <v>High</v>
      </c>
    </row>
    <row r="1463" spans="1:12" x14ac:dyDescent="0.3">
      <c r="A1463">
        <v>2024</v>
      </c>
      <c r="B1463" s="2" t="s">
        <v>26</v>
      </c>
      <c r="C1463" t="s">
        <v>16</v>
      </c>
      <c r="D1463" t="s">
        <v>14</v>
      </c>
      <c r="E1463">
        <v>6.84</v>
      </c>
      <c r="F1463">
        <v>174.6</v>
      </c>
      <c r="G1463">
        <v>4.75</v>
      </c>
      <c r="H1463" s="3">
        <f t="shared" si="88"/>
        <v>45566</v>
      </c>
      <c r="I1463">
        <f>MONTH(Table1[[#This Row],[Date]])</f>
        <v>10</v>
      </c>
      <c r="J1463" t="str">
        <f t="shared" si="89"/>
        <v>Q4</v>
      </c>
      <c r="K1463" t="str">
        <f t="shared" si="90"/>
        <v>Oct-2024</v>
      </c>
      <c r="L1463" t="str">
        <f t="shared" si="91"/>
        <v>High</v>
      </c>
    </row>
    <row r="1464" spans="1:12" x14ac:dyDescent="0.3">
      <c r="A1464">
        <v>2024</v>
      </c>
      <c r="B1464" s="2" t="s">
        <v>26</v>
      </c>
      <c r="C1464" t="s">
        <v>16</v>
      </c>
      <c r="D1464" t="s">
        <v>15</v>
      </c>
      <c r="E1464">
        <v>28.32</v>
      </c>
      <c r="F1464">
        <v>176.6</v>
      </c>
      <c r="G1464">
        <v>4.83</v>
      </c>
      <c r="H1464" s="3">
        <f t="shared" si="88"/>
        <v>45566</v>
      </c>
      <c r="I1464">
        <f>MONTH(Table1[[#This Row],[Date]])</f>
        <v>10</v>
      </c>
      <c r="J1464" t="str">
        <f t="shared" si="89"/>
        <v>Q4</v>
      </c>
      <c r="K1464" t="str">
        <f t="shared" si="90"/>
        <v>Oct-2024</v>
      </c>
      <c r="L1464" t="str">
        <f t="shared" si="91"/>
        <v>High</v>
      </c>
    </row>
    <row r="1465" spans="1:12" x14ac:dyDescent="0.3">
      <c r="A1465">
        <v>2024</v>
      </c>
      <c r="B1465" s="2" t="s">
        <v>26</v>
      </c>
      <c r="C1465" t="s">
        <v>17</v>
      </c>
      <c r="D1465" t="s">
        <v>9</v>
      </c>
      <c r="E1465">
        <v>100</v>
      </c>
      <c r="F1465">
        <v>165.2</v>
      </c>
      <c r="G1465">
        <v>4.3499999999999996</v>
      </c>
      <c r="H1465" s="3">
        <f t="shared" si="88"/>
        <v>45566</v>
      </c>
      <c r="I1465">
        <f>MONTH(Table1[[#This Row],[Date]])</f>
        <v>10</v>
      </c>
      <c r="J1465" t="str">
        <f t="shared" si="89"/>
        <v>Q4</v>
      </c>
      <c r="K1465" t="str">
        <f t="shared" si="90"/>
        <v>Oct-2024</v>
      </c>
      <c r="L1465" t="str">
        <f t="shared" si="91"/>
        <v>High</v>
      </c>
    </row>
    <row r="1466" spans="1:12" x14ac:dyDescent="0.3">
      <c r="A1466">
        <v>2024</v>
      </c>
      <c r="B1466" s="2" t="s">
        <v>26</v>
      </c>
      <c r="C1466" t="s">
        <v>17</v>
      </c>
      <c r="D1466" t="s">
        <v>10</v>
      </c>
      <c r="E1466">
        <v>45.86</v>
      </c>
      <c r="F1466">
        <v>167.2</v>
      </c>
      <c r="G1466">
        <v>4.43</v>
      </c>
      <c r="H1466" s="3">
        <f t="shared" si="88"/>
        <v>45566</v>
      </c>
      <c r="I1466">
        <f>MONTH(Table1[[#This Row],[Date]])</f>
        <v>10</v>
      </c>
      <c r="J1466" t="str">
        <f t="shared" si="89"/>
        <v>Q4</v>
      </c>
      <c r="K1466" t="str">
        <f t="shared" si="90"/>
        <v>Oct-2024</v>
      </c>
      <c r="L1466" t="str">
        <f t="shared" si="91"/>
        <v>High</v>
      </c>
    </row>
    <row r="1467" spans="1:12" x14ac:dyDescent="0.3">
      <c r="A1467">
        <v>2024</v>
      </c>
      <c r="B1467" s="2" t="s">
        <v>26</v>
      </c>
      <c r="C1467" t="s">
        <v>17</v>
      </c>
      <c r="D1467" t="s">
        <v>11</v>
      </c>
      <c r="E1467">
        <v>2.38</v>
      </c>
      <c r="F1467">
        <v>169.2</v>
      </c>
      <c r="G1467">
        <v>4.51</v>
      </c>
      <c r="H1467" s="3">
        <f t="shared" si="88"/>
        <v>45566</v>
      </c>
      <c r="I1467">
        <f>MONTH(Table1[[#This Row],[Date]])</f>
        <v>10</v>
      </c>
      <c r="J1467" t="str">
        <f t="shared" si="89"/>
        <v>Q4</v>
      </c>
      <c r="K1467" t="str">
        <f t="shared" si="90"/>
        <v>Oct-2024</v>
      </c>
      <c r="L1467" t="str">
        <f t="shared" si="91"/>
        <v>High</v>
      </c>
    </row>
    <row r="1468" spans="1:12" x14ac:dyDescent="0.3">
      <c r="A1468">
        <v>2024</v>
      </c>
      <c r="B1468" s="2" t="s">
        <v>26</v>
      </c>
      <c r="C1468" t="s">
        <v>17</v>
      </c>
      <c r="D1468" t="s">
        <v>12</v>
      </c>
      <c r="E1468">
        <v>6.53</v>
      </c>
      <c r="F1468">
        <v>171.2</v>
      </c>
      <c r="G1468">
        <v>4.59</v>
      </c>
      <c r="H1468" s="3">
        <f t="shared" si="88"/>
        <v>45566</v>
      </c>
      <c r="I1468">
        <f>MONTH(Table1[[#This Row],[Date]])</f>
        <v>10</v>
      </c>
      <c r="J1468" t="str">
        <f t="shared" si="89"/>
        <v>Q4</v>
      </c>
      <c r="K1468" t="str">
        <f t="shared" si="90"/>
        <v>Oct-2024</v>
      </c>
      <c r="L1468" t="str">
        <f t="shared" si="91"/>
        <v>High</v>
      </c>
    </row>
    <row r="1469" spans="1:12" x14ac:dyDescent="0.3">
      <c r="A1469">
        <v>2024</v>
      </c>
      <c r="B1469" s="2" t="s">
        <v>26</v>
      </c>
      <c r="C1469" t="s">
        <v>17</v>
      </c>
      <c r="D1469" t="s">
        <v>13</v>
      </c>
      <c r="E1469">
        <v>10.07</v>
      </c>
      <c r="F1469">
        <v>173.2</v>
      </c>
      <c r="G1469">
        <v>4.67</v>
      </c>
      <c r="H1469" s="3">
        <f t="shared" si="88"/>
        <v>45566</v>
      </c>
      <c r="I1469">
        <f>MONTH(Table1[[#This Row],[Date]])</f>
        <v>10</v>
      </c>
      <c r="J1469" t="str">
        <f t="shared" si="89"/>
        <v>Q4</v>
      </c>
      <c r="K1469" t="str">
        <f t="shared" si="90"/>
        <v>Oct-2024</v>
      </c>
      <c r="L1469" t="str">
        <f t="shared" si="91"/>
        <v>High</v>
      </c>
    </row>
    <row r="1470" spans="1:12" x14ac:dyDescent="0.3">
      <c r="A1470">
        <v>2024</v>
      </c>
      <c r="B1470" s="2" t="s">
        <v>26</v>
      </c>
      <c r="C1470" t="s">
        <v>17</v>
      </c>
      <c r="D1470" t="s">
        <v>14</v>
      </c>
      <c r="E1470">
        <v>6.84</v>
      </c>
      <c r="F1470">
        <v>175.2</v>
      </c>
      <c r="G1470">
        <v>4.75</v>
      </c>
      <c r="H1470" s="3">
        <f t="shared" si="88"/>
        <v>45566</v>
      </c>
      <c r="I1470">
        <f>MONTH(Table1[[#This Row],[Date]])</f>
        <v>10</v>
      </c>
      <c r="J1470" t="str">
        <f t="shared" si="89"/>
        <v>Q4</v>
      </c>
      <c r="K1470" t="str">
        <f t="shared" si="90"/>
        <v>Oct-2024</v>
      </c>
      <c r="L1470" t="str">
        <f t="shared" si="91"/>
        <v>High</v>
      </c>
    </row>
    <row r="1471" spans="1:12" x14ac:dyDescent="0.3">
      <c r="A1471">
        <v>2024</v>
      </c>
      <c r="B1471" s="2" t="s">
        <v>26</v>
      </c>
      <c r="C1471" t="s">
        <v>17</v>
      </c>
      <c r="D1471" t="s">
        <v>15</v>
      </c>
      <c r="E1471">
        <v>28.32</v>
      </c>
      <c r="F1471">
        <v>177.2</v>
      </c>
      <c r="G1471">
        <v>4.83</v>
      </c>
      <c r="H1471" s="3">
        <f t="shared" si="88"/>
        <v>45566</v>
      </c>
      <c r="I1471">
        <f>MONTH(Table1[[#This Row],[Date]])</f>
        <v>10</v>
      </c>
      <c r="J1471" t="str">
        <f t="shared" si="89"/>
        <v>Q4</v>
      </c>
      <c r="K1471" t="str">
        <f t="shared" si="90"/>
        <v>Oct-2024</v>
      </c>
      <c r="L1471" t="str">
        <f t="shared" si="91"/>
        <v>High</v>
      </c>
    </row>
    <row r="1472" spans="1:12" x14ac:dyDescent="0.3">
      <c r="A1472">
        <v>2024</v>
      </c>
      <c r="B1472" s="2" t="s">
        <v>27</v>
      </c>
      <c r="C1472" t="s">
        <v>8</v>
      </c>
      <c r="D1472" t="s">
        <v>9</v>
      </c>
      <c r="E1472">
        <v>100</v>
      </c>
      <c r="F1472">
        <v>164.4</v>
      </c>
      <c r="G1472">
        <v>4.5</v>
      </c>
      <c r="H1472" s="3">
        <f t="shared" si="88"/>
        <v>45597</v>
      </c>
      <c r="I1472">
        <f>MONTH(Table1[[#This Row],[Date]])</f>
        <v>11</v>
      </c>
      <c r="J1472" t="str">
        <f t="shared" si="89"/>
        <v>Q4</v>
      </c>
      <c r="K1472" t="str">
        <f t="shared" si="90"/>
        <v>Nov-2024</v>
      </c>
      <c r="L1472" t="str">
        <f t="shared" si="91"/>
        <v>High</v>
      </c>
    </row>
    <row r="1473" spans="1:12" x14ac:dyDescent="0.3">
      <c r="A1473">
        <v>2024</v>
      </c>
      <c r="B1473" s="2" t="s">
        <v>27</v>
      </c>
      <c r="C1473" t="s">
        <v>8</v>
      </c>
      <c r="D1473" t="s">
        <v>10</v>
      </c>
      <c r="E1473">
        <v>45.86</v>
      </c>
      <c r="F1473">
        <v>166.4</v>
      </c>
      <c r="G1473">
        <v>4.58</v>
      </c>
      <c r="H1473" s="3">
        <f t="shared" si="88"/>
        <v>45597</v>
      </c>
      <c r="I1473">
        <f>MONTH(Table1[[#This Row],[Date]])</f>
        <v>11</v>
      </c>
      <c r="J1473" t="str">
        <f t="shared" si="89"/>
        <v>Q4</v>
      </c>
      <c r="K1473" t="str">
        <f t="shared" si="90"/>
        <v>Nov-2024</v>
      </c>
      <c r="L1473" t="str">
        <f t="shared" si="91"/>
        <v>High</v>
      </c>
    </row>
    <row r="1474" spans="1:12" x14ac:dyDescent="0.3">
      <c r="A1474">
        <v>2024</v>
      </c>
      <c r="B1474" s="2" t="s">
        <v>27</v>
      </c>
      <c r="C1474" t="s">
        <v>8</v>
      </c>
      <c r="D1474" t="s">
        <v>11</v>
      </c>
      <c r="E1474">
        <v>2.38</v>
      </c>
      <c r="F1474">
        <v>168.4</v>
      </c>
      <c r="G1474">
        <v>4.66</v>
      </c>
      <c r="H1474" s="3">
        <f t="shared" ref="H1474:H1537" si="92">DATE(A1474,MONTH(DATEVALUE(B1474&amp;" 1")),1)</f>
        <v>45597</v>
      </c>
      <c r="I1474">
        <f>MONTH(Table1[[#This Row],[Date]])</f>
        <v>11</v>
      </c>
      <c r="J1474" t="str">
        <f t="shared" ref="J1474:J1537" si="93">"Q"&amp;ROUNDUP(MONTH(H1474)/3,0)</f>
        <v>Q4</v>
      </c>
      <c r="K1474" t="str">
        <f t="shared" ref="K1474:K1537" si="94">TEXT(H1474,"mmm-yyyy")</f>
        <v>Nov-2024</v>
      </c>
      <c r="L1474" t="str">
        <f t="shared" ref="L1474:L1537" si="95">IF(G1474&lt;3,"Low",IF(G1474&lt;4,"Medium","High"))</f>
        <v>High</v>
      </c>
    </row>
    <row r="1475" spans="1:12" x14ac:dyDescent="0.3">
      <c r="A1475">
        <v>2024</v>
      </c>
      <c r="B1475" s="2" t="s">
        <v>27</v>
      </c>
      <c r="C1475" t="s">
        <v>8</v>
      </c>
      <c r="D1475" t="s">
        <v>12</v>
      </c>
      <c r="E1475">
        <v>6.53</v>
      </c>
      <c r="F1475">
        <v>170.4</v>
      </c>
      <c r="G1475">
        <v>4.74</v>
      </c>
      <c r="H1475" s="3">
        <f t="shared" si="92"/>
        <v>45597</v>
      </c>
      <c r="I1475">
        <f>MONTH(Table1[[#This Row],[Date]])</f>
        <v>11</v>
      </c>
      <c r="J1475" t="str">
        <f t="shared" si="93"/>
        <v>Q4</v>
      </c>
      <c r="K1475" t="str">
        <f t="shared" si="94"/>
        <v>Nov-2024</v>
      </c>
      <c r="L1475" t="str">
        <f t="shared" si="95"/>
        <v>High</v>
      </c>
    </row>
    <row r="1476" spans="1:12" x14ac:dyDescent="0.3">
      <c r="A1476">
        <v>2024</v>
      </c>
      <c r="B1476" s="2" t="s">
        <v>27</v>
      </c>
      <c r="C1476" t="s">
        <v>8</v>
      </c>
      <c r="D1476" t="s">
        <v>13</v>
      </c>
      <c r="E1476">
        <v>10.07</v>
      </c>
      <c r="F1476">
        <v>172.4</v>
      </c>
      <c r="G1476">
        <v>4.82</v>
      </c>
      <c r="H1476" s="3">
        <f t="shared" si="92"/>
        <v>45597</v>
      </c>
      <c r="I1476">
        <f>MONTH(Table1[[#This Row],[Date]])</f>
        <v>11</v>
      </c>
      <c r="J1476" t="str">
        <f t="shared" si="93"/>
        <v>Q4</v>
      </c>
      <c r="K1476" t="str">
        <f t="shared" si="94"/>
        <v>Nov-2024</v>
      </c>
      <c r="L1476" t="str">
        <f t="shared" si="95"/>
        <v>High</v>
      </c>
    </row>
    <row r="1477" spans="1:12" x14ac:dyDescent="0.3">
      <c r="A1477">
        <v>2024</v>
      </c>
      <c r="B1477" s="2" t="s">
        <v>27</v>
      </c>
      <c r="C1477" t="s">
        <v>8</v>
      </c>
      <c r="D1477" t="s">
        <v>14</v>
      </c>
      <c r="E1477">
        <v>6.84</v>
      </c>
      <c r="F1477">
        <v>174.4</v>
      </c>
      <c r="G1477">
        <v>4.9000000000000004</v>
      </c>
      <c r="H1477" s="3">
        <f t="shared" si="92"/>
        <v>45597</v>
      </c>
      <c r="I1477">
        <f>MONTH(Table1[[#This Row],[Date]])</f>
        <v>11</v>
      </c>
      <c r="J1477" t="str">
        <f t="shared" si="93"/>
        <v>Q4</v>
      </c>
      <c r="K1477" t="str">
        <f t="shared" si="94"/>
        <v>Nov-2024</v>
      </c>
      <c r="L1477" t="str">
        <f t="shared" si="95"/>
        <v>High</v>
      </c>
    </row>
    <row r="1478" spans="1:12" x14ac:dyDescent="0.3">
      <c r="A1478">
        <v>2024</v>
      </c>
      <c r="B1478" s="2" t="s">
        <v>27</v>
      </c>
      <c r="C1478" t="s">
        <v>8</v>
      </c>
      <c r="D1478" t="s">
        <v>15</v>
      </c>
      <c r="E1478">
        <v>28.32</v>
      </c>
      <c r="F1478">
        <v>176.4</v>
      </c>
      <c r="G1478">
        <v>4.9800000000000004</v>
      </c>
      <c r="H1478" s="3">
        <f t="shared" si="92"/>
        <v>45597</v>
      </c>
      <c r="I1478">
        <f>MONTH(Table1[[#This Row],[Date]])</f>
        <v>11</v>
      </c>
      <c r="J1478" t="str">
        <f t="shared" si="93"/>
        <v>Q4</v>
      </c>
      <c r="K1478" t="str">
        <f t="shared" si="94"/>
        <v>Nov-2024</v>
      </c>
      <c r="L1478" t="str">
        <f t="shared" si="95"/>
        <v>High</v>
      </c>
    </row>
    <row r="1479" spans="1:12" x14ac:dyDescent="0.3">
      <c r="A1479">
        <v>2024</v>
      </c>
      <c r="B1479" s="2" t="s">
        <v>27</v>
      </c>
      <c r="C1479" t="s">
        <v>16</v>
      </c>
      <c r="D1479" t="s">
        <v>9</v>
      </c>
      <c r="E1479">
        <v>100</v>
      </c>
      <c r="F1479">
        <v>165</v>
      </c>
      <c r="G1479">
        <v>4.5</v>
      </c>
      <c r="H1479" s="3">
        <f t="shared" si="92"/>
        <v>45597</v>
      </c>
      <c r="I1479">
        <f>MONTH(Table1[[#This Row],[Date]])</f>
        <v>11</v>
      </c>
      <c r="J1479" t="str">
        <f t="shared" si="93"/>
        <v>Q4</v>
      </c>
      <c r="K1479" t="str">
        <f t="shared" si="94"/>
        <v>Nov-2024</v>
      </c>
      <c r="L1479" t="str">
        <f t="shared" si="95"/>
        <v>High</v>
      </c>
    </row>
    <row r="1480" spans="1:12" x14ac:dyDescent="0.3">
      <c r="A1480">
        <v>2024</v>
      </c>
      <c r="B1480" s="2" t="s">
        <v>27</v>
      </c>
      <c r="C1480" t="s">
        <v>16</v>
      </c>
      <c r="D1480" t="s">
        <v>10</v>
      </c>
      <c r="E1480">
        <v>45.86</v>
      </c>
      <c r="F1480">
        <v>167</v>
      </c>
      <c r="G1480">
        <v>4.58</v>
      </c>
      <c r="H1480" s="3">
        <f t="shared" si="92"/>
        <v>45597</v>
      </c>
      <c r="I1480">
        <f>MONTH(Table1[[#This Row],[Date]])</f>
        <v>11</v>
      </c>
      <c r="J1480" t="str">
        <f t="shared" si="93"/>
        <v>Q4</v>
      </c>
      <c r="K1480" t="str">
        <f t="shared" si="94"/>
        <v>Nov-2024</v>
      </c>
      <c r="L1480" t="str">
        <f t="shared" si="95"/>
        <v>High</v>
      </c>
    </row>
    <row r="1481" spans="1:12" x14ac:dyDescent="0.3">
      <c r="A1481">
        <v>2024</v>
      </c>
      <c r="B1481" s="2" t="s">
        <v>27</v>
      </c>
      <c r="C1481" t="s">
        <v>16</v>
      </c>
      <c r="D1481" t="s">
        <v>11</v>
      </c>
      <c r="E1481">
        <v>2.38</v>
      </c>
      <c r="F1481">
        <v>169</v>
      </c>
      <c r="G1481">
        <v>4.66</v>
      </c>
      <c r="H1481" s="3">
        <f t="shared" si="92"/>
        <v>45597</v>
      </c>
      <c r="I1481">
        <f>MONTH(Table1[[#This Row],[Date]])</f>
        <v>11</v>
      </c>
      <c r="J1481" t="str">
        <f t="shared" si="93"/>
        <v>Q4</v>
      </c>
      <c r="K1481" t="str">
        <f t="shared" si="94"/>
        <v>Nov-2024</v>
      </c>
      <c r="L1481" t="str">
        <f t="shared" si="95"/>
        <v>High</v>
      </c>
    </row>
    <row r="1482" spans="1:12" x14ac:dyDescent="0.3">
      <c r="A1482">
        <v>2024</v>
      </c>
      <c r="B1482" s="2" t="s">
        <v>27</v>
      </c>
      <c r="C1482" t="s">
        <v>16</v>
      </c>
      <c r="D1482" t="s">
        <v>12</v>
      </c>
      <c r="E1482">
        <v>6.53</v>
      </c>
      <c r="F1482">
        <v>171</v>
      </c>
      <c r="G1482">
        <v>4.74</v>
      </c>
      <c r="H1482" s="3">
        <f t="shared" si="92"/>
        <v>45597</v>
      </c>
      <c r="I1482">
        <f>MONTH(Table1[[#This Row],[Date]])</f>
        <v>11</v>
      </c>
      <c r="J1482" t="str">
        <f t="shared" si="93"/>
        <v>Q4</v>
      </c>
      <c r="K1482" t="str">
        <f t="shared" si="94"/>
        <v>Nov-2024</v>
      </c>
      <c r="L1482" t="str">
        <f t="shared" si="95"/>
        <v>High</v>
      </c>
    </row>
    <row r="1483" spans="1:12" x14ac:dyDescent="0.3">
      <c r="A1483">
        <v>2024</v>
      </c>
      <c r="B1483" s="2" t="s">
        <v>27</v>
      </c>
      <c r="C1483" t="s">
        <v>16</v>
      </c>
      <c r="D1483" t="s">
        <v>13</v>
      </c>
      <c r="E1483">
        <v>10.07</v>
      </c>
      <c r="F1483">
        <v>173</v>
      </c>
      <c r="G1483">
        <v>4.82</v>
      </c>
      <c r="H1483" s="3">
        <f t="shared" si="92"/>
        <v>45597</v>
      </c>
      <c r="I1483">
        <f>MONTH(Table1[[#This Row],[Date]])</f>
        <v>11</v>
      </c>
      <c r="J1483" t="str">
        <f t="shared" si="93"/>
        <v>Q4</v>
      </c>
      <c r="K1483" t="str">
        <f t="shared" si="94"/>
        <v>Nov-2024</v>
      </c>
      <c r="L1483" t="str">
        <f t="shared" si="95"/>
        <v>High</v>
      </c>
    </row>
    <row r="1484" spans="1:12" x14ac:dyDescent="0.3">
      <c r="A1484">
        <v>2024</v>
      </c>
      <c r="B1484" s="2" t="s">
        <v>27</v>
      </c>
      <c r="C1484" t="s">
        <v>16</v>
      </c>
      <c r="D1484" t="s">
        <v>14</v>
      </c>
      <c r="E1484">
        <v>6.84</v>
      </c>
      <c r="F1484">
        <v>175</v>
      </c>
      <c r="G1484">
        <v>4.9000000000000004</v>
      </c>
      <c r="H1484" s="3">
        <f t="shared" si="92"/>
        <v>45597</v>
      </c>
      <c r="I1484">
        <f>MONTH(Table1[[#This Row],[Date]])</f>
        <v>11</v>
      </c>
      <c r="J1484" t="str">
        <f t="shared" si="93"/>
        <v>Q4</v>
      </c>
      <c r="K1484" t="str">
        <f t="shared" si="94"/>
        <v>Nov-2024</v>
      </c>
      <c r="L1484" t="str">
        <f t="shared" si="95"/>
        <v>High</v>
      </c>
    </row>
    <row r="1485" spans="1:12" x14ac:dyDescent="0.3">
      <c r="A1485">
        <v>2024</v>
      </c>
      <c r="B1485" s="2" t="s">
        <v>27</v>
      </c>
      <c r="C1485" t="s">
        <v>16</v>
      </c>
      <c r="D1485" t="s">
        <v>15</v>
      </c>
      <c r="E1485">
        <v>28.32</v>
      </c>
      <c r="F1485">
        <v>177</v>
      </c>
      <c r="G1485">
        <v>4.9800000000000004</v>
      </c>
      <c r="H1485" s="3">
        <f t="shared" si="92"/>
        <v>45597</v>
      </c>
      <c r="I1485">
        <f>MONTH(Table1[[#This Row],[Date]])</f>
        <v>11</v>
      </c>
      <c r="J1485" t="str">
        <f t="shared" si="93"/>
        <v>Q4</v>
      </c>
      <c r="K1485" t="str">
        <f t="shared" si="94"/>
        <v>Nov-2024</v>
      </c>
      <c r="L1485" t="str">
        <f t="shared" si="95"/>
        <v>High</v>
      </c>
    </row>
    <row r="1486" spans="1:12" x14ac:dyDescent="0.3">
      <c r="A1486">
        <v>2024</v>
      </c>
      <c r="B1486" s="2" t="s">
        <v>27</v>
      </c>
      <c r="C1486" t="s">
        <v>17</v>
      </c>
      <c r="D1486" t="s">
        <v>9</v>
      </c>
      <c r="E1486">
        <v>100</v>
      </c>
      <c r="F1486">
        <v>165.6</v>
      </c>
      <c r="G1486">
        <v>4.5</v>
      </c>
      <c r="H1486" s="3">
        <f t="shared" si="92"/>
        <v>45597</v>
      </c>
      <c r="I1486">
        <f>MONTH(Table1[[#This Row],[Date]])</f>
        <v>11</v>
      </c>
      <c r="J1486" t="str">
        <f t="shared" si="93"/>
        <v>Q4</v>
      </c>
      <c r="K1486" t="str">
        <f t="shared" si="94"/>
        <v>Nov-2024</v>
      </c>
      <c r="L1486" t="str">
        <f t="shared" si="95"/>
        <v>High</v>
      </c>
    </row>
    <row r="1487" spans="1:12" x14ac:dyDescent="0.3">
      <c r="A1487">
        <v>2024</v>
      </c>
      <c r="B1487" s="2" t="s">
        <v>27</v>
      </c>
      <c r="C1487" t="s">
        <v>17</v>
      </c>
      <c r="D1487" t="s">
        <v>10</v>
      </c>
      <c r="E1487">
        <v>45.86</v>
      </c>
      <c r="F1487">
        <v>167.6</v>
      </c>
      <c r="G1487">
        <v>4.58</v>
      </c>
      <c r="H1487" s="3">
        <f t="shared" si="92"/>
        <v>45597</v>
      </c>
      <c r="I1487">
        <f>MONTH(Table1[[#This Row],[Date]])</f>
        <v>11</v>
      </c>
      <c r="J1487" t="str">
        <f t="shared" si="93"/>
        <v>Q4</v>
      </c>
      <c r="K1487" t="str">
        <f t="shared" si="94"/>
        <v>Nov-2024</v>
      </c>
      <c r="L1487" t="str">
        <f t="shared" si="95"/>
        <v>High</v>
      </c>
    </row>
    <row r="1488" spans="1:12" x14ac:dyDescent="0.3">
      <c r="A1488">
        <v>2024</v>
      </c>
      <c r="B1488" s="2" t="s">
        <v>27</v>
      </c>
      <c r="C1488" t="s">
        <v>17</v>
      </c>
      <c r="D1488" t="s">
        <v>11</v>
      </c>
      <c r="E1488">
        <v>2.38</v>
      </c>
      <c r="F1488">
        <v>169.6</v>
      </c>
      <c r="G1488">
        <v>4.66</v>
      </c>
      <c r="H1488" s="3">
        <f t="shared" si="92"/>
        <v>45597</v>
      </c>
      <c r="I1488">
        <f>MONTH(Table1[[#This Row],[Date]])</f>
        <v>11</v>
      </c>
      <c r="J1488" t="str">
        <f t="shared" si="93"/>
        <v>Q4</v>
      </c>
      <c r="K1488" t="str">
        <f t="shared" si="94"/>
        <v>Nov-2024</v>
      </c>
      <c r="L1488" t="str">
        <f t="shared" si="95"/>
        <v>High</v>
      </c>
    </row>
    <row r="1489" spans="1:12" x14ac:dyDescent="0.3">
      <c r="A1489">
        <v>2024</v>
      </c>
      <c r="B1489" s="2" t="s">
        <v>27</v>
      </c>
      <c r="C1489" t="s">
        <v>17</v>
      </c>
      <c r="D1489" t="s">
        <v>12</v>
      </c>
      <c r="E1489">
        <v>6.53</v>
      </c>
      <c r="F1489">
        <v>171.6</v>
      </c>
      <c r="G1489">
        <v>4.74</v>
      </c>
      <c r="H1489" s="3">
        <f t="shared" si="92"/>
        <v>45597</v>
      </c>
      <c r="I1489">
        <f>MONTH(Table1[[#This Row],[Date]])</f>
        <v>11</v>
      </c>
      <c r="J1489" t="str">
        <f t="shared" si="93"/>
        <v>Q4</v>
      </c>
      <c r="K1489" t="str">
        <f t="shared" si="94"/>
        <v>Nov-2024</v>
      </c>
      <c r="L1489" t="str">
        <f t="shared" si="95"/>
        <v>High</v>
      </c>
    </row>
    <row r="1490" spans="1:12" x14ac:dyDescent="0.3">
      <c r="A1490">
        <v>2024</v>
      </c>
      <c r="B1490" s="2" t="s">
        <v>27</v>
      </c>
      <c r="C1490" t="s">
        <v>17</v>
      </c>
      <c r="D1490" t="s">
        <v>13</v>
      </c>
      <c r="E1490">
        <v>10.07</v>
      </c>
      <c r="F1490">
        <v>173.6</v>
      </c>
      <c r="G1490">
        <v>4.82</v>
      </c>
      <c r="H1490" s="3">
        <f t="shared" si="92"/>
        <v>45597</v>
      </c>
      <c r="I1490">
        <f>MONTH(Table1[[#This Row],[Date]])</f>
        <v>11</v>
      </c>
      <c r="J1490" t="str">
        <f t="shared" si="93"/>
        <v>Q4</v>
      </c>
      <c r="K1490" t="str">
        <f t="shared" si="94"/>
        <v>Nov-2024</v>
      </c>
      <c r="L1490" t="str">
        <f t="shared" si="95"/>
        <v>High</v>
      </c>
    </row>
    <row r="1491" spans="1:12" x14ac:dyDescent="0.3">
      <c r="A1491">
        <v>2024</v>
      </c>
      <c r="B1491" s="2" t="s">
        <v>27</v>
      </c>
      <c r="C1491" t="s">
        <v>17</v>
      </c>
      <c r="D1491" t="s">
        <v>14</v>
      </c>
      <c r="E1491">
        <v>6.84</v>
      </c>
      <c r="F1491">
        <v>175.6</v>
      </c>
      <c r="G1491">
        <v>4.9000000000000004</v>
      </c>
      <c r="H1491" s="3">
        <f t="shared" si="92"/>
        <v>45597</v>
      </c>
      <c r="I1491">
        <f>MONTH(Table1[[#This Row],[Date]])</f>
        <v>11</v>
      </c>
      <c r="J1491" t="str">
        <f t="shared" si="93"/>
        <v>Q4</v>
      </c>
      <c r="K1491" t="str">
        <f t="shared" si="94"/>
        <v>Nov-2024</v>
      </c>
      <c r="L1491" t="str">
        <f t="shared" si="95"/>
        <v>High</v>
      </c>
    </row>
    <row r="1492" spans="1:12" x14ac:dyDescent="0.3">
      <c r="A1492">
        <v>2024</v>
      </c>
      <c r="B1492" s="2" t="s">
        <v>27</v>
      </c>
      <c r="C1492" t="s">
        <v>17</v>
      </c>
      <c r="D1492" t="s">
        <v>15</v>
      </c>
      <c r="E1492">
        <v>28.32</v>
      </c>
      <c r="F1492">
        <v>177.6</v>
      </c>
      <c r="G1492">
        <v>4.9800000000000004</v>
      </c>
      <c r="H1492" s="3">
        <f t="shared" si="92"/>
        <v>45597</v>
      </c>
      <c r="I1492">
        <f>MONTH(Table1[[#This Row],[Date]])</f>
        <v>11</v>
      </c>
      <c r="J1492" t="str">
        <f t="shared" si="93"/>
        <v>Q4</v>
      </c>
      <c r="K1492" t="str">
        <f t="shared" si="94"/>
        <v>Nov-2024</v>
      </c>
      <c r="L1492" t="str">
        <f t="shared" si="95"/>
        <v>High</v>
      </c>
    </row>
    <row r="1493" spans="1:12" x14ac:dyDescent="0.3">
      <c r="A1493">
        <v>2024</v>
      </c>
      <c r="B1493" s="2" t="s">
        <v>28</v>
      </c>
      <c r="C1493" t="s">
        <v>8</v>
      </c>
      <c r="D1493" t="s">
        <v>9</v>
      </c>
      <c r="E1493">
        <v>100</v>
      </c>
      <c r="F1493">
        <v>164.8</v>
      </c>
      <c r="G1493">
        <v>3.75</v>
      </c>
      <c r="H1493" s="3">
        <f t="shared" si="92"/>
        <v>45627</v>
      </c>
      <c r="I1493">
        <f>MONTH(Table1[[#This Row],[Date]])</f>
        <v>12</v>
      </c>
      <c r="J1493" t="str">
        <f t="shared" si="93"/>
        <v>Q4</v>
      </c>
      <c r="K1493" t="str">
        <f t="shared" si="94"/>
        <v>Dec-2024</v>
      </c>
      <c r="L1493" t="str">
        <f t="shared" si="95"/>
        <v>Medium</v>
      </c>
    </row>
    <row r="1494" spans="1:12" x14ac:dyDescent="0.3">
      <c r="A1494">
        <v>2024</v>
      </c>
      <c r="B1494" s="2" t="s">
        <v>28</v>
      </c>
      <c r="C1494" t="s">
        <v>8</v>
      </c>
      <c r="D1494" t="s">
        <v>10</v>
      </c>
      <c r="E1494">
        <v>45.86</v>
      </c>
      <c r="F1494">
        <v>166.8</v>
      </c>
      <c r="G1494">
        <v>3.83</v>
      </c>
      <c r="H1494" s="3">
        <f t="shared" si="92"/>
        <v>45627</v>
      </c>
      <c r="I1494">
        <f>MONTH(Table1[[#This Row],[Date]])</f>
        <v>12</v>
      </c>
      <c r="J1494" t="str">
        <f t="shared" si="93"/>
        <v>Q4</v>
      </c>
      <c r="K1494" t="str">
        <f t="shared" si="94"/>
        <v>Dec-2024</v>
      </c>
      <c r="L1494" t="str">
        <f t="shared" si="95"/>
        <v>Medium</v>
      </c>
    </row>
    <row r="1495" spans="1:12" x14ac:dyDescent="0.3">
      <c r="A1495">
        <v>2024</v>
      </c>
      <c r="B1495" s="2" t="s">
        <v>28</v>
      </c>
      <c r="C1495" t="s">
        <v>8</v>
      </c>
      <c r="D1495" t="s">
        <v>11</v>
      </c>
      <c r="E1495">
        <v>2.38</v>
      </c>
      <c r="F1495">
        <v>168.8</v>
      </c>
      <c r="G1495">
        <v>3.91</v>
      </c>
      <c r="H1495" s="3">
        <f t="shared" si="92"/>
        <v>45627</v>
      </c>
      <c r="I1495">
        <f>MONTH(Table1[[#This Row],[Date]])</f>
        <v>12</v>
      </c>
      <c r="J1495" t="str">
        <f t="shared" si="93"/>
        <v>Q4</v>
      </c>
      <c r="K1495" t="str">
        <f t="shared" si="94"/>
        <v>Dec-2024</v>
      </c>
      <c r="L1495" t="str">
        <f t="shared" si="95"/>
        <v>Medium</v>
      </c>
    </row>
    <row r="1496" spans="1:12" x14ac:dyDescent="0.3">
      <c r="A1496">
        <v>2024</v>
      </c>
      <c r="B1496" s="2" t="s">
        <v>28</v>
      </c>
      <c r="C1496" t="s">
        <v>8</v>
      </c>
      <c r="D1496" t="s">
        <v>12</v>
      </c>
      <c r="E1496">
        <v>6.53</v>
      </c>
      <c r="F1496">
        <v>170.8</v>
      </c>
      <c r="G1496">
        <v>3.99</v>
      </c>
      <c r="H1496" s="3">
        <f t="shared" si="92"/>
        <v>45627</v>
      </c>
      <c r="I1496">
        <f>MONTH(Table1[[#This Row],[Date]])</f>
        <v>12</v>
      </c>
      <c r="J1496" t="str">
        <f t="shared" si="93"/>
        <v>Q4</v>
      </c>
      <c r="K1496" t="str">
        <f t="shared" si="94"/>
        <v>Dec-2024</v>
      </c>
      <c r="L1496" t="str">
        <f t="shared" si="95"/>
        <v>Medium</v>
      </c>
    </row>
    <row r="1497" spans="1:12" x14ac:dyDescent="0.3">
      <c r="A1497">
        <v>2024</v>
      </c>
      <c r="B1497" s="2" t="s">
        <v>28</v>
      </c>
      <c r="C1497" t="s">
        <v>8</v>
      </c>
      <c r="D1497" t="s">
        <v>13</v>
      </c>
      <c r="E1497">
        <v>10.07</v>
      </c>
      <c r="F1497">
        <v>172.8</v>
      </c>
      <c r="G1497">
        <v>4.07</v>
      </c>
      <c r="H1497" s="3">
        <f t="shared" si="92"/>
        <v>45627</v>
      </c>
      <c r="I1497">
        <f>MONTH(Table1[[#This Row],[Date]])</f>
        <v>12</v>
      </c>
      <c r="J1497" t="str">
        <f t="shared" si="93"/>
        <v>Q4</v>
      </c>
      <c r="K1497" t="str">
        <f t="shared" si="94"/>
        <v>Dec-2024</v>
      </c>
      <c r="L1497" t="str">
        <f t="shared" si="95"/>
        <v>High</v>
      </c>
    </row>
    <row r="1498" spans="1:12" x14ac:dyDescent="0.3">
      <c r="A1498">
        <v>2024</v>
      </c>
      <c r="B1498" s="2" t="s">
        <v>28</v>
      </c>
      <c r="C1498" t="s">
        <v>8</v>
      </c>
      <c r="D1498" t="s">
        <v>14</v>
      </c>
      <c r="E1498">
        <v>6.84</v>
      </c>
      <c r="F1498">
        <v>174.8</v>
      </c>
      <c r="G1498">
        <v>4.1500000000000004</v>
      </c>
      <c r="H1498" s="3">
        <f t="shared" si="92"/>
        <v>45627</v>
      </c>
      <c r="I1498">
        <f>MONTH(Table1[[#This Row],[Date]])</f>
        <v>12</v>
      </c>
      <c r="J1498" t="str">
        <f t="shared" si="93"/>
        <v>Q4</v>
      </c>
      <c r="K1498" t="str">
        <f t="shared" si="94"/>
        <v>Dec-2024</v>
      </c>
      <c r="L1498" t="str">
        <f t="shared" si="95"/>
        <v>High</v>
      </c>
    </row>
    <row r="1499" spans="1:12" x14ac:dyDescent="0.3">
      <c r="A1499">
        <v>2024</v>
      </c>
      <c r="B1499" s="2" t="s">
        <v>28</v>
      </c>
      <c r="C1499" t="s">
        <v>8</v>
      </c>
      <c r="D1499" t="s">
        <v>15</v>
      </c>
      <c r="E1499">
        <v>28.32</v>
      </c>
      <c r="F1499">
        <v>176.8</v>
      </c>
      <c r="G1499">
        <v>4.2300000000000004</v>
      </c>
      <c r="H1499" s="3">
        <f t="shared" si="92"/>
        <v>45627</v>
      </c>
      <c r="I1499">
        <f>MONTH(Table1[[#This Row],[Date]])</f>
        <v>12</v>
      </c>
      <c r="J1499" t="str">
        <f t="shared" si="93"/>
        <v>Q4</v>
      </c>
      <c r="K1499" t="str">
        <f t="shared" si="94"/>
        <v>Dec-2024</v>
      </c>
      <c r="L1499" t="str">
        <f t="shared" si="95"/>
        <v>High</v>
      </c>
    </row>
    <row r="1500" spans="1:12" x14ac:dyDescent="0.3">
      <c r="A1500">
        <v>2024</v>
      </c>
      <c r="B1500" s="2" t="s">
        <v>28</v>
      </c>
      <c r="C1500" t="s">
        <v>16</v>
      </c>
      <c r="D1500" t="s">
        <v>9</v>
      </c>
      <c r="E1500">
        <v>100</v>
      </c>
      <c r="F1500">
        <v>165.4</v>
      </c>
      <c r="G1500">
        <v>3.75</v>
      </c>
      <c r="H1500" s="3">
        <f t="shared" si="92"/>
        <v>45627</v>
      </c>
      <c r="I1500">
        <f>MONTH(Table1[[#This Row],[Date]])</f>
        <v>12</v>
      </c>
      <c r="J1500" t="str">
        <f t="shared" si="93"/>
        <v>Q4</v>
      </c>
      <c r="K1500" t="str">
        <f t="shared" si="94"/>
        <v>Dec-2024</v>
      </c>
      <c r="L1500" t="str">
        <f t="shared" si="95"/>
        <v>Medium</v>
      </c>
    </row>
    <row r="1501" spans="1:12" x14ac:dyDescent="0.3">
      <c r="A1501">
        <v>2024</v>
      </c>
      <c r="B1501" s="2" t="s">
        <v>28</v>
      </c>
      <c r="C1501" t="s">
        <v>16</v>
      </c>
      <c r="D1501" t="s">
        <v>10</v>
      </c>
      <c r="E1501">
        <v>45.86</v>
      </c>
      <c r="F1501">
        <v>167.4</v>
      </c>
      <c r="G1501">
        <v>3.83</v>
      </c>
      <c r="H1501" s="3">
        <f t="shared" si="92"/>
        <v>45627</v>
      </c>
      <c r="I1501">
        <f>MONTH(Table1[[#This Row],[Date]])</f>
        <v>12</v>
      </c>
      <c r="J1501" t="str">
        <f t="shared" si="93"/>
        <v>Q4</v>
      </c>
      <c r="K1501" t="str">
        <f t="shared" si="94"/>
        <v>Dec-2024</v>
      </c>
      <c r="L1501" t="str">
        <f t="shared" si="95"/>
        <v>Medium</v>
      </c>
    </row>
    <row r="1502" spans="1:12" x14ac:dyDescent="0.3">
      <c r="A1502">
        <v>2024</v>
      </c>
      <c r="B1502" s="2" t="s">
        <v>28</v>
      </c>
      <c r="C1502" t="s">
        <v>16</v>
      </c>
      <c r="D1502" t="s">
        <v>11</v>
      </c>
      <c r="E1502">
        <v>2.38</v>
      </c>
      <c r="F1502">
        <v>169.4</v>
      </c>
      <c r="G1502">
        <v>3.91</v>
      </c>
      <c r="H1502" s="3">
        <f t="shared" si="92"/>
        <v>45627</v>
      </c>
      <c r="I1502">
        <f>MONTH(Table1[[#This Row],[Date]])</f>
        <v>12</v>
      </c>
      <c r="J1502" t="str">
        <f t="shared" si="93"/>
        <v>Q4</v>
      </c>
      <c r="K1502" t="str">
        <f t="shared" si="94"/>
        <v>Dec-2024</v>
      </c>
      <c r="L1502" t="str">
        <f t="shared" si="95"/>
        <v>Medium</v>
      </c>
    </row>
    <row r="1503" spans="1:12" x14ac:dyDescent="0.3">
      <c r="A1503">
        <v>2024</v>
      </c>
      <c r="B1503" s="2" t="s">
        <v>28</v>
      </c>
      <c r="C1503" t="s">
        <v>16</v>
      </c>
      <c r="D1503" t="s">
        <v>12</v>
      </c>
      <c r="E1503">
        <v>6.53</v>
      </c>
      <c r="F1503">
        <v>171.4</v>
      </c>
      <c r="G1503">
        <v>3.99</v>
      </c>
      <c r="H1503" s="3">
        <f t="shared" si="92"/>
        <v>45627</v>
      </c>
      <c r="I1503">
        <f>MONTH(Table1[[#This Row],[Date]])</f>
        <v>12</v>
      </c>
      <c r="J1503" t="str">
        <f t="shared" si="93"/>
        <v>Q4</v>
      </c>
      <c r="K1503" t="str">
        <f t="shared" si="94"/>
        <v>Dec-2024</v>
      </c>
      <c r="L1503" t="str">
        <f t="shared" si="95"/>
        <v>Medium</v>
      </c>
    </row>
    <row r="1504" spans="1:12" x14ac:dyDescent="0.3">
      <c r="A1504">
        <v>2024</v>
      </c>
      <c r="B1504" s="2" t="s">
        <v>28</v>
      </c>
      <c r="C1504" t="s">
        <v>16</v>
      </c>
      <c r="D1504" t="s">
        <v>13</v>
      </c>
      <c r="E1504">
        <v>10.07</v>
      </c>
      <c r="F1504">
        <v>173.4</v>
      </c>
      <c r="G1504">
        <v>4.07</v>
      </c>
      <c r="H1504" s="3">
        <f t="shared" si="92"/>
        <v>45627</v>
      </c>
      <c r="I1504">
        <f>MONTH(Table1[[#This Row],[Date]])</f>
        <v>12</v>
      </c>
      <c r="J1504" t="str">
        <f t="shared" si="93"/>
        <v>Q4</v>
      </c>
      <c r="K1504" t="str">
        <f t="shared" si="94"/>
        <v>Dec-2024</v>
      </c>
      <c r="L1504" t="str">
        <f t="shared" si="95"/>
        <v>High</v>
      </c>
    </row>
    <row r="1505" spans="1:12" x14ac:dyDescent="0.3">
      <c r="A1505">
        <v>2024</v>
      </c>
      <c r="B1505" s="2" t="s">
        <v>28</v>
      </c>
      <c r="C1505" t="s">
        <v>16</v>
      </c>
      <c r="D1505" t="s">
        <v>14</v>
      </c>
      <c r="E1505">
        <v>6.84</v>
      </c>
      <c r="F1505">
        <v>175.4</v>
      </c>
      <c r="G1505">
        <v>4.1500000000000004</v>
      </c>
      <c r="H1505" s="3">
        <f t="shared" si="92"/>
        <v>45627</v>
      </c>
      <c r="I1505">
        <f>MONTH(Table1[[#This Row],[Date]])</f>
        <v>12</v>
      </c>
      <c r="J1505" t="str">
        <f t="shared" si="93"/>
        <v>Q4</v>
      </c>
      <c r="K1505" t="str">
        <f t="shared" si="94"/>
        <v>Dec-2024</v>
      </c>
      <c r="L1505" t="str">
        <f t="shared" si="95"/>
        <v>High</v>
      </c>
    </row>
    <row r="1506" spans="1:12" x14ac:dyDescent="0.3">
      <c r="A1506">
        <v>2024</v>
      </c>
      <c r="B1506" s="2" t="s">
        <v>28</v>
      </c>
      <c r="C1506" t="s">
        <v>16</v>
      </c>
      <c r="D1506" t="s">
        <v>15</v>
      </c>
      <c r="E1506">
        <v>28.32</v>
      </c>
      <c r="F1506">
        <v>177.4</v>
      </c>
      <c r="G1506">
        <v>4.2300000000000004</v>
      </c>
      <c r="H1506" s="3">
        <f t="shared" si="92"/>
        <v>45627</v>
      </c>
      <c r="I1506">
        <f>MONTH(Table1[[#This Row],[Date]])</f>
        <v>12</v>
      </c>
      <c r="J1506" t="str">
        <f t="shared" si="93"/>
        <v>Q4</v>
      </c>
      <c r="K1506" t="str">
        <f t="shared" si="94"/>
        <v>Dec-2024</v>
      </c>
      <c r="L1506" t="str">
        <f t="shared" si="95"/>
        <v>High</v>
      </c>
    </row>
    <row r="1507" spans="1:12" x14ac:dyDescent="0.3">
      <c r="A1507">
        <v>2024</v>
      </c>
      <c r="B1507" s="2" t="s">
        <v>28</v>
      </c>
      <c r="C1507" t="s">
        <v>17</v>
      </c>
      <c r="D1507" t="s">
        <v>9</v>
      </c>
      <c r="E1507">
        <v>100</v>
      </c>
      <c r="F1507">
        <v>166</v>
      </c>
      <c r="G1507">
        <v>3.75</v>
      </c>
      <c r="H1507" s="3">
        <f t="shared" si="92"/>
        <v>45627</v>
      </c>
      <c r="I1507">
        <f>MONTH(Table1[[#This Row],[Date]])</f>
        <v>12</v>
      </c>
      <c r="J1507" t="str">
        <f t="shared" si="93"/>
        <v>Q4</v>
      </c>
      <c r="K1507" t="str">
        <f t="shared" si="94"/>
        <v>Dec-2024</v>
      </c>
      <c r="L1507" t="str">
        <f t="shared" si="95"/>
        <v>Medium</v>
      </c>
    </row>
    <row r="1508" spans="1:12" x14ac:dyDescent="0.3">
      <c r="A1508">
        <v>2024</v>
      </c>
      <c r="B1508" s="2" t="s">
        <v>28</v>
      </c>
      <c r="C1508" t="s">
        <v>17</v>
      </c>
      <c r="D1508" t="s">
        <v>10</v>
      </c>
      <c r="E1508">
        <v>45.86</v>
      </c>
      <c r="F1508">
        <v>168</v>
      </c>
      <c r="G1508">
        <v>3.83</v>
      </c>
      <c r="H1508" s="3">
        <f t="shared" si="92"/>
        <v>45627</v>
      </c>
      <c r="I1508">
        <f>MONTH(Table1[[#This Row],[Date]])</f>
        <v>12</v>
      </c>
      <c r="J1508" t="str">
        <f t="shared" si="93"/>
        <v>Q4</v>
      </c>
      <c r="K1508" t="str">
        <f t="shared" si="94"/>
        <v>Dec-2024</v>
      </c>
      <c r="L1508" t="str">
        <f t="shared" si="95"/>
        <v>Medium</v>
      </c>
    </row>
    <row r="1509" spans="1:12" x14ac:dyDescent="0.3">
      <c r="A1509">
        <v>2024</v>
      </c>
      <c r="B1509" s="2" t="s">
        <v>28</v>
      </c>
      <c r="C1509" t="s">
        <v>17</v>
      </c>
      <c r="D1509" t="s">
        <v>11</v>
      </c>
      <c r="E1509">
        <v>2.38</v>
      </c>
      <c r="F1509">
        <v>170</v>
      </c>
      <c r="G1509">
        <v>3.91</v>
      </c>
      <c r="H1509" s="3">
        <f t="shared" si="92"/>
        <v>45627</v>
      </c>
      <c r="I1509">
        <f>MONTH(Table1[[#This Row],[Date]])</f>
        <v>12</v>
      </c>
      <c r="J1509" t="str">
        <f t="shared" si="93"/>
        <v>Q4</v>
      </c>
      <c r="K1509" t="str">
        <f t="shared" si="94"/>
        <v>Dec-2024</v>
      </c>
      <c r="L1509" t="str">
        <f t="shared" si="95"/>
        <v>Medium</v>
      </c>
    </row>
    <row r="1510" spans="1:12" x14ac:dyDescent="0.3">
      <c r="A1510">
        <v>2024</v>
      </c>
      <c r="B1510" s="2" t="s">
        <v>28</v>
      </c>
      <c r="C1510" t="s">
        <v>17</v>
      </c>
      <c r="D1510" t="s">
        <v>12</v>
      </c>
      <c r="E1510">
        <v>6.53</v>
      </c>
      <c r="F1510">
        <v>172</v>
      </c>
      <c r="G1510">
        <v>3.99</v>
      </c>
      <c r="H1510" s="3">
        <f t="shared" si="92"/>
        <v>45627</v>
      </c>
      <c r="I1510">
        <f>MONTH(Table1[[#This Row],[Date]])</f>
        <v>12</v>
      </c>
      <c r="J1510" t="str">
        <f t="shared" si="93"/>
        <v>Q4</v>
      </c>
      <c r="K1510" t="str">
        <f t="shared" si="94"/>
        <v>Dec-2024</v>
      </c>
      <c r="L1510" t="str">
        <f t="shared" si="95"/>
        <v>Medium</v>
      </c>
    </row>
    <row r="1511" spans="1:12" x14ac:dyDescent="0.3">
      <c r="A1511">
        <v>2024</v>
      </c>
      <c r="B1511" s="2" t="s">
        <v>28</v>
      </c>
      <c r="C1511" t="s">
        <v>17</v>
      </c>
      <c r="D1511" t="s">
        <v>13</v>
      </c>
      <c r="E1511">
        <v>10.07</v>
      </c>
      <c r="F1511">
        <v>174</v>
      </c>
      <c r="G1511">
        <v>4.07</v>
      </c>
      <c r="H1511" s="3">
        <f t="shared" si="92"/>
        <v>45627</v>
      </c>
      <c r="I1511">
        <f>MONTH(Table1[[#This Row],[Date]])</f>
        <v>12</v>
      </c>
      <c r="J1511" t="str">
        <f t="shared" si="93"/>
        <v>Q4</v>
      </c>
      <c r="K1511" t="str">
        <f t="shared" si="94"/>
        <v>Dec-2024</v>
      </c>
      <c r="L1511" t="str">
        <f t="shared" si="95"/>
        <v>High</v>
      </c>
    </row>
    <row r="1512" spans="1:12" x14ac:dyDescent="0.3">
      <c r="A1512">
        <v>2024</v>
      </c>
      <c r="B1512" s="2" t="s">
        <v>28</v>
      </c>
      <c r="C1512" t="s">
        <v>17</v>
      </c>
      <c r="D1512" t="s">
        <v>14</v>
      </c>
      <c r="E1512">
        <v>6.84</v>
      </c>
      <c r="F1512">
        <v>176</v>
      </c>
      <c r="G1512">
        <v>4.1500000000000004</v>
      </c>
      <c r="H1512" s="3">
        <f t="shared" si="92"/>
        <v>45627</v>
      </c>
      <c r="I1512">
        <f>MONTH(Table1[[#This Row],[Date]])</f>
        <v>12</v>
      </c>
      <c r="J1512" t="str">
        <f t="shared" si="93"/>
        <v>Q4</v>
      </c>
      <c r="K1512" t="str">
        <f t="shared" si="94"/>
        <v>Dec-2024</v>
      </c>
      <c r="L1512" t="str">
        <f t="shared" si="95"/>
        <v>High</v>
      </c>
    </row>
    <row r="1513" spans="1:12" x14ac:dyDescent="0.3">
      <c r="A1513">
        <v>2024</v>
      </c>
      <c r="B1513" s="2" t="s">
        <v>28</v>
      </c>
      <c r="C1513" t="s">
        <v>17</v>
      </c>
      <c r="D1513" t="s">
        <v>15</v>
      </c>
      <c r="E1513">
        <v>28.32</v>
      </c>
      <c r="F1513">
        <v>178</v>
      </c>
      <c r="G1513">
        <v>4.2300000000000004</v>
      </c>
      <c r="H1513" s="3">
        <f t="shared" si="92"/>
        <v>45627</v>
      </c>
      <c r="I1513">
        <f>MONTH(Table1[[#This Row],[Date]])</f>
        <v>12</v>
      </c>
      <c r="J1513" t="str">
        <f t="shared" si="93"/>
        <v>Q4</v>
      </c>
      <c r="K1513" t="str">
        <f t="shared" si="94"/>
        <v>Dec-2024</v>
      </c>
      <c r="L1513" t="str">
        <f t="shared" si="95"/>
        <v>High</v>
      </c>
    </row>
    <row r="1514" spans="1:12" x14ac:dyDescent="0.3">
      <c r="A1514">
        <v>2025</v>
      </c>
      <c r="B1514" s="2" t="s">
        <v>7</v>
      </c>
      <c r="C1514" t="s">
        <v>8</v>
      </c>
      <c r="D1514" t="s">
        <v>9</v>
      </c>
      <c r="E1514">
        <v>100</v>
      </c>
      <c r="F1514">
        <v>165.4</v>
      </c>
      <c r="G1514">
        <v>4.25</v>
      </c>
      <c r="H1514" s="3">
        <f t="shared" si="92"/>
        <v>45658</v>
      </c>
      <c r="I1514">
        <f>MONTH(Table1[[#This Row],[Date]])</f>
        <v>1</v>
      </c>
      <c r="J1514" t="str">
        <f t="shared" si="93"/>
        <v>Q1</v>
      </c>
      <c r="K1514" t="str">
        <f t="shared" si="94"/>
        <v>Jan-2025</v>
      </c>
      <c r="L1514" t="str">
        <f t="shared" si="95"/>
        <v>High</v>
      </c>
    </row>
    <row r="1515" spans="1:12" x14ac:dyDescent="0.3">
      <c r="A1515">
        <v>2025</v>
      </c>
      <c r="B1515" s="2" t="s">
        <v>7</v>
      </c>
      <c r="C1515" t="s">
        <v>8</v>
      </c>
      <c r="D1515" t="s">
        <v>10</v>
      </c>
      <c r="E1515">
        <v>45.86</v>
      </c>
      <c r="F1515">
        <v>167.4</v>
      </c>
      <c r="G1515">
        <v>4.33</v>
      </c>
      <c r="H1515" s="3">
        <f t="shared" si="92"/>
        <v>45658</v>
      </c>
      <c r="I1515">
        <f>MONTH(Table1[[#This Row],[Date]])</f>
        <v>1</v>
      </c>
      <c r="J1515" t="str">
        <f t="shared" si="93"/>
        <v>Q1</v>
      </c>
      <c r="K1515" t="str">
        <f t="shared" si="94"/>
        <v>Jan-2025</v>
      </c>
      <c r="L1515" t="str">
        <f t="shared" si="95"/>
        <v>High</v>
      </c>
    </row>
    <row r="1516" spans="1:12" x14ac:dyDescent="0.3">
      <c r="A1516">
        <v>2025</v>
      </c>
      <c r="B1516" s="2" t="s">
        <v>7</v>
      </c>
      <c r="C1516" t="s">
        <v>8</v>
      </c>
      <c r="D1516" t="s">
        <v>11</v>
      </c>
      <c r="E1516">
        <v>2.38</v>
      </c>
      <c r="F1516">
        <v>169.4</v>
      </c>
      <c r="G1516">
        <v>4.41</v>
      </c>
      <c r="H1516" s="3">
        <f t="shared" si="92"/>
        <v>45658</v>
      </c>
      <c r="I1516">
        <f>MONTH(Table1[[#This Row],[Date]])</f>
        <v>1</v>
      </c>
      <c r="J1516" t="str">
        <f t="shared" si="93"/>
        <v>Q1</v>
      </c>
      <c r="K1516" t="str">
        <f t="shared" si="94"/>
        <v>Jan-2025</v>
      </c>
      <c r="L1516" t="str">
        <f t="shared" si="95"/>
        <v>High</v>
      </c>
    </row>
    <row r="1517" spans="1:12" x14ac:dyDescent="0.3">
      <c r="A1517">
        <v>2025</v>
      </c>
      <c r="B1517" s="2" t="s">
        <v>7</v>
      </c>
      <c r="C1517" t="s">
        <v>8</v>
      </c>
      <c r="D1517" t="s">
        <v>12</v>
      </c>
      <c r="E1517">
        <v>6.53</v>
      </c>
      <c r="F1517">
        <v>171.4</v>
      </c>
      <c r="G1517">
        <v>4.49</v>
      </c>
      <c r="H1517" s="3">
        <f t="shared" si="92"/>
        <v>45658</v>
      </c>
      <c r="I1517">
        <f>MONTH(Table1[[#This Row],[Date]])</f>
        <v>1</v>
      </c>
      <c r="J1517" t="str">
        <f t="shared" si="93"/>
        <v>Q1</v>
      </c>
      <c r="K1517" t="str">
        <f t="shared" si="94"/>
        <v>Jan-2025</v>
      </c>
      <c r="L1517" t="str">
        <f t="shared" si="95"/>
        <v>High</v>
      </c>
    </row>
    <row r="1518" spans="1:12" x14ac:dyDescent="0.3">
      <c r="A1518">
        <v>2025</v>
      </c>
      <c r="B1518" s="2" t="s">
        <v>7</v>
      </c>
      <c r="C1518" t="s">
        <v>8</v>
      </c>
      <c r="D1518" t="s">
        <v>13</v>
      </c>
      <c r="E1518">
        <v>10.07</v>
      </c>
      <c r="F1518">
        <v>173.4</v>
      </c>
      <c r="G1518">
        <v>4.57</v>
      </c>
      <c r="H1518" s="3">
        <f t="shared" si="92"/>
        <v>45658</v>
      </c>
      <c r="I1518">
        <f>MONTH(Table1[[#This Row],[Date]])</f>
        <v>1</v>
      </c>
      <c r="J1518" t="str">
        <f t="shared" si="93"/>
        <v>Q1</v>
      </c>
      <c r="K1518" t="str">
        <f t="shared" si="94"/>
        <v>Jan-2025</v>
      </c>
      <c r="L1518" t="str">
        <f t="shared" si="95"/>
        <v>High</v>
      </c>
    </row>
    <row r="1519" spans="1:12" x14ac:dyDescent="0.3">
      <c r="A1519">
        <v>2025</v>
      </c>
      <c r="B1519" s="2" t="s">
        <v>7</v>
      </c>
      <c r="C1519" t="s">
        <v>8</v>
      </c>
      <c r="D1519" t="s">
        <v>14</v>
      </c>
      <c r="E1519">
        <v>6.84</v>
      </c>
      <c r="F1519">
        <v>175.4</v>
      </c>
      <c r="G1519">
        <v>4.6500000000000004</v>
      </c>
      <c r="H1519" s="3">
        <f t="shared" si="92"/>
        <v>45658</v>
      </c>
      <c r="I1519">
        <f>MONTH(Table1[[#This Row],[Date]])</f>
        <v>1</v>
      </c>
      <c r="J1519" t="str">
        <f t="shared" si="93"/>
        <v>Q1</v>
      </c>
      <c r="K1519" t="str">
        <f t="shared" si="94"/>
        <v>Jan-2025</v>
      </c>
      <c r="L1519" t="str">
        <f t="shared" si="95"/>
        <v>High</v>
      </c>
    </row>
    <row r="1520" spans="1:12" x14ac:dyDescent="0.3">
      <c r="A1520">
        <v>2025</v>
      </c>
      <c r="B1520" s="2" t="s">
        <v>7</v>
      </c>
      <c r="C1520" t="s">
        <v>8</v>
      </c>
      <c r="D1520" t="s">
        <v>15</v>
      </c>
      <c r="E1520">
        <v>28.32</v>
      </c>
      <c r="F1520">
        <v>177.4</v>
      </c>
      <c r="G1520">
        <v>4.7300000000000004</v>
      </c>
      <c r="H1520" s="3">
        <f t="shared" si="92"/>
        <v>45658</v>
      </c>
      <c r="I1520">
        <f>MONTH(Table1[[#This Row],[Date]])</f>
        <v>1</v>
      </c>
      <c r="J1520" t="str">
        <f t="shared" si="93"/>
        <v>Q1</v>
      </c>
      <c r="K1520" t="str">
        <f t="shared" si="94"/>
        <v>Jan-2025</v>
      </c>
      <c r="L1520" t="str">
        <f t="shared" si="95"/>
        <v>High</v>
      </c>
    </row>
    <row r="1521" spans="1:12" x14ac:dyDescent="0.3">
      <c r="A1521">
        <v>2025</v>
      </c>
      <c r="B1521" s="2" t="s">
        <v>7</v>
      </c>
      <c r="C1521" t="s">
        <v>16</v>
      </c>
      <c r="D1521" t="s">
        <v>9</v>
      </c>
      <c r="E1521">
        <v>100</v>
      </c>
      <c r="F1521">
        <v>166</v>
      </c>
      <c r="G1521">
        <v>4.25</v>
      </c>
      <c r="H1521" s="3">
        <f t="shared" si="92"/>
        <v>45658</v>
      </c>
      <c r="I1521">
        <f>MONTH(Table1[[#This Row],[Date]])</f>
        <v>1</v>
      </c>
      <c r="J1521" t="str">
        <f t="shared" si="93"/>
        <v>Q1</v>
      </c>
      <c r="K1521" t="str">
        <f t="shared" si="94"/>
        <v>Jan-2025</v>
      </c>
      <c r="L1521" t="str">
        <f t="shared" si="95"/>
        <v>High</v>
      </c>
    </row>
    <row r="1522" spans="1:12" x14ac:dyDescent="0.3">
      <c r="A1522">
        <v>2025</v>
      </c>
      <c r="B1522" s="2" t="s">
        <v>7</v>
      </c>
      <c r="C1522" t="s">
        <v>16</v>
      </c>
      <c r="D1522" t="s">
        <v>10</v>
      </c>
      <c r="E1522">
        <v>45.86</v>
      </c>
      <c r="F1522">
        <v>168</v>
      </c>
      <c r="G1522">
        <v>4.33</v>
      </c>
      <c r="H1522" s="3">
        <f t="shared" si="92"/>
        <v>45658</v>
      </c>
      <c r="I1522">
        <f>MONTH(Table1[[#This Row],[Date]])</f>
        <v>1</v>
      </c>
      <c r="J1522" t="str">
        <f t="shared" si="93"/>
        <v>Q1</v>
      </c>
      <c r="K1522" t="str">
        <f t="shared" si="94"/>
        <v>Jan-2025</v>
      </c>
      <c r="L1522" t="str">
        <f t="shared" si="95"/>
        <v>High</v>
      </c>
    </row>
    <row r="1523" spans="1:12" x14ac:dyDescent="0.3">
      <c r="A1523">
        <v>2025</v>
      </c>
      <c r="B1523" s="2" t="s">
        <v>7</v>
      </c>
      <c r="C1523" t="s">
        <v>16</v>
      </c>
      <c r="D1523" t="s">
        <v>11</v>
      </c>
      <c r="E1523">
        <v>2.38</v>
      </c>
      <c r="F1523">
        <v>170</v>
      </c>
      <c r="G1523">
        <v>4.41</v>
      </c>
      <c r="H1523" s="3">
        <f t="shared" si="92"/>
        <v>45658</v>
      </c>
      <c r="I1523">
        <f>MONTH(Table1[[#This Row],[Date]])</f>
        <v>1</v>
      </c>
      <c r="J1523" t="str">
        <f t="shared" si="93"/>
        <v>Q1</v>
      </c>
      <c r="K1523" t="str">
        <f t="shared" si="94"/>
        <v>Jan-2025</v>
      </c>
      <c r="L1523" t="str">
        <f t="shared" si="95"/>
        <v>High</v>
      </c>
    </row>
    <row r="1524" spans="1:12" x14ac:dyDescent="0.3">
      <c r="A1524">
        <v>2025</v>
      </c>
      <c r="B1524" s="2" t="s">
        <v>7</v>
      </c>
      <c r="C1524" t="s">
        <v>16</v>
      </c>
      <c r="D1524" t="s">
        <v>12</v>
      </c>
      <c r="E1524">
        <v>6.53</v>
      </c>
      <c r="F1524">
        <v>172</v>
      </c>
      <c r="G1524">
        <v>4.49</v>
      </c>
      <c r="H1524" s="3">
        <f t="shared" si="92"/>
        <v>45658</v>
      </c>
      <c r="I1524">
        <f>MONTH(Table1[[#This Row],[Date]])</f>
        <v>1</v>
      </c>
      <c r="J1524" t="str">
        <f t="shared" si="93"/>
        <v>Q1</v>
      </c>
      <c r="K1524" t="str">
        <f t="shared" si="94"/>
        <v>Jan-2025</v>
      </c>
      <c r="L1524" t="str">
        <f t="shared" si="95"/>
        <v>High</v>
      </c>
    </row>
    <row r="1525" spans="1:12" x14ac:dyDescent="0.3">
      <c r="A1525">
        <v>2025</v>
      </c>
      <c r="B1525" s="2" t="s">
        <v>7</v>
      </c>
      <c r="C1525" t="s">
        <v>16</v>
      </c>
      <c r="D1525" t="s">
        <v>13</v>
      </c>
      <c r="E1525">
        <v>10.07</v>
      </c>
      <c r="F1525">
        <v>174</v>
      </c>
      <c r="G1525">
        <v>4.57</v>
      </c>
      <c r="H1525" s="3">
        <f t="shared" si="92"/>
        <v>45658</v>
      </c>
      <c r="I1525">
        <f>MONTH(Table1[[#This Row],[Date]])</f>
        <v>1</v>
      </c>
      <c r="J1525" t="str">
        <f t="shared" si="93"/>
        <v>Q1</v>
      </c>
      <c r="K1525" t="str">
        <f t="shared" si="94"/>
        <v>Jan-2025</v>
      </c>
      <c r="L1525" t="str">
        <f t="shared" si="95"/>
        <v>High</v>
      </c>
    </row>
    <row r="1526" spans="1:12" x14ac:dyDescent="0.3">
      <c r="A1526">
        <v>2025</v>
      </c>
      <c r="B1526" s="2" t="s">
        <v>7</v>
      </c>
      <c r="C1526" t="s">
        <v>16</v>
      </c>
      <c r="D1526" t="s">
        <v>14</v>
      </c>
      <c r="E1526">
        <v>6.84</v>
      </c>
      <c r="F1526">
        <v>176</v>
      </c>
      <c r="G1526">
        <v>4.6500000000000004</v>
      </c>
      <c r="H1526" s="3">
        <f t="shared" si="92"/>
        <v>45658</v>
      </c>
      <c r="I1526">
        <f>MONTH(Table1[[#This Row],[Date]])</f>
        <v>1</v>
      </c>
      <c r="J1526" t="str">
        <f t="shared" si="93"/>
        <v>Q1</v>
      </c>
      <c r="K1526" t="str">
        <f t="shared" si="94"/>
        <v>Jan-2025</v>
      </c>
      <c r="L1526" t="str">
        <f t="shared" si="95"/>
        <v>High</v>
      </c>
    </row>
    <row r="1527" spans="1:12" x14ac:dyDescent="0.3">
      <c r="A1527">
        <v>2025</v>
      </c>
      <c r="B1527" s="2" t="s">
        <v>7</v>
      </c>
      <c r="C1527" t="s">
        <v>16</v>
      </c>
      <c r="D1527" t="s">
        <v>15</v>
      </c>
      <c r="E1527">
        <v>28.32</v>
      </c>
      <c r="F1527">
        <v>178</v>
      </c>
      <c r="G1527">
        <v>4.7300000000000004</v>
      </c>
      <c r="H1527" s="3">
        <f t="shared" si="92"/>
        <v>45658</v>
      </c>
      <c r="I1527">
        <f>MONTH(Table1[[#This Row],[Date]])</f>
        <v>1</v>
      </c>
      <c r="J1527" t="str">
        <f t="shared" si="93"/>
        <v>Q1</v>
      </c>
      <c r="K1527" t="str">
        <f t="shared" si="94"/>
        <v>Jan-2025</v>
      </c>
      <c r="L1527" t="str">
        <f t="shared" si="95"/>
        <v>High</v>
      </c>
    </row>
    <row r="1528" spans="1:12" x14ac:dyDescent="0.3">
      <c r="A1528">
        <v>2025</v>
      </c>
      <c r="B1528" s="2" t="s">
        <v>7</v>
      </c>
      <c r="C1528" t="s">
        <v>17</v>
      </c>
      <c r="D1528" t="s">
        <v>9</v>
      </c>
      <c r="E1528">
        <v>100</v>
      </c>
      <c r="F1528">
        <v>166.6</v>
      </c>
      <c r="G1528">
        <v>4.25</v>
      </c>
      <c r="H1528" s="3">
        <f t="shared" si="92"/>
        <v>45658</v>
      </c>
      <c r="I1528">
        <f>MONTH(Table1[[#This Row],[Date]])</f>
        <v>1</v>
      </c>
      <c r="J1528" t="str">
        <f t="shared" si="93"/>
        <v>Q1</v>
      </c>
      <c r="K1528" t="str">
        <f t="shared" si="94"/>
        <v>Jan-2025</v>
      </c>
      <c r="L1528" t="str">
        <f t="shared" si="95"/>
        <v>High</v>
      </c>
    </row>
    <row r="1529" spans="1:12" x14ac:dyDescent="0.3">
      <c r="A1529">
        <v>2025</v>
      </c>
      <c r="B1529" s="2" t="s">
        <v>7</v>
      </c>
      <c r="C1529" t="s">
        <v>17</v>
      </c>
      <c r="D1529" t="s">
        <v>10</v>
      </c>
      <c r="E1529">
        <v>45.86</v>
      </c>
      <c r="F1529">
        <v>168.6</v>
      </c>
      <c r="G1529">
        <v>4.33</v>
      </c>
      <c r="H1529" s="3">
        <f t="shared" si="92"/>
        <v>45658</v>
      </c>
      <c r="I1529">
        <f>MONTH(Table1[[#This Row],[Date]])</f>
        <v>1</v>
      </c>
      <c r="J1529" t="str">
        <f t="shared" si="93"/>
        <v>Q1</v>
      </c>
      <c r="K1529" t="str">
        <f t="shared" si="94"/>
        <v>Jan-2025</v>
      </c>
      <c r="L1529" t="str">
        <f t="shared" si="95"/>
        <v>High</v>
      </c>
    </row>
    <row r="1530" spans="1:12" x14ac:dyDescent="0.3">
      <c r="A1530">
        <v>2025</v>
      </c>
      <c r="B1530" s="2" t="s">
        <v>7</v>
      </c>
      <c r="C1530" t="s">
        <v>17</v>
      </c>
      <c r="D1530" t="s">
        <v>11</v>
      </c>
      <c r="E1530">
        <v>2.38</v>
      </c>
      <c r="F1530">
        <v>170.6</v>
      </c>
      <c r="G1530">
        <v>4.41</v>
      </c>
      <c r="H1530" s="3">
        <f t="shared" si="92"/>
        <v>45658</v>
      </c>
      <c r="I1530">
        <f>MONTH(Table1[[#This Row],[Date]])</f>
        <v>1</v>
      </c>
      <c r="J1530" t="str">
        <f t="shared" si="93"/>
        <v>Q1</v>
      </c>
      <c r="K1530" t="str">
        <f t="shared" si="94"/>
        <v>Jan-2025</v>
      </c>
      <c r="L1530" t="str">
        <f t="shared" si="95"/>
        <v>High</v>
      </c>
    </row>
    <row r="1531" spans="1:12" x14ac:dyDescent="0.3">
      <c r="A1531">
        <v>2025</v>
      </c>
      <c r="B1531" s="2" t="s">
        <v>7</v>
      </c>
      <c r="C1531" t="s">
        <v>17</v>
      </c>
      <c r="D1531" t="s">
        <v>12</v>
      </c>
      <c r="E1531">
        <v>6.53</v>
      </c>
      <c r="F1531">
        <v>172.6</v>
      </c>
      <c r="G1531">
        <v>4.49</v>
      </c>
      <c r="H1531" s="3">
        <f t="shared" si="92"/>
        <v>45658</v>
      </c>
      <c r="I1531">
        <f>MONTH(Table1[[#This Row],[Date]])</f>
        <v>1</v>
      </c>
      <c r="J1531" t="str">
        <f t="shared" si="93"/>
        <v>Q1</v>
      </c>
      <c r="K1531" t="str">
        <f t="shared" si="94"/>
        <v>Jan-2025</v>
      </c>
      <c r="L1531" t="str">
        <f t="shared" si="95"/>
        <v>High</v>
      </c>
    </row>
    <row r="1532" spans="1:12" x14ac:dyDescent="0.3">
      <c r="A1532">
        <v>2025</v>
      </c>
      <c r="B1532" s="2" t="s">
        <v>7</v>
      </c>
      <c r="C1532" t="s">
        <v>17</v>
      </c>
      <c r="D1532" t="s">
        <v>13</v>
      </c>
      <c r="E1532">
        <v>10.07</v>
      </c>
      <c r="F1532">
        <v>174.6</v>
      </c>
      <c r="G1532">
        <v>4.57</v>
      </c>
      <c r="H1532" s="3">
        <f t="shared" si="92"/>
        <v>45658</v>
      </c>
      <c r="I1532">
        <f>MONTH(Table1[[#This Row],[Date]])</f>
        <v>1</v>
      </c>
      <c r="J1532" t="str">
        <f t="shared" si="93"/>
        <v>Q1</v>
      </c>
      <c r="K1532" t="str">
        <f t="shared" si="94"/>
        <v>Jan-2025</v>
      </c>
      <c r="L1532" t="str">
        <f t="shared" si="95"/>
        <v>High</v>
      </c>
    </row>
    <row r="1533" spans="1:12" x14ac:dyDescent="0.3">
      <c r="A1533">
        <v>2025</v>
      </c>
      <c r="B1533" s="2" t="s">
        <v>7</v>
      </c>
      <c r="C1533" t="s">
        <v>17</v>
      </c>
      <c r="D1533" t="s">
        <v>14</v>
      </c>
      <c r="E1533">
        <v>6.84</v>
      </c>
      <c r="F1533">
        <v>176.6</v>
      </c>
      <c r="G1533">
        <v>4.6500000000000004</v>
      </c>
      <c r="H1533" s="3">
        <f t="shared" si="92"/>
        <v>45658</v>
      </c>
      <c r="I1533">
        <f>MONTH(Table1[[#This Row],[Date]])</f>
        <v>1</v>
      </c>
      <c r="J1533" t="str">
        <f t="shared" si="93"/>
        <v>Q1</v>
      </c>
      <c r="K1533" t="str">
        <f t="shared" si="94"/>
        <v>Jan-2025</v>
      </c>
      <c r="L1533" t="str">
        <f t="shared" si="95"/>
        <v>High</v>
      </c>
    </row>
    <row r="1534" spans="1:12" x14ac:dyDescent="0.3">
      <c r="A1534">
        <v>2025</v>
      </c>
      <c r="B1534" s="2" t="s">
        <v>7</v>
      </c>
      <c r="C1534" t="s">
        <v>17</v>
      </c>
      <c r="D1534" t="s">
        <v>15</v>
      </c>
      <c r="E1534">
        <v>28.32</v>
      </c>
      <c r="F1534">
        <v>178.6</v>
      </c>
      <c r="G1534">
        <v>4.7300000000000004</v>
      </c>
      <c r="H1534" s="3">
        <f t="shared" si="92"/>
        <v>45658</v>
      </c>
      <c r="I1534">
        <f>MONTH(Table1[[#This Row],[Date]])</f>
        <v>1</v>
      </c>
      <c r="J1534" t="str">
        <f t="shared" si="93"/>
        <v>Q1</v>
      </c>
      <c r="K1534" t="str">
        <f t="shared" si="94"/>
        <v>Jan-2025</v>
      </c>
      <c r="L1534" t="str">
        <f t="shared" si="95"/>
        <v>High</v>
      </c>
    </row>
    <row r="1535" spans="1:12" x14ac:dyDescent="0.3">
      <c r="A1535">
        <v>2025</v>
      </c>
      <c r="B1535" s="2" t="s">
        <v>18</v>
      </c>
      <c r="C1535" t="s">
        <v>8</v>
      </c>
      <c r="D1535" t="s">
        <v>9</v>
      </c>
      <c r="E1535">
        <v>100</v>
      </c>
      <c r="F1535">
        <v>165.8</v>
      </c>
      <c r="G1535">
        <v>4.4000000000000004</v>
      </c>
      <c r="H1535" s="3">
        <f t="shared" si="92"/>
        <v>45689</v>
      </c>
      <c r="I1535">
        <f>MONTH(Table1[[#This Row],[Date]])</f>
        <v>2</v>
      </c>
      <c r="J1535" t="str">
        <f t="shared" si="93"/>
        <v>Q1</v>
      </c>
      <c r="K1535" t="str">
        <f t="shared" si="94"/>
        <v>Feb-2025</v>
      </c>
      <c r="L1535" t="str">
        <f t="shared" si="95"/>
        <v>High</v>
      </c>
    </row>
    <row r="1536" spans="1:12" x14ac:dyDescent="0.3">
      <c r="A1536">
        <v>2025</v>
      </c>
      <c r="B1536" s="2" t="s">
        <v>18</v>
      </c>
      <c r="C1536" t="s">
        <v>8</v>
      </c>
      <c r="D1536" t="s">
        <v>10</v>
      </c>
      <c r="E1536">
        <v>45.86</v>
      </c>
      <c r="F1536">
        <v>167.8</v>
      </c>
      <c r="G1536">
        <v>4.4800000000000004</v>
      </c>
      <c r="H1536" s="3">
        <f t="shared" si="92"/>
        <v>45689</v>
      </c>
      <c r="I1536">
        <f>MONTH(Table1[[#This Row],[Date]])</f>
        <v>2</v>
      </c>
      <c r="J1536" t="str">
        <f t="shared" si="93"/>
        <v>Q1</v>
      </c>
      <c r="K1536" t="str">
        <f t="shared" si="94"/>
        <v>Feb-2025</v>
      </c>
      <c r="L1536" t="str">
        <f t="shared" si="95"/>
        <v>High</v>
      </c>
    </row>
    <row r="1537" spans="1:12" x14ac:dyDescent="0.3">
      <c r="A1537">
        <v>2025</v>
      </c>
      <c r="B1537" s="2" t="s">
        <v>18</v>
      </c>
      <c r="C1537" t="s">
        <v>8</v>
      </c>
      <c r="D1537" t="s">
        <v>11</v>
      </c>
      <c r="E1537">
        <v>2.38</v>
      </c>
      <c r="F1537">
        <v>169.8</v>
      </c>
      <c r="G1537">
        <v>4.5599999999999996</v>
      </c>
      <c r="H1537" s="3">
        <f t="shared" si="92"/>
        <v>45689</v>
      </c>
      <c r="I1537">
        <f>MONTH(Table1[[#This Row],[Date]])</f>
        <v>2</v>
      </c>
      <c r="J1537" t="str">
        <f t="shared" si="93"/>
        <v>Q1</v>
      </c>
      <c r="K1537" t="str">
        <f t="shared" si="94"/>
        <v>Feb-2025</v>
      </c>
      <c r="L1537" t="str">
        <f t="shared" si="95"/>
        <v>High</v>
      </c>
    </row>
    <row r="1538" spans="1:12" x14ac:dyDescent="0.3">
      <c r="A1538">
        <v>2025</v>
      </c>
      <c r="B1538" s="2" t="s">
        <v>18</v>
      </c>
      <c r="C1538" t="s">
        <v>8</v>
      </c>
      <c r="D1538" t="s">
        <v>12</v>
      </c>
      <c r="E1538">
        <v>6.53</v>
      </c>
      <c r="F1538">
        <v>171.8</v>
      </c>
      <c r="G1538">
        <v>4.6399999999999997</v>
      </c>
      <c r="H1538" s="3">
        <f t="shared" ref="H1538:H1601" si="96">DATE(A1538,MONTH(DATEVALUE(B1538&amp;" 1")),1)</f>
        <v>45689</v>
      </c>
      <c r="I1538">
        <f>MONTH(Table1[[#This Row],[Date]])</f>
        <v>2</v>
      </c>
      <c r="J1538" t="str">
        <f t="shared" ref="J1538:J1601" si="97">"Q"&amp;ROUNDUP(MONTH(H1538)/3,0)</f>
        <v>Q1</v>
      </c>
      <c r="K1538" t="str">
        <f t="shared" ref="K1538:K1601" si="98">TEXT(H1538,"mmm-yyyy")</f>
        <v>Feb-2025</v>
      </c>
      <c r="L1538" t="str">
        <f t="shared" ref="L1538:L1601" si="99">IF(G1538&lt;3,"Low",IF(G1538&lt;4,"Medium","High"))</f>
        <v>High</v>
      </c>
    </row>
    <row r="1539" spans="1:12" x14ac:dyDescent="0.3">
      <c r="A1539">
        <v>2025</v>
      </c>
      <c r="B1539" s="2" t="s">
        <v>18</v>
      </c>
      <c r="C1539" t="s">
        <v>8</v>
      </c>
      <c r="D1539" t="s">
        <v>13</v>
      </c>
      <c r="E1539">
        <v>10.07</v>
      </c>
      <c r="F1539">
        <v>173.8</v>
      </c>
      <c r="G1539">
        <v>4.72</v>
      </c>
      <c r="H1539" s="3">
        <f t="shared" si="96"/>
        <v>45689</v>
      </c>
      <c r="I1539">
        <f>MONTH(Table1[[#This Row],[Date]])</f>
        <v>2</v>
      </c>
      <c r="J1539" t="str">
        <f t="shared" si="97"/>
        <v>Q1</v>
      </c>
      <c r="K1539" t="str">
        <f t="shared" si="98"/>
        <v>Feb-2025</v>
      </c>
      <c r="L1539" t="str">
        <f t="shared" si="99"/>
        <v>High</v>
      </c>
    </row>
    <row r="1540" spans="1:12" x14ac:dyDescent="0.3">
      <c r="A1540">
        <v>2025</v>
      </c>
      <c r="B1540" s="2" t="s">
        <v>18</v>
      </c>
      <c r="C1540" t="s">
        <v>8</v>
      </c>
      <c r="D1540" t="s">
        <v>14</v>
      </c>
      <c r="E1540">
        <v>6.84</v>
      </c>
      <c r="F1540">
        <v>175.8</v>
      </c>
      <c r="G1540">
        <v>4.8</v>
      </c>
      <c r="H1540" s="3">
        <f t="shared" si="96"/>
        <v>45689</v>
      </c>
      <c r="I1540">
        <f>MONTH(Table1[[#This Row],[Date]])</f>
        <v>2</v>
      </c>
      <c r="J1540" t="str">
        <f t="shared" si="97"/>
        <v>Q1</v>
      </c>
      <c r="K1540" t="str">
        <f t="shared" si="98"/>
        <v>Feb-2025</v>
      </c>
      <c r="L1540" t="str">
        <f t="shared" si="99"/>
        <v>High</v>
      </c>
    </row>
    <row r="1541" spans="1:12" x14ac:dyDescent="0.3">
      <c r="A1541">
        <v>2025</v>
      </c>
      <c r="B1541" s="2" t="s">
        <v>18</v>
      </c>
      <c r="C1541" t="s">
        <v>8</v>
      </c>
      <c r="D1541" t="s">
        <v>15</v>
      </c>
      <c r="E1541">
        <v>28.32</v>
      </c>
      <c r="F1541">
        <v>177.8</v>
      </c>
      <c r="G1541">
        <v>4.88</v>
      </c>
      <c r="H1541" s="3">
        <f t="shared" si="96"/>
        <v>45689</v>
      </c>
      <c r="I1541">
        <f>MONTH(Table1[[#This Row],[Date]])</f>
        <v>2</v>
      </c>
      <c r="J1541" t="str">
        <f t="shared" si="97"/>
        <v>Q1</v>
      </c>
      <c r="K1541" t="str">
        <f t="shared" si="98"/>
        <v>Feb-2025</v>
      </c>
      <c r="L1541" t="str">
        <f t="shared" si="99"/>
        <v>High</v>
      </c>
    </row>
    <row r="1542" spans="1:12" x14ac:dyDescent="0.3">
      <c r="A1542">
        <v>2025</v>
      </c>
      <c r="B1542" s="2" t="s">
        <v>18</v>
      </c>
      <c r="C1542" t="s">
        <v>16</v>
      </c>
      <c r="D1542" t="s">
        <v>9</v>
      </c>
      <c r="E1542">
        <v>100</v>
      </c>
      <c r="F1542">
        <v>166.4</v>
      </c>
      <c r="G1542">
        <v>4.4000000000000004</v>
      </c>
      <c r="H1542" s="3">
        <f t="shared" si="96"/>
        <v>45689</v>
      </c>
      <c r="I1542">
        <f>MONTH(Table1[[#This Row],[Date]])</f>
        <v>2</v>
      </c>
      <c r="J1542" t="str">
        <f t="shared" si="97"/>
        <v>Q1</v>
      </c>
      <c r="K1542" t="str">
        <f t="shared" si="98"/>
        <v>Feb-2025</v>
      </c>
      <c r="L1542" t="str">
        <f t="shared" si="99"/>
        <v>High</v>
      </c>
    </row>
    <row r="1543" spans="1:12" x14ac:dyDescent="0.3">
      <c r="A1543">
        <v>2025</v>
      </c>
      <c r="B1543" s="2" t="s">
        <v>18</v>
      </c>
      <c r="C1543" t="s">
        <v>16</v>
      </c>
      <c r="D1543" t="s">
        <v>10</v>
      </c>
      <c r="E1543">
        <v>45.86</v>
      </c>
      <c r="F1543">
        <v>168.4</v>
      </c>
      <c r="G1543">
        <v>4.4800000000000004</v>
      </c>
      <c r="H1543" s="3">
        <f t="shared" si="96"/>
        <v>45689</v>
      </c>
      <c r="I1543">
        <f>MONTH(Table1[[#This Row],[Date]])</f>
        <v>2</v>
      </c>
      <c r="J1543" t="str">
        <f t="shared" si="97"/>
        <v>Q1</v>
      </c>
      <c r="K1543" t="str">
        <f t="shared" si="98"/>
        <v>Feb-2025</v>
      </c>
      <c r="L1543" t="str">
        <f t="shared" si="99"/>
        <v>High</v>
      </c>
    </row>
    <row r="1544" spans="1:12" x14ac:dyDescent="0.3">
      <c r="A1544">
        <v>2025</v>
      </c>
      <c r="B1544" s="2" t="s">
        <v>18</v>
      </c>
      <c r="C1544" t="s">
        <v>16</v>
      </c>
      <c r="D1544" t="s">
        <v>11</v>
      </c>
      <c r="E1544">
        <v>2.38</v>
      </c>
      <c r="F1544">
        <v>170.4</v>
      </c>
      <c r="G1544">
        <v>4.5599999999999996</v>
      </c>
      <c r="H1544" s="3">
        <f t="shared" si="96"/>
        <v>45689</v>
      </c>
      <c r="I1544">
        <f>MONTH(Table1[[#This Row],[Date]])</f>
        <v>2</v>
      </c>
      <c r="J1544" t="str">
        <f t="shared" si="97"/>
        <v>Q1</v>
      </c>
      <c r="K1544" t="str">
        <f t="shared" si="98"/>
        <v>Feb-2025</v>
      </c>
      <c r="L1544" t="str">
        <f t="shared" si="99"/>
        <v>High</v>
      </c>
    </row>
    <row r="1545" spans="1:12" x14ac:dyDescent="0.3">
      <c r="A1545">
        <v>2025</v>
      </c>
      <c r="B1545" s="2" t="s">
        <v>18</v>
      </c>
      <c r="C1545" t="s">
        <v>16</v>
      </c>
      <c r="D1545" t="s">
        <v>12</v>
      </c>
      <c r="E1545">
        <v>6.53</v>
      </c>
      <c r="F1545">
        <v>172.4</v>
      </c>
      <c r="G1545">
        <v>4.6399999999999997</v>
      </c>
      <c r="H1545" s="3">
        <f t="shared" si="96"/>
        <v>45689</v>
      </c>
      <c r="I1545">
        <f>MONTH(Table1[[#This Row],[Date]])</f>
        <v>2</v>
      </c>
      <c r="J1545" t="str">
        <f t="shared" si="97"/>
        <v>Q1</v>
      </c>
      <c r="K1545" t="str">
        <f t="shared" si="98"/>
        <v>Feb-2025</v>
      </c>
      <c r="L1545" t="str">
        <f t="shared" si="99"/>
        <v>High</v>
      </c>
    </row>
    <row r="1546" spans="1:12" x14ac:dyDescent="0.3">
      <c r="A1546">
        <v>2025</v>
      </c>
      <c r="B1546" s="2" t="s">
        <v>18</v>
      </c>
      <c r="C1546" t="s">
        <v>16</v>
      </c>
      <c r="D1546" t="s">
        <v>13</v>
      </c>
      <c r="E1546">
        <v>10.07</v>
      </c>
      <c r="F1546">
        <v>174.4</v>
      </c>
      <c r="G1546">
        <v>4.72</v>
      </c>
      <c r="H1546" s="3">
        <f t="shared" si="96"/>
        <v>45689</v>
      </c>
      <c r="I1546">
        <f>MONTH(Table1[[#This Row],[Date]])</f>
        <v>2</v>
      </c>
      <c r="J1546" t="str">
        <f t="shared" si="97"/>
        <v>Q1</v>
      </c>
      <c r="K1546" t="str">
        <f t="shared" si="98"/>
        <v>Feb-2025</v>
      </c>
      <c r="L1546" t="str">
        <f t="shared" si="99"/>
        <v>High</v>
      </c>
    </row>
    <row r="1547" spans="1:12" x14ac:dyDescent="0.3">
      <c r="A1547">
        <v>2025</v>
      </c>
      <c r="B1547" s="2" t="s">
        <v>18</v>
      </c>
      <c r="C1547" t="s">
        <v>16</v>
      </c>
      <c r="D1547" t="s">
        <v>14</v>
      </c>
      <c r="E1547">
        <v>6.84</v>
      </c>
      <c r="F1547">
        <v>176.4</v>
      </c>
      <c r="G1547">
        <v>4.8</v>
      </c>
      <c r="H1547" s="3">
        <f t="shared" si="96"/>
        <v>45689</v>
      </c>
      <c r="I1547">
        <f>MONTH(Table1[[#This Row],[Date]])</f>
        <v>2</v>
      </c>
      <c r="J1547" t="str">
        <f t="shared" si="97"/>
        <v>Q1</v>
      </c>
      <c r="K1547" t="str">
        <f t="shared" si="98"/>
        <v>Feb-2025</v>
      </c>
      <c r="L1547" t="str">
        <f t="shared" si="99"/>
        <v>High</v>
      </c>
    </row>
    <row r="1548" spans="1:12" x14ac:dyDescent="0.3">
      <c r="A1548">
        <v>2025</v>
      </c>
      <c r="B1548" s="2" t="s">
        <v>18</v>
      </c>
      <c r="C1548" t="s">
        <v>16</v>
      </c>
      <c r="D1548" t="s">
        <v>15</v>
      </c>
      <c r="E1548">
        <v>28.32</v>
      </c>
      <c r="F1548">
        <v>178.4</v>
      </c>
      <c r="G1548">
        <v>4.88</v>
      </c>
      <c r="H1548" s="3">
        <f t="shared" si="96"/>
        <v>45689</v>
      </c>
      <c r="I1548">
        <f>MONTH(Table1[[#This Row],[Date]])</f>
        <v>2</v>
      </c>
      <c r="J1548" t="str">
        <f t="shared" si="97"/>
        <v>Q1</v>
      </c>
      <c r="K1548" t="str">
        <f t="shared" si="98"/>
        <v>Feb-2025</v>
      </c>
      <c r="L1548" t="str">
        <f t="shared" si="99"/>
        <v>High</v>
      </c>
    </row>
    <row r="1549" spans="1:12" x14ac:dyDescent="0.3">
      <c r="A1549">
        <v>2025</v>
      </c>
      <c r="B1549" s="2" t="s">
        <v>18</v>
      </c>
      <c r="C1549" t="s">
        <v>17</v>
      </c>
      <c r="D1549" t="s">
        <v>9</v>
      </c>
      <c r="E1549">
        <v>100</v>
      </c>
      <c r="F1549">
        <v>167</v>
      </c>
      <c r="G1549">
        <v>4.4000000000000004</v>
      </c>
      <c r="H1549" s="3">
        <f t="shared" si="96"/>
        <v>45689</v>
      </c>
      <c r="I1549">
        <f>MONTH(Table1[[#This Row],[Date]])</f>
        <v>2</v>
      </c>
      <c r="J1549" t="str">
        <f t="shared" si="97"/>
        <v>Q1</v>
      </c>
      <c r="K1549" t="str">
        <f t="shared" si="98"/>
        <v>Feb-2025</v>
      </c>
      <c r="L1549" t="str">
        <f t="shared" si="99"/>
        <v>High</v>
      </c>
    </row>
    <row r="1550" spans="1:12" x14ac:dyDescent="0.3">
      <c r="A1550">
        <v>2025</v>
      </c>
      <c r="B1550" s="2" t="s">
        <v>18</v>
      </c>
      <c r="C1550" t="s">
        <v>17</v>
      </c>
      <c r="D1550" t="s">
        <v>10</v>
      </c>
      <c r="E1550">
        <v>45.86</v>
      </c>
      <c r="F1550">
        <v>169</v>
      </c>
      <c r="G1550">
        <v>4.4800000000000004</v>
      </c>
      <c r="H1550" s="3">
        <f t="shared" si="96"/>
        <v>45689</v>
      </c>
      <c r="I1550">
        <f>MONTH(Table1[[#This Row],[Date]])</f>
        <v>2</v>
      </c>
      <c r="J1550" t="str">
        <f t="shared" si="97"/>
        <v>Q1</v>
      </c>
      <c r="K1550" t="str">
        <f t="shared" si="98"/>
        <v>Feb-2025</v>
      </c>
      <c r="L1550" t="str">
        <f t="shared" si="99"/>
        <v>High</v>
      </c>
    </row>
    <row r="1551" spans="1:12" x14ac:dyDescent="0.3">
      <c r="A1551">
        <v>2025</v>
      </c>
      <c r="B1551" s="2" t="s">
        <v>18</v>
      </c>
      <c r="C1551" t="s">
        <v>17</v>
      </c>
      <c r="D1551" t="s">
        <v>11</v>
      </c>
      <c r="E1551">
        <v>2.38</v>
      </c>
      <c r="F1551">
        <v>171</v>
      </c>
      <c r="G1551">
        <v>4.5599999999999996</v>
      </c>
      <c r="H1551" s="3">
        <f t="shared" si="96"/>
        <v>45689</v>
      </c>
      <c r="I1551">
        <f>MONTH(Table1[[#This Row],[Date]])</f>
        <v>2</v>
      </c>
      <c r="J1551" t="str">
        <f t="shared" si="97"/>
        <v>Q1</v>
      </c>
      <c r="K1551" t="str">
        <f t="shared" si="98"/>
        <v>Feb-2025</v>
      </c>
      <c r="L1551" t="str">
        <f t="shared" si="99"/>
        <v>High</v>
      </c>
    </row>
    <row r="1552" spans="1:12" x14ac:dyDescent="0.3">
      <c r="A1552">
        <v>2025</v>
      </c>
      <c r="B1552" s="2" t="s">
        <v>18</v>
      </c>
      <c r="C1552" t="s">
        <v>17</v>
      </c>
      <c r="D1552" t="s">
        <v>12</v>
      </c>
      <c r="E1552">
        <v>6.53</v>
      </c>
      <c r="F1552">
        <v>173</v>
      </c>
      <c r="G1552">
        <v>4.6399999999999997</v>
      </c>
      <c r="H1552" s="3">
        <f t="shared" si="96"/>
        <v>45689</v>
      </c>
      <c r="I1552">
        <f>MONTH(Table1[[#This Row],[Date]])</f>
        <v>2</v>
      </c>
      <c r="J1552" t="str">
        <f t="shared" si="97"/>
        <v>Q1</v>
      </c>
      <c r="K1552" t="str">
        <f t="shared" si="98"/>
        <v>Feb-2025</v>
      </c>
      <c r="L1552" t="str">
        <f t="shared" si="99"/>
        <v>High</v>
      </c>
    </row>
    <row r="1553" spans="1:12" x14ac:dyDescent="0.3">
      <c r="A1553">
        <v>2025</v>
      </c>
      <c r="B1553" s="2" t="s">
        <v>18</v>
      </c>
      <c r="C1553" t="s">
        <v>17</v>
      </c>
      <c r="D1553" t="s">
        <v>13</v>
      </c>
      <c r="E1553">
        <v>10.07</v>
      </c>
      <c r="F1553">
        <v>175</v>
      </c>
      <c r="G1553">
        <v>4.72</v>
      </c>
      <c r="H1553" s="3">
        <f t="shared" si="96"/>
        <v>45689</v>
      </c>
      <c r="I1553">
        <f>MONTH(Table1[[#This Row],[Date]])</f>
        <v>2</v>
      </c>
      <c r="J1553" t="str">
        <f t="shared" si="97"/>
        <v>Q1</v>
      </c>
      <c r="K1553" t="str">
        <f t="shared" si="98"/>
        <v>Feb-2025</v>
      </c>
      <c r="L1553" t="str">
        <f t="shared" si="99"/>
        <v>High</v>
      </c>
    </row>
    <row r="1554" spans="1:12" x14ac:dyDescent="0.3">
      <c r="A1554">
        <v>2025</v>
      </c>
      <c r="B1554" s="2" t="s">
        <v>18</v>
      </c>
      <c r="C1554" t="s">
        <v>17</v>
      </c>
      <c r="D1554" t="s">
        <v>14</v>
      </c>
      <c r="E1554">
        <v>6.84</v>
      </c>
      <c r="F1554">
        <v>177</v>
      </c>
      <c r="G1554">
        <v>4.8</v>
      </c>
      <c r="H1554" s="3">
        <f t="shared" si="96"/>
        <v>45689</v>
      </c>
      <c r="I1554">
        <f>MONTH(Table1[[#This Row],[Date]])</f>
        <v>2</v>
      </c>
      <c r="J1554" t="str">
        <f t="shared" si="97"/>
        <v>Q1</v>
      </c>
      <c r="K1554" t="str">
        <f t="shared" si="98"/>
        <v>Feb-2025</v>
      </c>
      <c r="L1554" t="str">
        <f t="shared" si="99"/>
        <v>High</v>
      </c>
    </row>
    <row r="1555" spans="1:12" x14ac:dyDescent="0.3">
      <c r="A1555">
        <v>2025</v>
      </c>
      <c r="B1555" s="2" t="s">
        <v>18</v>
      </c>
      <c r="C1555" t="s">
        <v>17</v>
      </c>
      <c r="D1555" t="s">
        <v>15</v>
      </c>
      <c r="E1555">
        <v>28.32</v>
      </c>
      <c r="F1555">
        <v>179</v>
      </c>
      <c r="G1555">
        <v>4.88</v>
      </c>
      <c r="H1555" s="3">
        <f t="shared" si="96"/>
        <v>45689</v>
      </c>
      <c r="I1555">
        <f>MONTH(Table1[[#This Row],[Date]])</f>
        <v>2</v>
      </c>
      <c r="J1555" t="str">
        <f t="shared" si="97"/>
        <v>Q1</v>
      </c>
      <c r="K1555" t="str">
        <f t="shared" si="98"/>
        <v>Feb-2025</v>
      </c>
      <c r="L1555" t="str">
        <f t="shared" si="99"/>
        <v>High</v>
      </c>
    </row>
    <row r="1556" spans="1:12" x14ac:dyDescent="0.3">
      <c r="A1556">
        <v>2025</v>
      </c>
      <c r="B1556" s="2" t="s">
        <v>19</v>
      </c>
      <c r="C1556" t="s">
        <v>8</v>
      </c>
      <c r="D1556" t="s">
        <v>9</v>
      </c>
      <c r="E1556">
        <v>100</v>
      </c>
      <c r="F1556">
        <v>166.2</v>
      </c>
      <c r="G1556">
        <v>4.55</v>
      </c>
      <c r="H1556" s="3">
        <f t="shared" si="96"/>
        <v>45717</v>
      </c>
      <c r="I1556">
        <f>MONTH(Table1[[#This Row],[Date]])</f>
        <v>3</v>
      </c>
      <c r="J1556" t="str">
        <f t="shared" si="97"/>
        <v>Q1</v>
      </c>
      <c r="K1556" t="str">
        <f t="shared" si="98"/>
        <v>Mar-2025</v>
      </c>
      <c r="L1556" t="str">
        <f t="shared" si="99"/>
        <v>High</v>
      </c>
    </row>
    <row r="1557" spans="1:12" x14ac:dyDescent="0.3">
      <c r="A1557">
        <v>2025</v>
      </c>
      <c r="B1557" s="2" t="s">
        <v>19</v>
      </c>
      <c r="C1557" t="s">
        <v>8</v>
      </c>
      <c r="D1557" t="s">
        <v>10</v>
      </c>
      <c r="E1557">
        <v>45.86</v>
      </c>
      <c r="F1557">
        <v>168.2</v>
      </c>
      <c r="G1557">
        <v>4.63</v>
      </c>
      <c r="H1557" s="3">
        <f t="shared" si="96"/>
        <v>45717</v>
      </c>
      <c r="I1557">
        <f>MONTH(Table1[[#This Row],[Date]])</f>
        <v>3</v>
      </c>
      <c r="J1557" t="str">
        <f t="shared" si="97"/>
        <v>Q1</v>
      </c>
      <c r="K1557" t="str">
        <f t="shared" si="98"/>
        <v>Mar-2025</v>
      </c>
      <c r="L1557" t="str">
        <f t="shared" si="99"/>
        <v>High</v>
      </c>
    </row>
    <row r="1558" spans="1:12" x14ac:dyDescent="0.3">
      <c r="A1558">
        <v>2025</v>
      </c>
      <c r="B1558" s="2" t="s">
        <v>19</v>
      </c>
      <c r="C1558" t="s">
        <v>8</v>
      </c>
      <c r="D1558" t="s">
        <v>11</v>
      </c>
      <c r="E1558">
        <v>2.38</v>
      </c>
      <c r="F1558">
        <v>170.2</v>
      </c>
      <c r="G1558">
        <v>4.71</v>
      </c>
      <c r="H1558" s="3">
        <f t="shared" si="96"/>
        <v>45717</v>
      </c>
      <c r="I1558">
        <f>MONTH(Table1[[#This Row],[Date]])</f>
        <v>3</v>
      </c>
      <c r="J1558" t="str">
        <f t="shared" si="97"/>
        <v>Q1</v>
      </c>
      <c r="K1558" t="str">
        <f t="shared" si="98"/>
        <v>Mar-2025</v>
      </c>
      <c r="L1558" t="str">
        <f t="shared" si="99"/>
        <v>High</v>
      </c>
    </row>
    <row r="1559" spans="1:12" x14ac:dyDescent="0.3">
      <c r="A1559">
        <v>2025</v>
      </c>
      <c r="B1559" s="2" t="s">
        <v>19</v>
      </c>
      <c r="C1559" t="s">
        <v>8</v>
      </c>
      <c r="D1559" t="s">
        <v>12</v>
      </c>
      <c r="E1559">
        <v>6.53</v>
      </c>
      <c r="F1559">
        <v>172.2</v>
      </c>
      <c r="G1559">
        <v>4.79</v>
      </c>
      <c r="H1559" s="3">
        <f t="shared" si="96"/>
        <v>45717</v>
      </c>
      <c r="I1559">
        <f>MONTH(Table1[[#This Row],[Date]])</f>
        <v>3</v>
      </c>
      <c r="J1559" t="str">
        <f t="shared" si="97"/>
        <v>Q1</v>
      </c>
      <c r="K1559" t="str">
        <f t="shared" si="98"/>
        <v>Mar-2025</v>
      </c>
      <c r="L1559" t="str">
        <f t="shared" si="99"/>
        <v>High</v>
      </c>
    </row>
    <row r="1560" spans="1:12" x14ac:dyDescent="0.3">
      <c r="A1560">
        <v>2025</v>
      </c>
      <c r="B1560" s="2" t="s">
        <v>19</v>
      </c>
      <c r="C1560" t="s">
        <v>8</v>
      </c>
      <c r="D1560" t="s">
        <v>13</v>
      </c>
      <c r="E1560">
        <v>10.07</v>
      </c>
      <c r="F1560">
        <v>174.2</v>
      </c>
      <c r="G1560">
        <v>4.87</v>
      </c>
      <c r="H1560" s="3">
        <f t="shared" si="96"/>
        <v>45717</v>
      </c>
      <c r="I1560">
        <f>MONTH(Table1[[#This Row],[Date]])</f>
        <v>3</v>
      </c>
      <c r="J1560" t="str">
        <f t="shared" si="97"/>
        <v>Q1</v>
      </c>
      <c r="K1560" t="str">
        <f t="shared" si="98"/>
        <v>Mar-2025</v>
      </c>
      <c r="L1560" t="str">
        <f t="shared" si="99"/>
        <v>High</v>
      </c>
    </row>
    <row r="1561" spans="1:12" x14ac:dyDescent="0.3">
      <c r="A1561">
        <v>2025</v>
      </c>
      <c r="B1561" s="2" t="s">
        <v>19</v>
      </c>
      <c r="C1561" t="s">
        <v>8</v>
      </c>
      <c r="D1561" t="s">
        <v>14</v>
      </c>
      <c r="E1561">
        <v>6.84</v>
      </c>
      <c r="F1561">
        <v>176.2</v>
      </c>
      <c r="G1561">
        <v>4.95</v>
      </c>
      <c r="H1561" s="3">
        <f t="shared" si="96"/>
        <v>45717</v>
      </c>
      <c r="I1561">
        <f>MONTH(Table1[[#This Row],[Date]])</f>
        <v>3</v>
      </c>
      <c r="J1561" t="str">
        <f t="shared" si="97"/>
        <v>Q1</v>
      </c>
      <c r="K1561" t="str">
        <f t="shared" si="98"/>
        <v>Mar-2025</v>
      </c>
      <c r="L1561" t="str">
        <f t="shared" si="99"/>
        <v>High</v>
      </c>
    </row>
    <row r="1562" spans="1:12" x14ac:dyDescent="0.3">
      <c r="A1562">
        <v>2025</v>
      </c>
      <c r="B1562" s="2" t="s">
        <v>19</v>
      </c>
      <c r="C1562" t="s">
        <v>8</v>
      </c>
      <c r="D1562" t="s">
        <v>15</v>
      </c>
      <c r="E1562">
        <v>28.32</v>
      </c>
      <c r="F1562">
        <v>178.2</v>
      </c>
      <c r="G1562">
        <v>5.03</v>
      </c>
      <c r="H1562" s="3">
        <f t="shared" si="96"/>
        <v>45717</v>
      </c>
      <c r="I1562">
        <f>MONTH(Table1[[#This Row],[Date]])</f>
        <v>3</v>
      </c>
      <c r="J1562" t="str">
        <f t="shared" si="97"/>
        <v>Q1</v>
      </c>
      <c r="K1562" t="str">
        <f t="shared" si="98"/>
        <v>Mar-2025</v>
      </c>
      <c r="L1562" t="str">
        <f t="shared" si="99"/>
        <v>High</v>
      </c>
    </row>
    <row r="1563" spans="1:12" x14ac:dyDescent="0.3">
      <c r="A1563">
        <v>2025</v>
      </c>
      <c r="B1563" s="2" t="s">
        <v>19</v>
      </c>
      <c r="C1563" t="s">
        <v>16</v>
      </c>
      <c r="D1563" t="s">
        <v>9</v>
      </c>
      <c r="E1563">
        <v>100</v>
      </c>
      <c r="F1563">
        <v>166.8</v>
      </c>
      <c r="G1563">
        <v>4.55</v>
      </c>
      <c r="H1563" s="3">
        <f t="shared" si="96"/>
        <v>45717</v>
      </c>
      <c r="I1563">
        <f>MONTH(Table1[[#This Row],[Date]])</f>
        <v>3</v>
      </c>
      <c r="J1563" t="str">
        <f t="shared" si="97"/>
        <v>Q1</v>
      </c>
      <c r="K1563" t="str">
        <f t="shared" si="98"/>
        <v>Mar-2025</v>
      </c>
      <c r="L1563" t="str">
        <f t="shared" si="99"/>
        <v>High</v>
      </c>
    </row>
    <row r="1564" spans="1:12" x14ac:dyDescent="0.3">
      <c r="A1564">
        <v>2025</v>
      </c>
      <c r="B1564" s="2" t="s">
        <v>19</v>
      </c>
      <c r="C1564" t="s">
        <v>16</v>
      </c>
      <c r="D1564" t="s">
        <v>10</v>
      </c>
      <c r="E1564">
        <v>45.86</v>
      </c>
      <c r="F1564">
        <v>168.8</v>
      </c>
      <c r="G1564">
        <v>4.63</v>
      </c>
      <c r="H1564" s="3">
        <f t="shared" si="96"/>
        <v>45717</v>
      </c>
      <c r="I1564">
        <f>MONTH(Table1[[#This Row],[Date]])</f>
        <v>3</v>
      </c>
      <c r="J1564" t="str">
        <f t="shared" si="97"/>
        <v>Q1</v>
      </c>
      <c r="K1564" t="str">
        <f t="shared" si="98"/>
        <v>Mar-2025</v>
      </c>
      <c r="L1564" t="str">
        <f t="shared" si="99"/>
        <v>High</v>
      </c>
    </row>
    <row r="1565" spans="1:12" x14ac:dyDescent="0.3">
      <c r="A1565">
        <v>2025</v>
      </c>
      <c r="B1565" s="2" t="s">
        <v>19</v>
      </c>
      <c r="C1565" t="s">
        <v>16</v>
      </c>
      <c r="D1565" t="s">
        <v>11</v>
      </c>
      <c r="E1565">
        <v>2.38</v>
      </c>
      <c r="F1565">
        <v>170.8</v>
      </c>
      <c r="G1565">
        <v>4.71</v>
      </c>
      <c r="H1565" s="3">
        <f t="shared" si="96"/>
        <v>45717</v>
      </c>
      <c r="I1565">
        <f>MONTH(Table1[[#This Row],[Date]])</f>
        <v>3</v>
      </c>
      <c r="J1565" t="str">
        <f t="shared" si="97"/>
        <v>Q1</v>
      </c>
      <c r="K1565" t="str">
        <f t="shared" si="98"/>
        <v>Mar-2025</v>
      </c>
      <c r="L1565" t="str">
        <f t="shared" si="99"/>
        <v>High</v>
      </c>
    </row>
    <row r="1566" spans="1:12" x14ac:dyDescent="0.3">
      <c r="A1566">
        <v>2025</v>
      </c>
      <c r="B1566" s="2" t="s">
        <v>19</v>
      </c>
      <c r="C1566" t="s">
        <v>16</v>
      </c>
      <c r="D1566" t="s">
        <v>12</v>
      </c>
      <c r="E1566">
        <v>6.53</v>
      </c>
      <c r="F1566">
        <v>172.8</v>
      </c>
      <c r="G1566">
        <v>4.79</v>
      </c>
      <c r="H1566" s="3">
        <f t="shared" si="96"/>
        <v>45717</v>
      </c>
      <c r="I1566">
        <f>MONTH(Table1[[#This Row],[Date]])</f>
        <v>3</v>
      </c>
      <c r="J1566" t="str">
        <f t="shared" si="97"/>
        <v>Q1</v>
      </c>
      <c r="K1566" t="str">
        <f t="shared" si="98"/>
        <v>Mar-2025</v>
      </c>
      <c r="L1566" t="str">
        <f t="shared" si="99"/>
        <v>High</v>
      </c>
    </row>
    <row r="1567" spans="1:12" x14ac:dyDescent="0.3">
      <c r="A1567">
        <v>2025</v>
      </c>
      <c r="B1567" s="2" t="s">
        <v>19</v>
      </c>
      <c r="C1567" t="s">
        <v>16</v>
      </c>
      <c r="D1567" t="s">
        <v>13</v>
      </c>
      <c r="E1567">
        <v>10.07</v>
      </c>
      <c r="F1567">
        <v>174.8</v>
      </c>
      <c r="G1567">
        <v>4.87</v>
      </c>
      <c r="H1567" s="3">
        <f t="shared" si="96"/>
        <v>45717</v>
      </c>
      <c r="I1567">
        <f>MONTH(Table1[[#This Row],[Date]])</f>
        <v>3</v>
      </c>
      <c r="J1567" t="str">
        <f t="shared" si="97"/>
        <v>Q1</v>
      </c>
      <c r="K1567" t="str">
        <f t="shared" si="98"/>
        <v>Mar-2025</v>
      </c>
      <c r="L1567" t="str">
        <f t="shared" si="99"/>
        <v>High</v>
      </c>
    </row>
    <row r="1568" spans="1:12" x14ac:dyDescent="0.3">
      <c r="A1568">
        <v>2025</v>
      </c>
      <c r="B1568" s="2" t="s">
        <v>19</v>
      </c>
      <c r="C1568" t="s">
        <v>16</v>
      </c>
      <c r="D1568" t="s">
        <v>14</v>
      </c>
      <c r="E1568">
        <v>6.84</v>
      </c>
      <c r="F1568">
        <v>176.8</v>
      </c>
      <c r="G1568">
        <v>4.95</v>
      </c>
      <c r="H1568" s="3">
        <f t="shared" si="96"/>
        <v>45717</v>
      </c>
      <c r="I1568">
        <f>MONTH(Table1[[#This Row],[Date]])</f>
        <v>3</v>
      </c>
      <c r="J1568" t="str">
        <f t="shared" si="97"/>
        <v>Q1</v>
      </c>
      <c r="K1568" t="str">
        <f t="shared" si="98"/>
        <v>Mar-2025</v>
      </c>
      <c r="L1568" t="str">
        <f t="shared" si="99"/>
        <v>High</v>
      </c>
    </row>
    <row r="1569" spans="1:12" x14ac:dyDescent="0.3">
      <c r="A1569">
        <v>2025</v>
      </c>
      <c r="B1569" s="2" t="s">
        <v>19</v>
      </c>
      <c r="C1569" t="s">
        <v>16</v>
      </c>
      <c r="D1569" t="s">
        <v>15</v>
      </c>
      <c r="E1569">
        <v>28.32</v>
      </c>
      <c r="F1569">
        <v>178.8</v>
      </c>
      <c r="G1569">
        <v>5.03</v>
      </c>
      <c r="H1569" s="3">
        <f t="shared" si="96"/>
        <v>45717</v>
      </c>
      <c r="I1569">
        <f>MONTH(Table1[[#This Row],[Date]])</f>
        <v>3</v>
      </c>
      <c r="J1569" t="str">
        <f t="shared" si="97"/>
        <v>Q1</v>
      </c>
      <c r="K1569" t="str">
        <f t="shared" si="98"/>
        <v>Mar-2025</v>
      </c>
      <c r="L1569" t="str">
        <f t="shared" si="99"/>
        <v>High</v>
      </c>
    </row>
    <row r="1570" spans="1:12" x14ac:dyDescent="0.3">
      <c r="A1570">
        <v>2025</v>
      </c>
      <c r="B1570" s="2" t="s">
        <v>19</v>
      </c>
      <c r="C1570" t="s">
        <v>17</v>
      </c>
      <c r="D1570" t="s">
        <v>9</v>
      </c>
      <c r="E1570">
        <v>100</v>
      </c>
      <c r="F1570">
        <v>167.4</v>
      </c>
      <c r="G1570">
        <v>4.55</v>
      </c>
      <c r="H1570" s="3">
        <f t="shared" si="96"/>
        <v>45717</v>
      </c>
      <c r="I1570">
        <f>MONTH(Table1[[#This Row],[Date]])</f>
        <v>3</v>
      </c>
      <c r="J1570" t="str">
        <f t="shared" si="97"/>
        <v>Q1</v>
      </c>
      <c r="K1570" t="str">
        <f t="shared" si="98"/>
        <v>Mar-2025</v>
      </c>
      <c r="L1570" t="str">
        <f t="shared" si="99"/>
        <v>High</v>
      </c>
    </row>
    <row r="1571" spans="1:12" x14ac:dyDescent="0.3">
      <c r="A1571">
        <v>2025</v>
      </c>
      <c r="B1571" s="2" t="s">
        <v>19</v>
      </c>
      <c r="C1571" t="s">
        <v>17</v>
      </c>
      <c r="D1571" t="s">
        <v>10</v>
      </c>
      <c r="E1571">
        <v>45.86</v>
      </c>
      <c r="F1571">
        <v>169.4</v>
      </c>
      <c r="G1571">
        <v>4.63</v>
      </c>
      <c r="H1571" s="3">
        <f t="shared" si="96"/>
        <v>45717</v>
      </c>
      <c r="I1571">
        <f>MONTH(Table1[[#This Row],[Date]])</f>
        <v>3</v>
      </c>
      <c r="J1571" t="str">
        <f t="shared" si="97"/>
        <v>Q1</v>
      </c>
      <c r="K1571" t="str">
        <f t="shared" si="98"/>
        <v>Mar-2025</v>
      </c>
      <c r="L1571" t="str">
        <f t="shared" si="99"/>
        <v>High</v>
      </c>
    </row>
    <row r="1572" spans="1:12" x14ac:dyDescent="0.3">
      <c r="A1572">
        <v>2025</v>
      </c>
      <c r="B1572" s="2" t="s">
        <v>19</v>
      </c>
      <c r="C1572" t="s">
        <v>17</v>
      </c>
      <c r="D1572" t="s">
        <v>11</v>
      </c>
      <c r="E1572">
        <v>2.38</v>
      </c>
      <c r="F1572">
        <v>171.4</v>
      </c>
      <c r="G1572">
        <v>4.71</v>
      </c>
      <c r="H1572" s="3">
        <f t="shared" si="96"/>
        <v>45717</v>
      </c>
      <c r="I1572">
        <f>MONTH(Table1[[#This Row],[Date]])</f>
        <v>3</v>
      </c>
      <c r="J1572" t="str">
        <f t="shared" si="97"/>
        <v>Q1</v>
      </c>
      <c r="K1572" t="str">
        <f t="shared" si="98"/>
        <v>Mar-2025</v>
      </c>
      <c r="L1572" t="str">
        <f t="shared" si="99"/>
        <v>High</v>
      </c>
    </row>
    <row r="1573" spans="1:12" x14ac:dyDescent="0.3">
      <c r="A1573">
        <v>2025</v>
      </c>
      <c r="B1573" s="2" t="s">
        <v>19</v>
      </c>
      <c r="C1573" t="s">
        <v>17</v>
      </c>
      <c r="D1573" t="s">
        <v>12</v>
      </c>
      <c r="E1573">
        <v>6.53</v>
      </c>
      <c r="F1573">
        <v>173.4</v>
      </c>
      <c r="G1573">
        <v>4.79</v>
      </c>
      <c r="H1573" s="3">
        <f t="shared" si="96"/>
        <v>45717</v>
      </c>
      <c r="I1573">
        <f>MONTH(Table1[[#This Row],[Date]])</f>
        <v>3</v>
      </c>
      <c r="J1573" t="str">
        <f t="shared" si="97"/>
        <v>Q1</v>
      </c>
      <c r="K1573" t="str">
        <f t="shared" si="98"/>
        <v>Mar-2025</v>
      </c>
      <c r="L1573" t="str">
        <f t="shared" si="99"/>
        <v>High</v>
      </c>
    </row>
    <row r="1574" spans="1:12" x14ac:dyDescent="0.3">
      <c r="A1574">
        <v>2025</v>
      </c>
      <c r="B1574" s="2" t="s">
        <v>19</v>
      </c>
      <c r="C1574" t="s">
        <v>17</v>
      </c>
      <c r="D1574" t="s">
        <v>13</v>
      </c>
      <c r="E1574">
        <v>10.07</v>
      </c>
      <c r="F1574">
        <v>175.4</v>
      </c>
      <c r="G1574">
        <v>4.87</v>
      </c>
      <c r="H1574" s="3">
        <f t="shared" si="96"/>
        <v>45717</v>
      </c>
      <c r="I1574">
        <f>MONTH(Table1[[#This Row],[Date]])</f>
        <v>3</v>
      </c>
      <c r="J1574" t="str">
        <f t="shared" si="97"/>
        <v>Q1</v>
      </c>
      <c r="K1574" t="str">
        <f t="shared" si="98"/>
        <v>Mar-2025</v>
      </c>
      <c r="L1574" t="str">
        <f t="shared" si="99"/>
        <v>High</v>
      </c>
    </row>
    <row r="1575" spans="1:12" x14ac:dyDescent="0.3">
      <c r="A1575">
        <v>2025</v>
      </c>
      <c r="B1575" s="2" t="s">
        <v>19</v>
      </c>
      <c r="C1575" t="s">
        <v>17</v>
      </c>
      <c r="D1575" t="s">
        <v>14</v>
      </c>
      <c r="E1575">
        <v>6.84</v>
      </c>
      <c r="F1575">
        <v>177.4</v>
      </c>
      <c r="G1575">
        <v>4.95</v>
      </c>
      <c r="H1575" s="3">
        <f t="shared" si="96"/>
        <v>45717</v>
      </c>
      <c r="I1575">
        <f>MONTH(Table1[[#This Row],[Date]])</f>
        <v>3</v>
      </c>
      <c r="J1575" t="str">
        <f t="shared" si="97"/>
        <v>Q1</v>
      </c>
      <c r="K1575" t="str">
        <f t="shared" si="98"/>
        <v>Mar-2025</v>
      </c>
      <c r="L1575" t="str">
        <f t="shared" si="99"/>
        <v>High</v>
      </c>
    </row>
    <row r="1576" spans="1:12" x14ac:dyDescent="0.3">
      <c r="A1576">
        <v>2025</v>
      </c>
      <c r="B1576" s="2" t="s">
        <v>19</v>
      </c>
      <c r="C1576" t="s">
        <v>17</v>
      </c>
      <c r="D1576" t="s">
        <v>15</v>
      </c>
      <c r="E1576">
        <v>28.32</v>
      </c>
      <c r="F1576">
        <v>179.4</v>
      </c>
      <c r="G1576">
        <v>5.03</v>
      </c>
      <c r="H1576" s="3">
        <f t="shared" si="96"/>
        <v>45717</v>
      </c>
      <c r="I1576">
        <f>MONTH(Table1[[#This Row],[Date]])</f>
        <v>3</v>
      </c>
      <c r="J1576" t="str">
        <f t="shared" si="97"/>
        <v>Q1</v>
      </c>
      <c r="K1576" t="str">
        <f t="shared" si="98"/>
        <v>Mar-2025</v>
      </c>
      <c r="L1576" t="str">
        <f t="shared" si="99"/>
        <v>High</v>
      </c>
    </row>
    <row r="1577" spans="1:12" x14ac:dyDescent="0.3">
      <c r="A1577">
        <v>2025</v>
      </c>
      <c r="B1577" s="2" t="s">
        <v>20</v>
      </c>
      <c r="C1577" t="s">
        <v>8</v>
      </c>
      <c r="D1577" t="s">
        <v>9</v>
      </c>
      <c r="E1577">
        <v>100</v>
      </c>
      <c r="F1577">
        <v>166.6</v>
      </c>
      <c r="G1577">
        <v>4.7</v>
      </c>
      <c r="H1577" s="3">
        <f t="shared" si="96"/>
        <v>45748</v>
      </c>
      <c r="I1577">
        <f>MONTH(Table1[[#This Row],[Date]])</f>
        <v>4</v>
      </c>
      <c r="J1577" t="str">
        <f t="shared" si="97"/>
        <v>Q2</v>
      </c>
      <c r="K1577" t="str">
        <f t="shared" si="98"/>
        <v>Apr-2025</v>
      </c>
      <c r="L1577" t="str">
        <f t="shared" si="99"/>
        <v>High</v>
      </c>
    </row>
    <row r="1578" spans="1:12" x14ac:dyDescent="0.3">
      <c r="A1578">
        <v>2025</v>
      </c>
      <c r="B1578" s="2" t="s">
        <v>20</v>
      </c>
      <c r="C1578" t="s">
        <v>8</v>
      </c>
      <c r="D1578" t="s">
        <v>10</v>
      </c>
      <c r="E1578">
        <v>45.86</v>
      </c>
      <c r="F1578">
        <v>168.6</v>
      </c>
      <c r="G1578">
        <v>4.78</v>
      </c>
      <c r="H1578" s="3">
        <f t="shared" si="96"/>
        <v>45748</v>
      </c>
      <c r="I1578">
        <f>MONTH(Table1[[#This Row],[Date]])</f>
        <v>4</v>
      </c>
      <c r="J1578" t="str">
        <f t="shared" si="97"/>
        <v>Q2</v>
      </c>
      <c r="K1578" t="str">
        <f t="shared" si="98"/>
        <v>Apr-2025</v>
      </c>
      <c r="L1578" t="str">
        <f t="shared" si="99"/>
        <v>High</v>
      </c>
    </row>
    <row r="1579" spans="1:12" x14ac:dyDescent="0.3">
      <c r="A1579">
        <v>2025</v>
      </c>
      <c r="B1579" s="2" t="s">
        <v>20</v>
      </c>
      <c r="C1579" t="s">
        <v>8</v>
      </c>
      <c r="D1579" t="s">
        <v>11</v>
      </c>
      <c r="E1579">
        <v>2.38</v>
      </c>
      <c r="F1579">
        <v>170.6</v>
      </c>
      <c r="G1579">
        <v>4.8600000000000003</v>
      </c>
      <c r="H1579" s="3">
        <f t="shared" si="96"/>
        <v>45748</v>
      </c>
      <c r="I1579">
        <f>MONTH(Table1[[#This Row],[Date]])</f>
        <v>4</v>
      </c>
      <c r="J1579" t="str">
        <f t="shared" si="97"/>
        <v>Q2</v>
      </c>
      <c r="K1579" t="str">
        <f t="shared" si="98"/>
        <v>Apr-2025</v>
      </c>
      <c r="L1579" t="str">
        <f t="shared" si="99"/>
        <v>High</v>
      </c>
    </row>
    <row r="1580" spans="1:12" x14ac:dyDescent="0.3">
      <c r="A1580">
        <v>2025</v>
      </c>
      <c r="B1580" s="2" t="s">
        <v>20</v>
      </c>
      <c r="C1580" t="s">
        <v>8</v>
      </c>
      <c r="D1580" t="s">
        <v>12</v>
      </c>
      <c r="E1580">
        <v>6.53</v>
      </c>
      <c r="F1580">
        <v>172.6</v>
      </c>
      <c r="G1580">
        <v>4.9400000000000004</v>
      </c>
      <c r="H1580" s="3">
        <f t="shared" si="96"/>
        <v>45748</v>
      </c>
      <c r="I1580">
        <f>MONTH(Table1[[#This Row],[Date]])</f>
        <v>4</v>
      </c>
      <c r="J1580" t="str">
        <f t="shared" si="97"/>
        <v>Q2</v>
      </c>
      <c r="K1580" t="str">
        <f t="shared" si="98"/>
        <v>Apr-2025</v>
      </c>
      <c r="L1580" t="str">
        <f t="shared" si="99"/>
        <v>High</v>
      </c>
    </row>
    <row r="1581" spans="1:12" x14ac:dyDescent="0.3">
      <c r="A1581">
        <v>2025</v>
      </c>
      <c r="B1581" s="2" t="s">
        <v>20</v>
      </c>
      <c r="C1581" t="s">
        <v>8</v>
      </c>
      <c r="D1581" t="s">
        <v>13</v>
      </c>
      <c r="E1581">
        <v>10.07</v>
      </c>
      <c r="F1581">
        <v>174.6</v>
      </c>
      <c r="G1581">
        <v>5.0199999999999996</v>
      </c>
      <c r="H1581" s="3">
        <f t="shared" si="96"/>
        <v>45748</v>
      </c>
      <c r="I1581">
        <f>MONTH(Table1[[#This Row],[Date]])</f>
        <v>4</v>
      </c>
      <c r="J1581" t="str">
        <f t="shared" si="97"/>
        <v>Q2</v>
      </c>
      <c r="K1581" t="str">
        <f t="shared" si="98"/>
        <v>Apr-2025</v>
      </c>
      <c r="L1581" t="str">
        <f t="shared" si="99"/>
        <v>High</v>
      </c>
    </row>
    <row r="1582" spans="1:12" x14ac:dyDescent="0.3">
      <c r="A1582">
        <v>2025</v>
      </c>
      <c r="B1582" s="2" t="s">
        <v>20</v>
      </c>
      <c r="C1582" t="s">
        <v>8</v>
      </c>
      <c r="D1582" t="s">
        <v>14</v>
      </c>
      <c r="E1582">
        <v>6.84</v>
      </c>
      <c r="F1582">
        <v>176.6</v>
      </c>
      <c r="G1582">
        <v>5.0999999999999996</v>
      </c>
      <c r="H1582" s="3">
        <f t="shared" si="96"/>
        <v>45748</v>
      </c>
      <c r="I1582">
        <f>MONTH(Table1[[#This Row],[Date]])</f>
        <v>4</v>
      </c>
      <c r="J1582" t="str">
        <f t="shared" si="97"/>
        <v>Q2</v>
      </c>
      <c r="K1582" t="str">
        <f t="shared" si="98"/>
        <v>Apr-2025</v>
      </c>
      <c r="L1582" t="str">
        <f t="shared" si="99"/>
        <v>High</v>
      </c>
    </row>
    <row r="1583" spans="1:12" x14ac:dyDescent="0.3">
      <c r="A1583">
        <v>2025</v>
      </c>
      <c r="B1583" s="2" t="s">
        <v>20</v>
      </c>
      <c r="C1583" t="s">
        <v>8</v>
      </c>
      <c r="D1583" t="s">
        <v>15</v>
      </c>
      <c r="E1583">
        <v>28.32</v>
      </c>
      <c r="F1583">
        <v>178.6</v>
      </c>
      <c r="G1583">
        <v>5.18</v>
      </c>
      <c r="H1583" s="3">
        <f t="shared" si="96"/>
        <v>45748</v>
      </c>
      <c r="I1583">
        <f>MONTH(Table1[[#This Row],[Date]])</f>
        <v>4</v>
      </c>
      <c r="J1583" t="str">
        <f t="shared" si="97"/>
        <v>Q2</v>
      </c>
      <c r="K1583" t="str">
        <f t="shared" si="98"/>
        <v>Apr-2025</v>
      </c>
      <c r="L1583" t="str">
        <f t="shared" si="99"/>
        <v>High</v>
      </c>
    </row>
    <row r="1584" spans="1:12" x14ac:dyDescent="0.3">
      <c r="A1584">
        <v>2025</v>
      </c>
      <c r="B1584" s="2" t="s">
        <v>20</v>
      </c>
      <c r="C1584" t="s">
        <v>16</v>
      </c>
      <c r="D1584" t="s">
        <v>9</v>
      </c>
      <c r="E1584">
        <v>100</v>
      </c>
      <c r="F1584">
        <v>167.2</v>
      </c>
      <c r="G1584">
        <v>4.7</v>
      </c>
      <c r="H1584" s="3">
        <f t="shared" si="96"/>
        <v>45748</v>
      </c>
      <c r="I1584">
        <f>MONTH(Table1[[#This Row],[Date]])</f>
        <v>4</v>
      </c>
      <c r="J1584" t="str">
        <f t="shared" si="97"/>
        <v>Q2</v>
      </c>
      <c r="K1584" t="str">
        <f t="shared" si="98"/>
        <v>Apr-2025</v>
      </c>
      <c r="L1584" t="str">
        <f t="shared" si="99"/>
        <v>High</v>
      </c>
    </row>
    <row r="1585" spans="1:12" x14ac:dyDescent="0.3">
      <c r="A1585">
        <v>2025</v>
      </c>
      <c r="B1585" s="2" t="s">
        <v>20</v>
      </c>
      <c r="C1585" t="s">
        <v>16</v>
      </c>
      <c r="D1585" t="s">
        <v>10</v>
      </c>
      <c r="E1585">
        <v>45.86</v>
      </c>
      <c r="F1585">
        <v>169.2</v>
      </c>
      <c r="G1585">
        <v>4.78</v>
      </c>
      <c r="H1585" s="3">
        <f t="shared" si="96"/>
        <v>45748</v>
      </c>
      <c r="I1585">
        <f>MONTH(Table1[[#This Row],[Date]])</f>
        <v>4</v>
      </c>
      <c r="J1585" t="str">
        <f t="shared" si="97"/>
        <v>Q2</v>
      </c>
      <c r="K1585" t="str">
        <f t="shared" si="98"/>
        <v>Apr-2025</v>
      </c>
      <c r="L1585" t="str">
        <f t="shared" si="99"/>
        <v>High</v>
      </c>
    </row>
    <row r="1586" spans="1:12" x14ac:dyDescent="0.3">
      <c r="A1586">
        <v>2025</v>
      </c>
      <c r="B1586" s="2" t="s">
        <v>20</v>
      </c>
      <c r="C1586" t="s">
        <v>16</v>
      </c>
      <c r="D1586" t="s">
        <v>11</v>
      </c>
      <c r="E1586">
        <v>2.38</v>
      </c>
      <c r="F1586">
        <v>171.2</v>
      </c>
      <c r="G1586">
        <v>4.8600000000000003</v>
      </c>
      <c r="H1586" s="3">
        <f t="shared" si="96"/>
        <v>45748</v>
      </c>
      <c r="I1586">
        <f>MONTH(Table1[[#This Row],[Date]])</f>
        <v>4</v>
      </c>
      <c r="J1586" t="str">
        <f t="shared" si="97"/>
        <v>Q2</v>
      </c>
      <c r="K1586" t="str">
        <f t="shared" si="98"/>
        <v>Apr-2025</v>
      </c>
      <c r="L1586" t="str">
        <f t="shared" si="99"/>
        <v>High</v>
      </c>
    </row>
    <row r="1587" spans="1:12" x14ac:dyDescent="0.3">
      <c r="A1587">
        <v>2025</v>
      </c>
      <c r="B1587" s="2" t="s">
        <v>20</v>
      </c>
      <c r="C1587" t="s">
        <v>16</v>
      </c>
      <c r="D1587" t="s">
        <v>12</v>
      </c>
      <c r="E1587">
        <v>6.53</v>
      </c>
      <c r="F1587">
        <v>173.2</v>
      </c>
      <c r="G1587">
        <v>4.9400000000000004</v>
      </c>
      <c r="H1587" s="3">
        <f t="shared" si="96"/>
        <v>45748</v>
      </c>
      <c r="I1587">
        <f>MONTH(Table1[[#This Row],[Date]])</f>
        <v>4</v>
      </c>
      <c r="J1587" t="str">
        <f t="shared" si="97"/>
        <v>Q2</v>
      </c>
      <c r="K1587" t="str">
        <f t="shared" si="98"/>
        <v>Apr-2025</v>
      </c>
      <c r="L1587" t="str">
        <f t="shared" si="99"/>
        <v>High</v>
      </c>
    </row>
    <row r="1588" spans="1:12" x14ac:dyDescent="0.3">
      <c r="A1588">
        <v>2025</v>
      </c>
      <c r="B1588" s="2" t="s">
        <v>20</v>
      </c>
      <c r="C1588" t="s">
        <v>16</v>
      </c>
      <c r="D1588" t="s">
        <v>13</v>
      </c>
      <c r="E1588">
        <v>10.07</v>
      </c>
      <c r="F1588">
        <v>175.2</v>
      </c>
      <c r="G1588">
        <v>5.0199999999999996</v>
      </c>
      <c r="H1588" s="3">
        <f t="shared" si="96"/>
        <v>45748</v>
      </c>
      <c r="I1588">
        <f>MONTH(Table1[[#This Row],[Date]])</f>
        <v>4</v>
      </c>
      <c r="J1588" t="str">
        <f t="shared" si="97"/>
        <v>Q2</v>
      </c>
      <c r="K1588" t="str">
        <f t="shared" si="98"/>
        <v>Apr-2025</v>
      </c>
      <c r="L1588" t="str">
        <f t="shared" si="99"/>
        <v>High</v>
      </c>
    </row>
    <row r="1589" spans="1:12" x14ac:dyDescent="0.3">
      <c r="A1589">
        <v>2025</v>
      </c>
      <c r="B1589" s="2" t="s">
        <v>20</v>
      </c>
      <c r="C1589" t="s">
        <v>16</v>
      </c>
      <c r="D1589" t="s">
        <v>14</v>
      </c>
      <c r="E1589">
        <v>6.84</v>
      </c>
      <c r="F1589">
        <v>177.2</v>
      </c>
      <c r="G1589">
        <v>5.0999999999999996</v>
      </c>
      <c r="H1589" s="3">
        <f t="shared" si="96"/>
        <v>45748</v>
      </c>
      <c r="I1589">
        <f>MONTH(Table1[[#This Row],[Date]])</f>
        <v>4</v>
      </c>
      <c r="J1589" t="str">
        <f t="shared" si="97"/>
        <v>Q2</v>
      </c>
      <c r="K1589" t="str">
        <f t="shared" si="98"/>
        <v>Apr-2025</v>
      </c>
      <c r="L1589" t="str">
        <f t="shared" si="99"/>
        <v>High</v>
      </c>
    </row>
    <row r="1590" spans="1:12" x14ac:dyDescent="0.3">
      <c r="A1590">
        <v>2025</v>
      </c>
      <c r="B1590" s="2" t="s">
        <v>20</v>
      </c>
      <c r="C1590" t="s">
        <v>16</v>
      </c>
      <c r="D1590" t="s">
        <v>15</v>
      </c>
      <c r="E1590">
        <v>28.32</v>
      </c>
      <c r="F1590">
        <v>179.2</v>
      </c>
      <c r="G1590">
        <v>5.18</v>
      </c>
      <c r="H1590" s="3">
        <f t="shared" si="96"/>
        <v>45748</v>
      </c>
      <c r="I1590">
        <f>MONTH(Table1[[#This Row],[Date]])</f>
        <v>4</v>
      </c>
      <c r="J1590" t="str">
        <f t="shared" si="97"/>
        <v>Q2</v>
      </c>
      <c r="K1590" t="str">
        <f t="shared" si="98"/>
        <v>Apr-2025</v>
      </c>
      <c r="L1590" t="str">
        <f t="shared" si="99"/>
        <v>High</v>
      </c>
    </row>
    <row r="1591" spans="1:12" x14ac:dyDescent="0.3">
      <c r="A1591">
        <v>2025</v>
      </c>
      <c r="B1591" s="2" t="s">
        <v>20</v>
      </c>
      <c r="C1591" t="s">
        <v>17</v>
      </c>
      <c r="D1591" t="s">
        <v>9</v>
      </c>
      <c r="E1591">
        <v>100</v>
      </c>
      <c r="F1591">
        <v>167.8</v>
      </c>
      <c r="G1591">
        <v>4.7</v>
      </c>
      <c r="H1591" s="3">
        <f t="shared" si="96"/>
        <v>45748</v>
      </c>
      <c r="I1591">
        <f>MONTH(Table1[[#This Row],[Date]])</f>
        <v>4</v>
      </c>
      <c r="J1591" t="str">
        <f t="shared" si="97"/>
        <v>Q2</v>
      </c>
      <c r="K1591" t="str">
        <f t="shared" si="98"/>
        <v>Apr-2025</v>
      </c>
      <c r="L1591" t="str">
        <f t="shared" si="99"/>
        <v>High</v>
      </c>
    </row>
    <row r="1592" spans="1:12" x14ac:dyDescent="0.3">
      <c r="A1592">
        <v>2025</v>
      </c>
      <c r="B1592" s="2" t="s">
        <v>20</v>
      </c>
      <c r="C1592" t="s">
        <v>17</v>
      </c>
      <c r="D1592" t="s">
        <v>10</v>
      </c>
      <c r="E1592">
        <v>45.86</v>
      </c>
      <c r="F1592">
        <v>169.8</v>
      </c>
      <c r="G1592">
        <v>4.78</v>
      </c>
      <c r="H1592" s="3">
        <f t="shared" si="96"/>
        <v>45748</v>
      </c>
      <c r="I1592">
        <f>MONTH(Table1[[#This Row],[Date]])</f>
        <v>4</v>
      </c>
      <c r="J1592" t="str">
        <f t="shared" si="97"/>
        <v>Q2</v>
      </c>
      <c r="K1592" t="str">
        <f t="shared" si="98"/>
        <v>Apr-2025</v>
      </c>
      <c r="L1592" t="str">
        <f t="shared" si="99"/>
        <v>High</v>
      </c>
    </row>
    <row r="1593" spans="1:12" x14ac:dyDescent="0.3">
      <c r="A1593">
        <v>2025</v>
      </c>
      <c r="B1593" s="2" t="s">
        <v>20</v>
      </c>
      <c r="C1593" t="s">
        <v>17</v>
      </c>
      <c r="D1593" t="s">
        <v>11</v>
      </c>
      <c r="E1593">
        <v>2.38</v>
      </c>
      <c r="F1593">
        <v>171.8</v>
      </c>
      <c r="G1593">
        <v>4.8600000000000003</v>
      </c>
      <c r="H1593" s="3">
        <f t="shared" si="96"/>
        <v>45748</v>
      </c>
      <c r="I1593">
        <f>MONTH(Table1[[#This Row],[Date]])</f>
        <v>4</v>
      </c>
      <c r="J1593" t="str">
        <f t="shared" si="97"/>
        <v>Q2</v>
      </c>
      <c r="K1593" t="str">
        <f t="shared" si="98"/>
        <v>Apr-2025</v>
      </c>
      <c r="L1593" t="str">
        <f t="shared" si="99"/>
        <v>High</v>
      </c>
    </row>
    <row r="1594" spans="1:12" x14ac:dyDescent="0.3">
      <c r="A1594">
        <v>2025</v>
      </c>
      <c r="B1594" s="2" t="s">
        <v>20</v>
      </c>
      <c r="C1594" t="s">
        <v>17</v>
      </c>
      <c r="D1594" t="s">
        <v>12</v>
      </c>
      <c r="E1594">
        <v>6.53</v>
      </c>
      <c r="F1594">
        <v>173.8</v>
      </c>
      <c r="G1594">
        <v>4.9400000000000004</v>
      </c>
      <c r="H1594" s="3">
        <f t="shared" si="96"/>
        <v>45748</v>
      </c>
      <c r="I1594">
        <f>MONTH(Table1[[#This Row],[Date]])</f>
        <v>4</v>
      </c>
      <c r="J1594" t="str">
        <f t="shared" si="97"/>
        <v>Q2</v>
      </c>
      <c r="K1594" t="str">
        <f t="shared" si="98"/>
        <v>Apr-2025</v>
      </c>
      <c r="L1594" t="str">
        <f t="shared" si="99"/>
        <v>High</v>
      </c>
    </row>
    <row r="1595" spans="1:12" x14ac:dyDescent="0.3">
      <c r="A1595">
        <v>2025</v>
      </c>
      <c r="B1595" s="2" t="s">
        <v>20</v>
      </c>
      <c r="C1595" t="s">
        <v>17</v>
      </c>
      <c r="D1595" t="s">
        <v>13</v>
      </c>
      <c r="E1595">
        <v>10.07</v>
      </c>
      <c r="F1595">
        <v>175.8</v>
      </c>
      <c r="G1595">
        <v>5.0199999999999996</v>
      </c>
      <c r="H1595" s="3">
        <f t="shared" si="96"/>
        <v>45748</v>
      </c>
      <c r="I1595">
        <f>MONTH(Table1[[#This Row],[Date]])</f>
        <v>4</v>
      </c>
      <c r="J1595" t="str">
        <f t="shared" si="97"/>
        <v>Q2</v>
      </c>
      <c r="K1595" t="str">
        <f t="shared" si="98"/>
        <v>Apr-2025</v>
      </c>
      <c r="L1595" t="str">
        <f t="shared" si="99"/>
        <v>High</v>
      </c>
    </row>
    <row r="1596" spans="1:12" x14ac:dyDescent="0.3">
      <c r="A1596">
        <v>2025</v>
      </c>
      <c r="B1596" s="2" t="s">
        <v>20</v>
      </c>
      <c r="C1596" t="s">
        <v>17</v>
      </c>
      <c r="D1596" t="s">
        <v>14</v>
      </c>
      <c r="E1596">
        <v>6.84</v>
      </c>
      <c r="F1596">
        <v>177.8</v>
      </c>
      <c r="G1596">
        <v>5.0999999999999996</v>
      </c>
      <c r="H1596" s="3">
        <f t="shared" si="96"/>
        <v>45748</v>
      </c>
      <c r="I1596">
        <f>MONTH(Table1[[#This Row],[Date]])</f>
        <v>4</v>
      </c>
      <c r="J1596" t="str">
        <f t="shared" si="97"/>
        <v>Q2</v>
      </c>
      <c r="K1596" t="str">
        <f t="shared" si="98"/>
        <v>Apr-2025</v>
      </c>
      <c r="L1596" t="str">
        <f t="shared" si="99"/>
        <v>High</v>
      </c>
    </row>
    <row r="1597" spans="1:12" x14ac:dyDescent="0.3">
      <c r="A1597">
        <v>2025</v>
      </c>
      <c r="B1597" s="2" t="s">
        <v>20</v>
      </c>
      <c r="C1597" t="s">
        <v>17</v>
      </c>
      <c r="D1597" t="s">
        <v>15</v>
      </c>
      <c r="E1597">
        <v>28.32</v>
      </c>
      <c r="F1597">
        <v>179.8</v>
      </c>
      <c r="G1597">
        <v>5.18</v>
      </c>
      <c r="H1597" s="3">
        <f t="shared" si="96"/>
        <v>45748</v>
      </c>
      <c r="I1597">
        <f>MONTH(Table1[[#This Row],[Date]])</f>
        <v>4</v>
      </c>
      <c r="J1597" t="str">
        <f t="shared" si="97"/>
        <v>Q2</v>
      </c>
      <c r="K1597" t="str">
        <f t="shared" si="98"/>
        <v>Apr-2025</v>
      </c>
      <c r="L1597" t="str">
        <f t="shared" si="99"/>
        <v>High</v>
      </c>
    </row>
    <row r="1598" spans="1:12" x14ac:dyDescent="0.3">
      <c r="A1598">
        <v>2025</v>
      </c>
      <c r="B1598" s="2" t="s">
        <v>21</v>
      </c>
      <c r="C1598" t="s">
        <v>8</v>
      </c>
      <c r="D1598" t="s">
        <v>9</v>
      </c>
      <c r="E1598">
        <v>100</v>
      </c>
      <c r="F1598">
        <v>167</v>
      </c>
      <c r="G1598">
        <v>4.8499999999999996</v>
      </c>
      <c r="H1598" s="3">
        <f t="shared" si="96"/>
        <v>45778</v>
      </c>
      <c r="I1598">
        <f>MONTH(Table1[[#This Row],[Date]])</f>
        <v>5</v>
      </c>
      <c r="J1598" t="str">
        <f t="shared" si="97"/>
        <v>Q2</v>
      </c>
      <c r="K1598" t="str">
        <f t="shared" si="98"/>
        <v>May-2025</v>
      </c>
      <c r="L1598" t="str">
        <f t="shared" si="99"/>
        <v>High</v>
      </c>
    </row>
    <row r="1599" spans="1:12" x14ac:dyDescent="0.3">
      <c r="A1599">
        <v>2025</v>
      </c>
      <c r="B1599" s="2" t="s">
        <v>21</v>
      </c>
      <c r="C1599" t="s">
        <v>8</v>
      </c>
      <c r="D1599" t="s">
        <v>10</v>
      </c>
      <c r="E1599">
        <v>45.86</v>
      </c>
      <c r="F1599">
        <v>169</v>
      </c>
      <c r="G1599">
        <v>4.93</v>
      </c>
      <c r="H1599" s="3">
        <f t="shared" si="96"/>
        <v>45778</v>
      </c>
      <c r="I1599">
        <f>MONTH(Table1[[#This Row],[Date]])</f>
        <v>5</v>
      </c>
      <c r="J1599" t="str">
        <f t="shared" si="97"/>
        <v>Q2</v>
      </c>
      <c r="K1599" t="str">
        <f t="shared" si="98"/>
        <v>May-2025</v>
      </c>
      <c r="L1599" t="str">
        <f t="shared" si="99"/>
        <v>High</v>
      </c>
    </row>
    <row r="1600" spans="1:12" x14ac:dyDescent="0.3">
      <c r="A1600">
        <v>2025</v>
      </c>
      <c r="B1600" s="2" t="s">
        <v>21</v>
      </c>
      <c r="C1600" t="s">
        <v>8</v>
      </c>
      <c r="D1600" t="s">
        <v>11</v>
      </c>
      <c r="E1600">
        <v>2.38</v>
      </c>
      <c r="F1600">
        <v>171</v>
      </c>
      <c r="G1600">
        <v>5.01</v>
      </c>
      <c r="H1600" s="3">
        <f t="shared" si="96"/>
        <v>45778</v>
      </c>
      <c r="I1600">
        <f>MONTH(Table1[[#This Row],[Date]])</f>
        <v>5</v>
      </c>
      <c r="J1600" t="str">
        <f t="shared" si="97"/>
        <v>Q2</v>
      </c>
      <c r="K1600" t="str">
        <f t="shared" si="98"/>
        <v>May-2025</v>
      </c>
      <c r="L1600" t="str">
        <f t="shared" si="99"/>
        <v>High</v>
      </c>
    </row>
    <row r="1601" spans="1:12" x14ac:dyDescent="0.3">
      <c r="A1601">
        <v>2025</v>
      </c>
      <c r="B1601" s="2" t="s">
        <v>21</v>
      </c>
      <c r="C1601" t="s">
        <v>8</v>
      </c>
      <c r="D1601" t="s">
        <v>12</v>
      </c>
      <c r="E1601">
        <v>6.53</v>
      </c>
      <c r="F1601">
        <v>173</v>
      </c>
      <c r="G1601">
        <v>5.09</v>
      </c>
      <c r="H1601" s="3">
        <f t="shared" si="96"/>
        <v>45778</v>
      </c>
      <c r="I1601">
        <f>MONTH(Table1[[#This Row],[Date]])</f>
        <v>5</v>
      </c>
      <c r="J1601" t="str">
        <f t="shared" si="97"/>
        <v>Q2</v>
      </c>
      <c r="K1601" t="str">
        <f t="shared" si="98"/>
        <v>May-2025</v>
      </c>
      <c r="L1601" t="str">
        <f t="shared" si="99"/>
        <v>High</v>
      </c>
    </row>
    <row r="1602" spans="1:12" x14ac:dyDescent="0.3">
      <c r="A1602">
        <v>2025</v>
      </c>
      <c r="B1602" s="2" t="s">
        <v>21</v>
      </c>
      <c r="C1602" t="s">
        <v>8</v>
      </c>
      <c r="D1602" t="s">
        <v>13</v>
      </c>
      <c r="E1602">
        <v>10.07</v>
      </c>
      <c r="F1602">
        <v>175</v>
      </c>
      <c r="G1602">
        <v>5.17</v>
      </c>
      <c r="H1602" s="3">
        <f t="shared" ref="H1602:H1665" si="100">DATE(A1602,MONTH(DATEVALUE(B1602&amp;" 1")),1)</f>
        <v>45778</v>
      </c>
      <c r="I1602">
        <f>MONTH(Table1[[#This Row],[Date]])</f>
        <v>5</v>
      </c>
      <c r="J1602" t="str">
        <f t="shared" ref="J1602:J1665" si="101">"Q"&amp;ROUNDUP(MONTH(H1602)/3,0)</f>
        <v>Q2</v>
      </c>
      <c r="K1602" t="str">
        <f t="shared" ref="K1602:K1665" si="102">TEXT(H1602,"mmm-yyyy")</f>
        <v>May-2025</v>
      </c>
      <c r="L1602" t="str">
        <f t="shared" ref="L1602:L1665" si="103">IF(G1602&lt;3,"Low",IF(G1602&lt;4,"Medium","High"))</f>
        <v>High</v>
      </c>
    </row>
    <row r="1603" spans="1:12" x14ac:dyDescent="0.3">
      <c r="A1603">
        <v>2025</v>
      </c>
      <c r="B1603" s="2" t="s">
        <v>21</v>
      </c>
      <c r="C1603" t="s">
        <v>8</v>
      </c>
      <c r="D1603" t="s">
        <v>14</v>
      </c>
      <c r="E1603">
        <v>6.84</v>
      </c>
      <c r="F1603">
        <v>177</v>
      </c>
      <c r="G1603">
        <v>5.25</v>
      </c>
      <c r="H1603" s="3">
        <f t="shared" si="100"/>
        <v>45778</v>
      </c>
      <c r="I1603">
        <f>MONTH(Table1[[#This Row],[Date]])</f>
        <v>5</v>
      </c>
      <c r="J1603" t="str">
        <f t="shared" si="101"/>
        <v>Q2</v>
      </c>
      <c r="K1603" t="str">
        <f t="shared" si="102"/>
        <v>May-2025</v>
      </c>
      <c r="L1603" t="str">
        <f t="shared" si="103"/>
        <v>High</v>
      </c>
    </row>
    <row r="1604" spans="1:12" x14ac:dyDescent="0.3">
      <c r="A1604">
        <v>2025</v>
      </c>
      <c r="B1604" s="2" t="s">
        <v>21</v>
      </c>
      <c r="C1604" t="s">
        <v>8</v>
      </c>
      <c r="D1604" t="s">
        <v>15</v>
      </c>
      <c r="E1604">
        <v>28.32</v>
      </c>
      <c r="F1604">
        <v>179</v>
      </c>
      <c r="G1604">
        <v>5.33</v>
      </c>
      <c r="H1604" s="3">
        <f t="shared" si="100"/>
        <v>45778</v>
      </c>
      <c r="I1604">
        <f>MONTH(Table1[[#This Row],[Date]])</f>
        <v>5</v>
      </c>
      <c r="J1604" t="str">
        <f t="shared" si="101"/>
        <v>Q2</v>
      </c>
      <c r="K1604" t="str">
        <f t="shared" si="102"/>
        <v>May-2025</v>
      </c>
      <c r="L1604" t="str">
        <f t="shared" si="103"/>
        <v>High</v>
      </c>
    </row>
    <row r="1605" spans="1:12" x14ac:dyDescent="0.3">
      <c r="A1605">
        <v>2025</v>
      </c>
      <c r="B1605" s="2" t="s">
        <v>21</v>
      </c>
      <c r="C1605" t="s">
        <v>16</v>
      </c>
      <c r="D1605" t="s">
        <v>9</v>
      </c>
      <c r="E1605">
        <v>100</v>
      </c>
      <c r="F1605">
        <v>167.6</v>
      </c>
      <c r="G1605">
        <v>4.8499999999999996</v>
      </c>
      <c r="H1605" s="3">
        <f t="shared" si="100"/>
        <v>45778</v>
      </c>
      <c r="I1605">
        <f>MONTH(Table1[[#This Row],[Date]])</f>
        <v>5</v>
      </c>
      <c r="J1605" t="str">
        <f t="shared" si="101"/>
        <v>Q2</v>
      </c>
      <c r="K1605" t="str">
        <f t="shared" si="102"/>
        <v>May-2025</v>
      </c>
      <c r="L1605" t="str">
        <f t="shared" si="103"/>
        <v>High</v>
      </c>
    </row>
    <row r="1606" spans="1:12" x14ac:dyDescent="0.3">
      <c r="A1606">
        <v>2025</v>
      </c>
      <c r="B1606" s="2" t="s">
        <v>21</v>
      </c>
      <c r="C1606" t="s">
        <v>16</v>
      </c>
      <c r="D1606" t="s">
        <v>10</v>
      </c>
      <c r="E1606">
        <v>45.86</v>
      </c>
      <c r="F1606">
        <v>169.6</v>
      </c>
      <c r="G1606">
        <v>4.93</v>
      </c>
      <c r="H1606" s="3">
        <f t="shared" si="100"/>
        <v>45778</v>
      </c>
      <c r="I1606">
        <f>MONTH(Table1[[#This Row],[Date]])</f>
        <v>5</v>
      </c>
      <c r="J1606" t="str">
        <f t="shared" si="101"/>
        <v>Q2</v>
      </c>
      <c r="K1606" t="str">
        <f t="shared" si="102"/>
        <v>May-2025</v>
      </c>
      <c r="L1606" t="str">
        <f t="shared" si="103"/>
        <v>High</v>
      </c>
    </row>
    <row r="1607" spans="1:12" x14ac:dyDescent="0.3">
      <c r="A1607">
        <v>2025</v>
      </c>
      <c r="B1607" s="2" t="s">
        <v>21</v>
      </c>
      <c r="C1607" t="s">
        <v>16</v>
      </c>
      <c r="D1607" t="s">
        <v>11</v>
      </c>
      <c r="E1607">
        <v>2.38</v>
      </c>
      <c r="F1607">
        <v>171.6</v>
      </c>
      <c r="G1607">
        <v>5.01</v>
      </c>
      <c r="H1607" s="3">
        <f t="shared" si="100"/>
        <v>45778</v>
      </c>
      <c r="I1607">
        <f>MONTH(Table1[[#This Row],[Date]])</f>
        <v>5</v>
      </c>
      <c r="J1607" t="str">
        <f t="shared" si="101"/>
        <v>Q2</v>
      </c>
      <c r="K1607" t="str">
        <f t="shared" si="102"/>
        <v>May-2025</v>
      </c>
      <c r="L1607" t="str">
        <f t="shared" si="103"/>
        <v>High</v>
      </c>
    </row>
    <row r="1608" spans="1:12" x14ac:dyDescent="0.3">
      <c r="A1608">
        <v>2025</v>
      </c>
      <c r="B1608" s="2" t="s">
        <v>21</v>
      </c>
      <c r="C1608" t="s">
        <v>16</v>
      </c>
      <c r="D1608" t="s">
        <v>12</v>
      </c>
      <c r="E1608">
        <v>6.53</v>
      </c>
      <c r="F1608">
        <v>173.6</v>
      </c>
      <c r="G1608">
        <v>5.09</v>
      </c>
      <c r="H1608" s="3">
        <f t="shared" si="100"/>
        <v>45778</v>
      </c>
      <c r="I1608">
        <f>MONTH(Table1[[#This Row],[Date]])</f>
        <v>5</v>
      </c>
      <c r="J1608" t="str">
        <f t="shared" si="101"/>
        <v>Q2</v>
      </c>
      <c r="K1608" t="str">
        <f t="shared" si="102"/>
        <v>May-2025</v>
      </c>
      <c r="L1608" t="str">
        <f t="shared" si="103"/>
        <v>High</v>
      </c>
    </row>
    <row r="1609" spans="1:12" x14ac:dyDescent="0.3">
      <c r="A1609">
        <v>2025</v>
      </c>
      <c r="B1609" s="2" t="s">
        <v>21</v>
      </c>
      <c r="C1609" t="s">
        <v>16</v>
      </c>
      <c r="D1609" t="s">
        <v>13</v>
      </c>
      <c r="E1609">
        <v>10.07</v>
      </c>
      <c r="F1609">
        <v>175.6</v>
      </c>
      <c r="G1609">
        <v>5.17</v>
      </c>
      <c r="H1609" s="3">
        <f t="shared" si="100"/>
        <v>45778</v>
      </c>
      <c r="I1609">
        <f>MONTH(Table1[[#This Row],[Date]])</f>
        <v>5</v>
      </c>
      <c r="J1609" t="str">
        <f t="shared" si="101"/>
        <v>Q2</v>
      </c>
      <c r="K1609" t="str">
        <f t="shared" si="102"/>
        <v>May-2025</v>
      </c>
      <c r="L1609" t="str">
        <f t="shared" si="103"/>
        <v>High</v>
      </c>
    </row>
    <row r="1610" spans="1:12" x14ac:dyDescent="0.3">
      <c r="A1610">
        <v>2025</v>
      </c>
      <c r="B1610" s="2" t="s">
        <v>21</v>
      </c>
      <c r="C1610" t="s">
        <v>16</v>
      </c>
      <c r="D1610" t="s">
        <v>14</v>
      </c>
      <c r="E1610">
        <v>6.84</v>
      </c>
      <c r="F1610">
        <v>177.6</v>
      </c>
      <c r="G1610">
        <v>5.25</v>
      </c>
      <c r="H1610" s="3">
        <f t="shared" si="100"/>
        <v>45778</v>
      </c>
      <c r="I1610">
        <f>MONTH(Table1[[#This Row],[Date]])</f>
        <v>5</v>
      </c>
      <c r="J1610" t="str">
        <f t="shared" si="101"/>
        <v>Q2</v>
      </c>
      <c r="K1610" t="str">
        <f t="shared" si="102"/>
        <v>May-2025</v>
      </c>
      <c r="L1610" t="str">
        <f t="shared" si="103"/>
        <v>High</v>
      </c>
    </row>
    <row r="1611" spans="1:12" x14ac:dyDescent="0.3">
      <c r="A1611">
        <v>2025</v>
      </c>
      <c r="B1611" s="2" t="s">
        <v>21</v>
      </c>
      <c r="C1611" t="s">
        <v>16</v>
      </c>
      <c r="D1611" t="s">
        <v>15</v>
      </c>
      <c r="E1611">
        <v>28.32</v>
      </c>
      <c r="F1611">
        <v>179.6</v>
      </c>
      <c r="G1611">
        <v>5.33</v>
      </c>
      <c r="H1611" s="3">
        <f t="shared" si="100"/>
        <v>45778</v>
      </c>
      <c r="I1611">
        <f>MONTH(Table1[[#This Row],[Date]])</f>
        <v>5</v>
      </c>
      <c r="J1611" t="str">
        <f t="shared" si="101"/>
        <v>Q2</v>
      </c>
      <c r="K1611" t="str">
        <f t="shared" si="102"/>
        <v>May-2025</v>
      </c>
      <c r="L1611" t="str">
        <f t="shared" si="103"/>
        <v>High</v>
      </c>
    </row>
    <row r="1612" spans="1:12" x14ac:dyDescent="0.3">
      <c r="A1612">
        <v>2025</v>
      </c>
      <c r="B1612" s="2" t="s">
        <v>21</v>
      </c>
      <c r="C1612" t="s">
        <v>17</v>
      </c>
      <c r="D1612" t="s">
        <v>9</v>
      </c>
      <c r="E1612">
        <v>100</v>
      </c>
      <c r="F1612">
        <v>168.2</v>
      </c>
      <c r="G1612">
        <v>4.8499999999999996</v>
      </c>
      <c r="H1612" s="3">
        <f t="shared" si="100"/>
        <v>45778</v>
      </c>
      <c r="I1612">
        <f>MONTH(Table1[[#This Row],[Date]])</f>
        <v>5</v>
      </c>
      <c r="J1612" t="str">
        <f t="shared" si="101"/>
        <v>Q2</v>
      </c>
      <c r="K1612" t="str">
        <f t="shared" si="102"/>
        <v>May-2025</v>
      </c>
      <c r="L1612" t="str">
        <f t="shared" si="103"/>
        <v>High</v>
      </c>
    </row>
    <row r="1613" spans="1:12" x14ac:dyDescent="0.3">
      <c r="A1613">
        <v>2025</v>
      </c>
      <c r="B1613" s="2" t="s">
        <v>21</v>
      </c>
      <c r="C1613" t="s">
        <v>17</v>
      </c>
      <c r="D1613" t="s">
        <v>10</v>
      </c>
      <c r="E1613">
        <v>45.86</v>
      </c>
      <c r="F1613">
        <v>170.2</v>
      </c>
      <c r="G1613">
        <v>4.93</v>
      </c>
      <c r="H1613" s="3">
        <f t="shared" si="100"/>
        <v>45778</v>
      </c>
      <c r="I1613">
        <f>MONTH(Table1[[#This Row],[Date]])</f>
        <v>5</v>
      </c>
      <c r="J1613" t="str">
        <f t="shared" si="101"/>
        <v>Q2</v>
      </c>
      <c r="K1613" t="str">
        <f t="shared" si="102"/>
        <v>May-2025</v>
      </c>
      <c r="L1613" t="str">
        <f t="shared" si="103"/>
        <v>High</v>
      </c>
    </row>
    <row r="1614" spans="1:12" x14ac:dyDescent="0.3">
      <c r="A1614">
        <v>2025</v>
      </c>
      <c r="B1614" s="2" t="s">
        <v>21</v>
      </c>
      <c r="C1614" t="s">
        <v>17</v>
      </c>
      <c r="D1614" t="s">
        <v>11</v>
      </c>
      <c r="E1614">
        <v>2.38</v>
      </c>
      <c r="F1614">
        <v>172.2</v>
      </c>
      <c r="G1614">
        <v>5.01</v>
      </c>
      <c r="H1614" s="3">
        <f t="shared" si="100"/>
        <v>45778</v>
      </c>
      <c r="I1614">
        <f>MONTH(Table1[[#This Row],[Date]])</f>
        <v>5</v>
      </c>
      <c r="J1614" t="str">
        <f t="shared" si="101"/>
        <v>Q2</v>
      </c>
      <c r="K1614" t="str">
        <f t="shared" si="102"/>
        <v>May-2025</v>
      </c>
      <c r="L1614" t="str">
        <f t="shared" si="103"/>
        <v>High</v>
      </c>
    </row>
    <row r="1615" spans="1:12" x14ac:dyDescent="0.3">
      <c r="A1615">
        <v>2025</v>
      </c>
      <c r="B1615" s="2" t="s">
        <v>21</v>
      </c>
      <c r="C1615" t="s">
        <v>17</v>
      </c>
      <c r="D1615" t="s">
        <v>12</v>
      </c>
      <c r="E1615">
        <v>6.53</v>
      </c>
      <c r="F1615">
        <v>174.2</v>
      </c>
      <c r="G1615">
        <v>5.09</v>
      </c>
      <c r="H1615" s="3">
        <f t="shared" si="100"/>
        <v>45778</v>
      </c>
      <c r="I1615">
        <f>MONTH(Table1[[#This Row],[Date]])</f>
        <v>5</v>
      </c>
      <c r="J1615" t="str">
        <f t="shared" si="101"/>
        <v>Q2</v>
      </c>
      <c r="K1615" t="str">
        <f t="shared" si="102"/>
        <v>May-2025</v>
      </c>
      <c r="L1615" t="str">
        <f t="shared" si="103"/>
        <v>High</v>
      </c>
    </row>
    <row r="1616" spans="1:12" x14ac:dyDescent="0.3">
      <c r="A1616">
        <v>2025</v>
      </c>
      <c r="B1616" s="2" t="s">
        <v>21</v>
      </c>
      <c r="C1616" t="s">
        <v>17</v>
      </c>
      <c r="D1616" t="s">
        <v>13</v>
      </c>
      <c r="E1616">
        <v>10.07</v>
      </c>
      <c r="F1616">
        <v>176.2</v>
      </c>
      <c r="G1616">
        <v>5.17</v>
      </c>
      <c r="H1616" s="3">
        <f t="shared" si="100"/>
        <v>45778</v>
      </c>
      <c r="I1616">
        <f>MONTH(Table1[[#This Row],[Date]])</f>
        <v>5</v>
      </c>
      <c r="J1616" t="str">
        <f t="shared" si="101"/>
        <v>Q2</v>
      </c>
      <c r="K1616" t="str">
        <f t="shared" si="102"/>
        <v>May-2025</v>
      </c>
      <c r="L1616" t="str">
        <f t="shared" si="103"/>
        <v>High</v>
      </c>
    </row>
    <row r="1617" spans="1:12" x14ac:dyDescent="0.3">
      <c r="A1617">
        <v>2025</v>
      </c>
      <c r="B1617" s="2" t="s">
        <v>21</v>
      </c>
      <c r="C1617" t="s">
        <v>17</v>
      </c>
      <c r="D1617" t="s">
        <v>14</v>
      </c>
      <c r="E1617">
        <v>6.84</v>
      </c>
      <c r="F1617">
        <v>178.2</v>
      </c>
      <c r="G1617">
        <v>5.25</v>
      </c>
      <c r="H1617" s="3">
        <f t="shared" si="100"/>
        <v>45778</v>
      </c>
      <c r="I1617">
        <f>MONTH(Table1[[#This Row],[Date]])</f>
        <v>5</v>
      </c>
      <c r="J1617" t="str">
        <f t="shared" si="101"/>
        <v>Q2</v>
      </c>
      <c r="K1617" t="str">
        <f t="shared" si="102"/>
        <v>May-2025</v>
      </c>
      <c r="L1617" t="str">
        <f t="shared" si="103"/>
        <v>High</v>
      </c>
    </row>
    <row r="1618" spans="1:12" x14ac:dyDescent="0.3">
      <c r="A1618">
        <v>2025</v>
      </c>
      <c r="B1618" s="2" t="s">
        <v>21</v>
      </c>
      <c r="C1618" t="s">
        <v>17</v>
      </c>
      <c r="D1618" t="s">
        <v>15</v>
      </c>
      <c r="E1618">
        <v>28.32</v>
      </c>
      <c r="F1618">
        <v>180.2</v>
      </c>
      <c r="G1618">
        <v>5.33</v>
      </c>
      <c r="H1618" s="3">
        <f t="shared" si="100"/>
        <v>45778</v>
      </c>
      <c r="I1618">
        <f>MONTH(Table1[[#This Row],[Date]])</f>
        <v>5</v>
      </c>
      <c r="J1618" t="str">
        <f t="shared" si="101"/>
        <v>Q2</v>
      </c>
      <c r="K1618" t="str">
        <f t="shared" si="102"/>
        <v>May-2025</v>
      </c>
      <c r="L1618" t="str">
        <f t="shared" si="103"/>
        <v>High</v>
      </c>
    </row>
    <row r="1619" spans="1:12" x14ac:dyDescent="0.3">
      <c r="A1619">
        <v>2025</v>
      </c>
      <c r="B1619" s="2" t="s">
        <v>22</v>
      </c>
      <c r="C1619" t="s">
        <v>8</v>
      </c>
      <c r="D1619" t="s">
        <v>9</v>
      </c>
      <c r="E1619">
        <v>100</v>
      </c>
      <c r="F1619">
        <v>167.4</v>
      </c>
      <c r="G1619">
        <v>4.0999999999999996</v>
      </c>
      <c r="H1619" s="3">
        <f t="shared" si="100"/>
        <v>45809</v>
      </c>
      <c r="I1619">
        <f>MONTH(Table1[[#This Row],[Date]])</f>
        <v>6</v>
      </c>
      <c r="J1619" t="str">
        <f t="shared" si="101"/>
        <v>Q2</v>
      </c>
      <c r="K1619" t="str">
        <f t="shared" si="102"/>
        <v>Jun-2025</v>
      </c>
      <c r="L1619" t="str">
        <f t="shared" si="103"/>
        <v>High</v>
      </c>
    </row>
    <row r="1620" spans="1:12" x14ac:dyDescent="0.3">
      <c r="A1620">
        <v>2025</v>
      </c>
      <c r="B1620" s="2" t="s">
        <v>22</v>
      </c>
      <c r="C1620" t="s">
        <v>8</v>
      </c>
      <c r="D1620" t="s">
        <v>10</v>
      </c>
      <c r="E1620">
        <v>45.86</v>
      </c>
      <c r="F1620">
        <v>169.4</v>
      </c>
      <c r="G1620">
        <v>4.18</v>
      </c>
      <c r="H1620" s="3">
        <f t="shared" si="100"/>
        <v>45809</v>
      </c>
      <c r="I1620">
        <f>MONTH(Table1[[#This Row],[Date]])</f>
        <v>6</v>
      </c>
      <c r="J1620" t="str">
        <f t="shared" si="101"/>
        <v>Q2</v>
      </c>
      <c r="K1620" t="str">
        <f t="shared" si="102"/>
        <v>Jun-2025</v>
      </c>
      <c r="L1620" t="str">
        <f t="shared" si="103"/>
        <v>High</v>
      </c>
    </row>
    <row r="1621" spans="1:12" x14ac:dyDescent="0.3">
      <c r="A1621">
        <v>2025</v>
      </c>
      <c r="B1621" s="2" t="s">
        <v>22</v>
      </c>
      <c r="C1621" t="s">
        <v>8</v>
      </c>
      <c r="D1621" t="s">
        <v>11</v>
      </c>
      <c r="E1621">
        <v>2.38</v>
      </c>
      <c r="F1621">
        <v>171.4</v>
      </c>
      <c r="G1621">
        <v>4.26</v>
      </c>
      <c r="H1621" s="3">
        <f t="shared" si="100"/>
        <v>45809</v>
      </c>
      <c r="I1621">
        <f>MONTH(Table1[[#This Row],[Date]])</f>
        <v>6</v>
      </c>
      <c r="J1621" t="str">
        <f t="shared" si="101"/>
        <v>Q2</v>
      </c>
      <c r="K1621" t="str">
        <f t="shared" si="102"/>
        <v>Jun-2025</v>
      </c>
      <c r="L1621" t="str">
        <f t="shared" si="103"/>
        <v>High</v>
      </c>
    </row>
    <row r="1622" spans="1:12" x14ac:dyDescent="0.3">
      <c r="A1622">
        <v>2025</v>
      </c>
      <c r="B1622" s="2" t="s">
        <v>22</v>
      </c>
      <c r="C1622" t="s">
        <v>8</v>
      </c>
      <c r="D1622" t="s">
        <v>12</v>
      </c>
      <c r="E1622">
        <v>6.53</v>
      </c>
      <c r="F1622">
        <v>173.4</v>
      </c>
      <c r="G1622">
        <v>4.34</v>
      </c>
      <c r="H1622" s="3">
        <f t="shared" si="100"/>
        <v>45809</v>
      </c>
      <c r="I1622">
        <f>MONTH(Table1[[#This Row],[Date]])</f>
        <v>6</v>
      </c>
      <c r="J1622" t="str">
        <f t="shared" si="101"/>
        <v>Q2</v>
      </c>
      <c r="K1622" t="str">
        <f t="shared" si="102"/>
        <v>Jun-2025</v>
      </c>
      <c r="L1622" t="str">
        <f t="shared" si="103"/>
        <v>High</v>
      </c>
    </row>
    <row r="1623" spans="1:12" x14ac:dyDescent="0.3">
      <c r="A1623">
        <v>2025</v>
      </c>
      <c r="B1623" s="2" t="s">
        <v>22</v>
      </c>
      <c r="C1623" t="s">
        <v>8</v>
      </c>
      <c r="D1623" t="s">
        <v>13</v>
      </c>
      <c r="E1623">
        <v>10.07</v>
      </c>
      <c r="F1623">
        <v>175.4</v>
      </c>
      <c r="G1623">
        <v>4.42</v>
      </c>
      <c r="H1623" s="3">
        <f t="shared" si="100"/>
        <v>45809</v>
      </c>
      <c r="I1623">
        <f>MONTH(Table1[[#This Row],[Date]])</f>
        <v>6</v>
      </c>
      <c r="J1623" t="str">
        <f t="shared" si="101"/>
        <v>Q2</v>
      </c>
      <c r="K1623" t="str">
        <f t="shared" si="102"/>
        <v>Jun-2025</v>
      </c>
      <c r="L1623" t="str">
        <f t="shared" si="103"/>
        <v>High</v>
      </c>
    </row>
    <row r="1624" spans="1:12" x14ac:dyDescent="0.3">
      <c r="A1624">
        <v>2025</v>
      </c>
      <c r="B1624" s="2" t="s">
        <v>22</v>
      </c>
      <c r="C1624" t="s">
        <v>8</v>
      </c>
      <c r="D1624" t="s">
        <v>14</v>
      </c>
      <c r="E1624">
        <v>6.84</v>
      </c>
      <c r="F1624">
        <v>177.4</v>
      </c>
      <c r="G1624">
        <v>4.5</v>
      </c>
      <c r="H1624" s="3">
        <f t="shared" si="100"/>
        <v>45809</v>
      </c>
      <c r="I1624">
        <f>MONTH(Table1[[#This Row],[Date]])</f>
        <v>6</v>
      </c>
      <c r="J1624" t="str">
        <f t="shared" si="101"/>
        <v>Q2</v>
      </c>
      <c r="K1624" t="str">
        <f t="shared" si="102"/>
        <v>Jun-2025</v>
      </c>
      <c r="L1624" t="str">
        <f t="shared" si="103"/>
        <v>High</v>
      </c>
    </row>
    <row r="1625" spans="1:12" x14ac:dyDescent="0.3">
      <c r="A1625">
        <v>2025</v>
      </c>
      <c r="B1625" s="2" t="s">
        <v>22</v>
      </c>
      <c r="C1625" t="s">
        <v>8</v>
      </c>
      <c r="D1625" t="s">
        <v>15</v>
      </c>
      <c r="E1625">
        <v>28.32</v>
      </c>
      <c r="F1625">
        <v>179.4</v>
      </c>
      <c r="G1625">
        <v>4.58</v>
      </c>
      <c r="H1625" s="3">
        <f t="shared" si="100"/>
        <v>45809</v>
      </c>
      <c r="I1625">
        <f>MONTH(Table1[[#This Row],[Date]])</f>
        <v>6</v>
      </c>
      <c r="J1625" t="str">
        <f t="shared" si="101"/>
        <v>Q2</v>
      </c>
      <c r="K1625" t="str">
        <f t="shared" si="102"/>
        <v>Jun-2025</v>
      </c>
      <c r="L1625" t="str">
        <f t="shared" si="103"/>
        <v>High</v>
      </c>
    </row>
    <row r="1626" spans="1:12" x14ac:dyDescent="0.3">
      <c r="A1626">
        <v>2025</v>
      </c>
      <c r="B1626" s="2" t="s">
        <v>22</v>
      </c>
      <c r="C1626" t="s">
        <v>16</v>
      </c>
      <c r="D1626" t="s">
        <v>9</v>
      </c>
      <c r="E1626">
        <v>100</v>
      </c>
      <c r="F1626">
        <v>168</v>
      </c>
      <c r="G1626">
        <v>4.0999999999999996</v>
      </c>
      <c r="H1626" s="3">
        <f t="shared" si="100"/>
        <v>45809</v>
      </c>
      <c r="I1626">
        <f>MONTH(Table1[[#This Row],[Date]])</f>
        <v>6</v>
      </c>
      <c r="J1626" t="str">
        <f t="shared" si="101"/>
        <v>Q2</v>
      </c>
      <c r="K1626" t="str">
        <f t="shared" si="102"/>
        <v>Jun-2025</v>
      </c>
      <c r="L1626" t="str">
        <f t="shared" si="103"/>
        <v>High</v>
      </c>
    </row>
    <row r="1627" spans="1:12" x14ac:dyDescent="0.3">
      <c r="A1627">
        <v>2025</v>
      </c>
      <c r="B1627" s="2" t="s">
        <v>22</v>
      </c>
      <c r="C1627" t="s">
        <v>16</v>
      </c>
      <c r="D1627" t="s">
        <v>10</v>
      </c>
      <c r="E1627">
        <v>45.86</v>
      </c>
      <c r="F1627">
        <v>170</v>
      </c>
      <c r="G1627">
        <v>4.18</v>
      </c>
      <c r="H1627" s="3">
        <f t="shared" si="100"/>
        <v>45809</v>
      </c>
      <c r="I1627">
        <f>MONTH(Table1[[#This Row],[Date]])</f>
        <v>6</v>
      </c>
      <c r="J1627" t="str">
        <f t="shared" si="101"/>
        <v>Q2</v>
      </c>
      <c r="K1627" t="str">
        <f t="shared" si="102"/>
        <v>Jun-2025</v>
      </c>
      <c r="L1627" t="str">
        <f t="shared" si="103"/>
        <v>High</v>
      </c>
    </row>
    <row r="1628" spans="1:12" x14ac:dyDescent="0.3">
      <c r="A1628">
        <v>2025</v>
      </c>
      <c r="B1628" s="2" t="s">
        <v>22</v>
      </c>
      <c r="C1628" t="s">
        <v>16</v>
      </c>
      <c r="D1628" t="s">
        <v>11</v>
      </c>
      <c r="E1628">
        <v>2.38</v>
      </c>
      <c r="F1628">
        <v>172</v>
      </c>
      <c r="G1628">
        <v>4.26</v>
      </c>
      <c r="H1628" s="3">
        <f t="shared" si="100"/>
        <v>45809</v>
      </c>
      <c r="I1628">
        <f>MONTH(Table1[[#This Row],[Date]])</f>
        <v>6</v>
      </c>
      <c r="J1628" t="str">
        <f t="shared" si="101"/>
        <v>Q2</v>
      </c>
      <c r="K1628" t="str">
        <f t="shared" si="102"/>
        <v>Jun-2025</v>
      </c>
      <c r="L1628" t="str">
        <f t="shared" si="103"/>
        <v>High</v>
      </c>
    </row>
    <row r="1629" spans="1:12" x14ac:dyDescent="0.3">
      <c r="A1629">
        <v>2025</v>
      </c>
      <c r="B1629" s="2" t="s">
        <v>22</v>
      </c>
      <c r="C1629" t="s">
        <v>16</v>
      </c>
      <c r="D1629" t="s">
        <v>12</v>
      </c>
      <c r="E1629">
        <v>6.53</v>
      </c>
      <c r="F1629">
        <v>174</v>
      </c>
      <c r="G1629">
        <v>4.34</v>
      </c>
      <c r="H1629" s="3">
        <f t="shared" si="100"/>
        <v>45809</v>
      </c>
      <c r="I1629">
        <f>MONTH(Table1[[#This Row],[Date]])</f>
        <v>6</v>
      </c>
      <c r="J1629" t="str">
        <f t="shared" si="101"/>
        <v>Q2</v>
      </c>
      <c r="K1629" t="str">
        <f t="shared" si="102"/>
        <v>Jun-2025</v>
      </c>
      <c r="L1629" t="str">
        <f t="shared" si="103"/>
        <v>High</v>
      </c>
    </row>
    <row r="1630" spans="1:12" x14ac:dyDescent="0.3">
      <c r="A1630">
        <v>2025</v>
      </c>
      <c r="B1630" s="2" t="s">
        <v>22</v>
      </c>
      <c r="C1630" t="s">
        <v>16</v>
      </c>
      <c r="D1630" t="s">
        <v>13</v>
      </c>
      <c r="E1630">
        <v>10.07</v>
      </c>
      <c r="F1630">
        <v>176</v>
      </c>
      <c r="G1630">
        <v>4.42</v>
      </c>
      <c r="H1630" s="3">
        <f t="shared" si="100"/>
        <v>45809</v>
      </c>
      <c r="I1630">
        <f>MONTH(Table1[[#This Row],[Date]])</f>
        <v>6</v>
      </c>
      <c r="J1630" t="str">
        <f t="shared" si="101"/>
        <v>Q2</v>
      </c>
      <c r="K1630" t="str">
        <f t="shared" si="102"/>
        <v>Jun-2025</v>
      </c>
      <c r="L1630" t="str">
        <f t="shared" si="103"/>
        <v>High</v>
      </c>
    </row>
    <row r="1631" spans="1:12" x14ac:dyDescent="0.3">
      <c r="A1631">
        <v>2025</v>
      </c>
      <c r="B1631" s="2" t="s">
        <v>22</v>
      </c>
      <c r="C1631" t="s">
        <v>16</v>
      </c>
      <c r="D1631" t="s">
        <v>14</v>
      </c>
      <c r="E1631">
        <v>6.84</v>
      </c>
      <c r="F1631">
        <v>178</v>
      </c>
      <c r="G1631">
        <v>4.5</v>
      </c>
      <c r="H1631" s="3">
        <f t="shared" si="100"/>
        <v>45809</v>
      </c>
      <c r="I1631">
        <f>MONTH(Table1[[#This Row],[Date]])</f>
        <v>6</v>
      </c>
      <c r="J1631" t="str">
        <f t="shared" si="101"/>
        <v>Q2</v>
      </c>
      <c r="K1631" t="str">
        <f t="shared" si="102"/>
        <v>Jun-2025</v>
      </c>
      <c r="L1631" t="str">
        <f t="shared" si="103"/>
        <v>High</v>
      </c>
    </row>
    <row r="1632" spans="1:12" x14ac:dyDescent="0.3">
      <c r="A1632">
        <v>2025</v>
      </c>
      <c r="B1632" s="2" t="s">
        <v>22</v>
      </c>
      <c r="C1632" t="s">
        <v>16</v>
      </c>
      <c r="D1632" t="s">
        <v>15</v>
      </c>
      <c r="E1632">
        <v>28.32</v>
      </c>
      <c r="F1632">
        <v>180</v>
      </c>
      <c r="G1632">
        <v>4.58</v>
      </c>
      <c r="H1632" s="3">
        <f t="shared" si="100"/>
        <v>45809</v>
      </c>
      <c r="I1632">
        <f>MONTH(Table1[[#This Row],[Date]])</f>
        <v>6</v>
      </c>
      <c r="J1632" t="str">
        <f t="shared" si="101"/>
        <v>Q2</v>
      </c>
      <c r="K1632" t="str">
        <f t="shared" si="102"/>
        <v>Jun-2025</v>
      </c>
      <c r="L1632" t="str">
        <f t="shared" si="103"/>
        <v>High</v>
      </c>
    </row>
    <row r="1633" spans="1:12" x14ac:dyDescent="0.3">
      <c r="A1633">
        <v>2025</v>
      </c>
      <c r="B1633" s="2" t="s">
        <v>22</v>
      </c>
      <c r="C1633" t="s">
        <v>17</v>
      </c>
      <c r="D1633" t="s">
        <v>9</v>
      </c>
      <c r="E1633">
        <v>100</v>
      </c>
      <c r="F1633">
        <v>168.6</v>
      </c>
      <c r="G1633">
        <v>4.0999999999999996</v>
      </c>
      <c r="H1633" s="3">
        <f t="shared" si="100"/>
        <v>45809</v>
      </c>
      <c r="I1633">
        <f>MONTH(Table1[[#This Row],[Date]])</f>
        <v>6</v>
      </c>
      <c r="J1633" t="str">
        <f t="shared" si="101"/>
        <v>Q2</v>
      </c>
      <c r="K1633" t="str">
        <f t="shared" si="102"/>
        <v>Jun-2025</v>
      </c>
      <c r="L1633" t="str">
        <f t="shared" si="103"/>
        <v>High</v>
      </c>
    </row>
    <row r="1634" spans="1:12" x14ac:dyDescent="0.3">
      <c r="A1634">
        <v>2025</v>
      </c>
      <c r="B1634" s="2" t="s">
        <v>22</v>
      </c>
      <c r="C1634" t="s">
        <v>17</v>
      </c>
      <c r="D1634" t="s">
        <v>10</v>
      </c>
      <c r="E1634">
        <v>45.86</v>
      </c>
      <c r="F1634">
        <v>170.6</v>
      </c>
      <c r="G1634">
        <v>4.18</v>
      </c>
      <c r="H1634" s="3">
        <f t="shared" si="100"/>
        <v>45809</v>
      </c>
      <c r="I1634">
        <f>MONTH(Table1[[#This Row],[Date]])</f>
        <v>6</v>
      </c>
      <c r="J1634" t="str">
        <f t="shared" si="101"/>
        <v>Q2</v>
      </c>
      <c r="K1634" t="str">
        <f t="shared" si="102"/>
        <v>Jun-2025</v>
      </c>
      <c r="L1634" t="str">
        <f t="shared" si="103"/>
        <v>High</v>
      </c>
    </row>
    <row r="1635" spans="1:12" x14ac:dyDescent="0.3">
      <c r="A1635">
        <v>2025</v>
      </c>
      <c r="B1635" s="2" t="s">
        <v>22</v>
      </c>
      <c r="C1635" t="s">
        <v>17</v>
      </c>
      <c r="D1635" t="s">
        <v>11</v>
      </c>
      <c r="E1635">
        <v>2.38</v>
      </c>
      <c r="F1635">
        <v>172.6</v>
      </c>
      <c r="G1635">
        <v>4.26</v>
      </c>
      <c r="H1635" s="3">
        <f t="shared" si="100"/>
        <v>45809</v>
      </c>
      <c r="I1635">
        <f>MONTH(Table1[[#This Row],[Date]])</f>
        <v>6</v>
      </c>
      <c r="J1635" t="str">
        <f t="shared" si="101"/>
        <v>Q2</v>
      </c>
      <c r="K1635" t="str">
        <f t="shared" si="102"/>
        <v>Jun-2025</v>
      </c>
      <c r="L1635" t="str">
        <f t="shared" si="103"/>
        <v>High</v>
      </c>
    </row>
    <row r="1636" spans="1:12" x14ac:dyDescent="0.3">
      <c r="A1636">
        <v>2025</v>
      </c>
      <c r="B1636" s="2" t="s">
        <v>22</v>
      </c>
      <c r="C1636" t="s">
        <v>17</v>
      </c>
      <c r="D1636" t="s">
        <v>12</v>
      </c>
      <c r="E1636">
        <v>6.53</v>
      </c>
      <c r="F1636">
        <v>174.6</v>
      </c>
      <c r="G1636">
        <v>4.34</v>
      </c>
      <c r="H1636" s="3">
        <f t="shared" si="100"/>
        <v>45809</v>
      </c>
      <c r="I1636">
        <f>MONTH(Table1[[#This Row],[Date]])</f>
        <v>6</v>
      </c>
      <c r="J1636" t="str">
        <f t="shared" si="101"/>
        <v>Q2</v>
      </c>
      <c r="K1636" t="str">
        <f t="shared" si="102"/>
        <v>Jun-2025</v>
      </c>
      <c r="L1636" t="str">
        <f t="shared" si="103"/>
        <v>High</v>
      </c>
    </row>
    <row r="1637" spans="1:12" x14ac:dyDescent="0.3">
      <c r="A1637">
        <v>2025</v>
      </c>
      <c r="B1637" s="2" t="s">
        <v>22</v>
      </c>
      <c r="C1637" t="s">
        <v>17</v>
      </c>
      <c r="D1637" t="s">
        <v>13</v>
      </c>
      <c r="E1637">
        <v>10.07</v>
      </c>
      <c r="F1637">
        <v>176.6</v>
      </c>
      <c r="G1637">
        <v>4.42</v>
      </c>
      <c r="H1637" s="3">
        <f t="shared" si="100"/>
        <v>45809</v>
      </c>
      <c r="I1637">
        <f>MONTH(Table1[[#This Row],[Date]])</f>
        <v>6</v>
      </c>
      <c r="J1637" t="str">
        <f t="shared" si="101"/>
        <v>Q2</v>
      </c>
      <c r="K1637" t="str">
        <f t="shared" si="102"/>
        <v>Jun-2025</v>
      </c>
      <c r="L1637" t="str">
        <f t="shared" si="103"/>
        <v>High</v>
      </c>
    </row>
    <row r="1638" spans="1:12" x14ac:dyDescent="0.3">
      <c r="A1638">
        <v>2025</v>
      </c>
      <c r="B1638" s="2" t="s">
        <v>22</v>
      </c>
      <c r="C1638" t="s">
        <v>17</v>
      </c>
      <c r="D1638" t="s">
        <v>14</v>
      </c>
      <c r="E1638">
        <v>6.84</v>
      </c>
      <c r="F1638">
        <v>178.6</v>
      </c>
      <c r="G1638">
        <v>4.5</v>
      </c>
      <c r="H1638" s="3">
        <f t="shared" si="100"/>
        <v>45809</v>
      </c>
      <c r="I1638">
        <f>MONTH(Table1[[#This Row],[Date]])</f>
        <v>6</v>
      </c>
      <c r="J1638" t="str">
        <f t="shared" si="101"/>
        <v>Q2</v>
      </c>
      <c r="K1638" t="str">
        <f t="shared" si="102"/>
        <v>Jun-2025</v>
      </c>
      <c r="L1638" t="str">
        <f t="shared" si="103"/>
        <v>High</v>
      </c>
    </row>
    <row r="1639" spans="1:12" x14ac:dyDescent="0.3">
      <c r="A1639">
        <v>2025</v>
      </c>
      <c r="B1639" s="2" t="s">
        <v>22</v>
      </c>
      <c r="C1639" t="s">
        <v>17</v>
      </c>
      <c r="D1639" t="s">
        <v>15</v>
      </c>
      <c r="E1639">
        <v>28.32</v>
      </c>
      <c r="F1639">
        <v>180.6</v>
      </c>
      <c r="G1639">
        <v>4.58</v>
      </c>
      <c r="H1639" s="3">
        <f t="shared" si="100"/>
        <v>45809</v>
      </c>
      <c r="I1639">
        <f>MONTH(Table1[[#This Row],[Date]])</f>
        <v>6</v>
      </c>
      <c r="J1639" t="str">
        <f t="shared" si="101"/>
        <v>Q2</v>
      </c>
      <c r="K1639" t="str">
        <f t="shared" si="102"/>
        <v>Jun-2025</v>
      </c>
      <c r="L1639" t="str">
        <f t="shared" si="103"/>
        <v>High</v>
      </c>
    </row>
    <row r="1640" spans="1:12" x14ac:dyDescent="0.3">
      <c r="A1640">
        <v>2025</v>
      </c>
      <c r="B1640" s="2" t="s">
        <v>23</v>
      </c>
      <c r="C1640" t="s">
        <v>8</v>
      </c>
      <c r="D1640" t="s">
        <v>9</v>
      </c>
      <c r="E1640">
        <v>100</v>
      </c>
      <c r="F1640">
        <v>167.8</v>
      </c>
      <c r="G1640">
        <v>4.25</v>
      </c>
      <c r="H1640" s="3">
        <f t="shared" si="100"/>
        <v>45839</v>
      </c>
      <c r="I1640">
        <f>MONTH(Table1[[#This Row],[Date]])</f>
        <v>7</v>
      </c>
      <c r="J1640" t="str">
        <f t="shared" si="101"/>
        <v>Q3</v>
      </c>
      <c r="K1640" t="str">
        <f t="shared" si="102"/>
        <v>Jul-2025</v>
      </c>
      <c r="L1640" t="str">
        <f t="shared" si="103"/>
        <v>High</v>
      </c>
    </row>
    <row r="1641" spans="1:12" x14ac:dyDescent="0.3">
      <c r="A1641">
        <v>2025</v>
      </c>
      <c r="B1641" s="2" t="s">
        <v>23</v>
      </c>
      <c r="C1641" t="s">
        <v>8</v>
      </c>
      <c r="D1641" t="s">
        <v>10</v>
      </c>
      <c r="E1641">
        <v>45.86</v>
      </c>
      <c r="F1641">
        <v>169.8</v>
      </c>
      <c r="G1641">
        <v>4.33</v>
      </c>
      <c r="H1641" s="3">
        <f t="shared" si="100"/>
        <v>45839</v>
      </c>
      <c r="I1641">
        <f>MONTH(Table1[[#This Row],[Date]])</f>
        <v>7</v>
      </c>
      <c r="J1641" t="str">
        <f t="shared" si="101"/>
        <v>Q3</v>
      </c>
      <c r="K1641" t="str">
        <f t="shared" si="102"/>
        <v>Jul-2025</v>
      </c>
      <c r="L1641" t="str">
        <f t="shared" si="103"/>
        <v>High</v>
      </c>
    </row>
    <row r="1642" spans="1:12" x14ac:dyDescent="0.3">
      <c r="A1642">
        <v>2025</v>
      </c>
      <c r="B1642" s="2" t="s">
        <v>23</v>
      </c>
      <c r="C1642" t="s">
        <v>8</v>
      </c>
      <c r="D1642" t="s">
        <v>11</v>
      </c>
      <c r="E1642">
        <v>2.38</v>
      </c>
      <c r="F1642">
        <v>171.8</v>
      </c>
      <c r="G1642">
        <v>4.41</v>
      </c>
      <c r="H1642" s="3">
        <f t="shared" si="100"/>
        <v>45839</v>
      </c>
      <c r="I1642">
        <f>MONTH(Table1[[#This Row],[Date]])</f>
        <v>7</v>
      </c>
      <c r="J1642" t="str">
        <f t="shared" si="101"/>
        <v>Q3</v>
      </c>
      <c r="K1642" t="str">
        <f t="shared" si="102"/>
        <v>Jul-2025</v>
      </c>
      <c r="L1642" t="str">
        <f t="shared" si="103"/>
        <v>High</v>
      </c>
    </row>
    <row r="1643" spans="1:12" x14ac:dyDescent="0.3">
      <c r="A1643">
        <v>2025</v>
      </c>
      <c r="B1643" s="2" t="s">
        <v>23</v>
      </c>
      <c r="C1643" t="s">
        <v>8</v>
      </c>
      <c r="D1643" t="s">
        <v>12</v>
      </c>
      <c r="E1643">
        <v>6.53</v>
      </c>
      <c r="F1643">
        <v>173.8</v>
      </c>
      <c r="G1643">
        <v>4.49</v>
      </c>
      <c r="H1643" s="3">
        <f t="shared" si="100"/>
        <v>45839</v>
      </c>
      <c r="I1643">
        <f>MONTH(Table1[[#This Row],[Date]])</f>
        <v>7</v>
      </c>
      <c r="J1643" t="str">
        <f t="shared" si="101"/>
        <v>Q3</v>
      </c>
      <c r="K1643" t="str">
        <f t="shared" si="102"/>
        <v>Jul-2025</v>
      </c>
      <c r="L1643" t="str">
        <f t="shared" si="103"/>
        <v>High</v>
      </c>
    </row>
    <row r="1644" spans="1:12" x14ac:dyDescent="0.3">
      <c r="A1644">
        <v>2025</v>
      </c>
      <c r="B1644" s="2" t="s">
        <v>23</v>
      </c>
      <c r="C1644" t="s">
        <v>8</v>
      </c>
      <c r="D1644" t="s">
        <v>13</v>
      </c>
      <c r="E1644">
        <v>10.07</v>
      </c>
      <c r="F1644">
        <v>175.8</v>
      </c>
      <c r="G1644">
        <v>4.57</v>
      </c>
      <c r="H1644" s="3">
        <f t="shared" si="100"/>
        <v>45839</v>
      </c>
      <c r="I1644">
        <f>MONTH(Table1[[#This Row],[Date]])</f>
        <v>7</v>
      </c>
      <c r="J1644" t="str">
        <f t="shared" si="101"/>
        <v>Q3</v>
      </c>
      <c r="K1644" t="str">
        <f t="shared" si="102"/>
        <v>Jul-2025</v>
      </c>
      <c r="L1644" t="str">
        <f t="shared" si="103"/>
        <v>High</v>
      </c>
    </row>
    <row r="1645" spans="1:12" x14ac:dyDescent="0.3">
      <c r="A1645">
        <v>2025</v>
      </c>
      <c r="B1645" s="2" t="s">
        <v>23</v>
      </c>
      <c r="C1645" t="s">
        <v>8</v>
      </c>
      <c r="D1645" t="s">
        <v>14</v>
      </c>
      <c r="E1645">
        <v>6.84</v>
      </c>
      <c r="F1645">
        <v>177.8</v>
      </c>
      <c r="G1645">
        <v>4.6500000000000004</v>
      </c>
      <c r="H1645" s="3">
        <f t="shared" si="100"/>
        <v>45839</v>
      </c>
      <c r="I1645">
        <f>MONTH(Table1[[#This Row],[Date]])</f>
        <v>7</v>
      </c>
      <c r="J1645" t="str">
        <f t="shared" si="101"/>
        <v>Q3</v>
      </c>
      <c r="K1645" t="str">
        <f t="shared" si="102"/>
        <v>Jul-2025</v>
      </c>
      <c r="L1645" t="str">
        <f t="shared" si="103"/>
        <v>High</v>
      </c>
    </row>
    <row r="1646" spans="1:12" x14ac:dyDescent="0.3">
      <c r="A1646">
        <v>2025</v>
      </c>
      <c r="B1646" s="2" t="s">
        <v>23</v>
      </c>
      <c r="C1646" t="s">
        <v>8</v>
      </c>
      <c r="D1646" t="s">
        <v>15</v>
      </c>
      <c r="E1646">
        <v>28.32</v>
      </c>
      <c r="F1646">
        <v>179.8</v>
      </c>
      <c r="G1646">
        <v>4.7300000000000004</v>
      </c>
      <c r="H1646" s="3">
        <f t="shared" si="100"/>
        <v>45839</v>
      </c>
      <c r="I1646">
        <f>MONTH(Table1[[#This Row],[Date]])</f>
        <v>7</v>
      </c>
      <c r="J1646" t="str">
        <f t="shared" si="101"/>
        <v>Q3</v>
      </c>
      <c r="K1646" t="str">
        <f t="shared" si="102"/>
        <v>Jul-2025</v>
      </c>
      <c r="L1646" t="str">
        <f t="shared" si="103"/>
        <v>High</v>
      </c>
    </row>
    <row r="1647" spans="1:12" x14ac:dyDescent="0.3">
      <c r="A1647">
        <v>2025</v>
      </c>
      <c r="B1647" s="2" t="s">
        <v>23</v>
      </c>
      <c r="C1647" t="s">
        <v>16</v>
      </c>
      <c r="D1647" t="s">
        <v>9</v>
      </c>
      <c r="E1647">
        <v>100</v>
      </c>
      <c r="F1647">
        <v>168.4</v>
      </c>
      <c r="G1647">
        <v>4.25</v>
      </c>
      <c r="H1647" s="3">
        <f t="shared" si="100"/>
        <v>45839</v>
      </c>
      <c r="I1647">
        <f>MONTH(Table1[[#This Row],[Date]])</f>
        <v>7</v>
      </c>
      <c r="J1647" t="str">
        <f t="shared" si="101"/>
        <v>Q3</v>
      </c>
      <c r="K1647" t="str">
        <f t="shared" si="102"/>
        <v>Jul-2025</v>
      </c>
      <c r="L1647" t="str">
        <f t="shared" si="103"/>
        <v>High</v>
      </c>
    </row>
    <row r="1648" spans="1:12" x14ac:dyDescent="0.3">
      <c r="A1648">
        <v>2025</v>
      </c>
      <c r="B1648" s="2" t="s">
        <v>23</v>
      </c>
      <c r="C1648" t="s">
        <v>16</v>
      </c>
      <c r="D1648" t="s">
        <v>10</v>
      </c>
      <c r="E1648">
        <v>45.86</v>
      </c>
      <c r="F1648">
        <v>170.4</v>
      </c>
      <c r="G1648">
        <v>4.33</v>
      </c>
      <c r="H1648" s="3">
        <f t="shared" si="100"/>
        <v>45839</v>
      </c>
      <c r="I1648">
        <f>MONTH(Table1[[#This Row],[Date]])</f>
        <v>7</v>
      </c>
      <c r="J1648" t="str">
        <f t="shared" si="101"/>
        <v>Q3</v>
      </c>
      <c r="K1648" t="str">
        <f t="shared" si="102"/>
        <v>Jul-2025</v>
      </c>
      <c r="L1648" t="str">
        <f t="shared" si="103"/>
        <v>High</v>
      </c>
    </row>
    <row r="1649" spans="1:12" x14ac:dyDescent="0.3">
      <c r="A1649">
        <v>2025</v>
      </c>
      <c r="B1649" s="2" t="s">
        <v>23</v>
      </c>
      <c r="C1649" t="s">
        <v>16</v>
      </c>
      <c r="D1649" t="s">
        <v>11</v>
      </c>
      <c r="E1649">
        <v>2.38</v>
      </c>
      <c r="F1649">
        <v>172.4</v>
      </c>
      <c r="G1649">
        <v>4.41</v>
      </c>
      <c r="H1649" s="3">
        <f t="shared" si="100"/>
        <v>45839</v>
      </c>
      <c r="I1649">
        <f>MONTH(Table1[[#This Row],[Date]])</f>
        <v>7</v>
      </c>
      <c r="J1649" t="str">
        <f t="shared" si="101"/>
        <v>Q3</v>
      </c>
      <c r="K1649" t="str">
        <f t="shared" si="102"/>
        <v>Jul-2025</v>
      </c>
      <c r="L1649" t="str">
        <f t="shared" si="103"/>
        <v>High</v>
      </c>
    </row>
    <row r="1650" spans="1:12" x14ac:dyDescent="0.3">
      <c r="A1650">
        <v>2025</v>
      </c>
      <c r="B1650" s="2" t="s">
        <v>23</v>
      </c>
      <c r="C1650" t="s">
        <v>16</v>
      </c>
      <c r="D1650" t="s">
        <v>12</v>
      </c>
      <c r="E1650">
        <v>6.53</v>
      </c>
      <c r="F1650">
        <v>174.4</v>
      </c>
      <c r="G1650">
        <v>4.49</v>
      </c>
      <c r="H1650" s="3">
        <f t="shared" si="100"/>
        <v>45839</v>
      </c>
      <c r="I1650">
        <f>MONTH(Table1[[#This Row],[Date]])</f>
        <v>7</v>
      </c>
      <c r="J1650" t="str">
        <f t="shared" si="101"/>
        <v>Q3</v>
      </c>
      <c r="K1650" t="str">
        <f t="shared" si="102"/>
        <v>Jul-2025</v>
      </c>
      <c r="L1650" t="str">
        <f t="shared" si="103"/>
        <v>High</v>
      </c>
    </row>
    <row r="1651" spans="1:12" x14ac:dyDescent="0.3">
      <c r="A1651">
        <v>2025</v>
      </c>
      <c r="B1651" s="2" t="s">
        <v>23</v>
      </c>
      <c r="C1651" t="s">
        <v>16</v>
      </c>
      <c r="D1651" t="s">
        <v>13</v>
      </c>
      <c r="E1651">
        <v>10.07</v>
      </c>
      <c r="F1651">
        <v>176.4</v>
      </c>
      <c r="G1651">
        <v>4.57</v>
      </c>
      <c r="H1651" s="3">
        <f t="shared" si="100"/>
        <v>45839</v>
      </c>
      <c r="I1651">
        <f>MONTH(Table1[[#This Row],[Date]])</f>
        <v>7</v>
      </c>
      <c r="J1651" t="str">
        <f t="shared" si="101"/>
        <v>Q3</v>
      </c>
      <c r="K1651" t="str">
        <f t="shared" si="102"/>
        <v>Jul-2025</v>
      </c>
      <c r="L1651" t="str">
        <f t="shared" si="103"/>
        <v>High</v>
      </c>
    </row>
    <row r="1652" spans="1:12" x14ac:dyDescent="0.3">
      <c r="A1652">
        <v>2025</v>
      </c>
      <c r="B1652" s="2" t="s">
        <v>23</v>
      </c>
      <c r="C1652" t="s">
        <v>16</v>
      </c>
      <c r="D1652" t="s">
        <v>14</v>
      </c>
      <c r="E1652">
        <v>6.84</v>
      </c>
      <c r="F1652">
        <v>178.4</v>
      </c>
      <c r="G1652">
        <v>4.6500000000000004</v>
      </c>
      <c r="H1652" s="3">
        <f t="shared" si="100"/>
        <v>45839</v>
      </c>
      <c r="I1652">
        <f>MONTH(Table1[[#This Row],[Date]])</f>
        <v>7</v>
      </c>
      <c r="J1652" t="str">
        <f t="shared" si="101"/>
        <v>Q3</v>
      </c>
      <c r="K1652" t="str">
        <f t="shared" si="102"/>
        <v>Jul-2025</v>
      </c>
      <c r="L1652" t="str">
        <f t="shared" si="103"/>
        <v>High</v>
      </c>
    </row>
    <row r="1653" spans="1:12" x14ac:dyDescent="0.3">
      <c r="A1653">
        <v>2025</v>
      </c>
      <c r="B1653" s="2" t="s">
        <v>23</v>
      </c>
      <c r="C1653" t="s">
        <v>16</v>
      </c>
      <c r="D1653" t="s">
        <v>15</v>
      </c>
      <c r="E1653">
        <v>28.32</v>
      </c>
      <c r="F1653">
        <v>180.4</v>
      </c>
      <c r="G1653">
        <v>4.7300000000000004</v>
      </c>
      <c r="H1653" s="3">
        <f t="shared" si="100"/>
        <v>45839</v>
      </c>
      <c r="I1653">
        <f>MONTH(Table1[[#This Row],[Date]])</f>
        <v>7</v>
      </c>
      <c r="J1653" t="str">
        <f t="shared" si="101"/>
        <v>Q3</v>
      </c>
      <c r="K1653" t="str">
        <f t="shared" si="102"/>
        <v>Jul-2025</v>
      </c>
      <c r="L1653" t="str">
        <f t="shared" si="103"/>
        <v>High</v>
      </c>
    </row>
    <row r="1654" spans="1:12" x14ac:dyDescent="0.3">
      <c r="A1654">
        <v>2025</v>
      </c>
      <c r="B1654" s="2" t="s">
        <v>23</v>
      </c>
      <c r="C1654" t="s">
        <v>17</v>
      </c>
      <c r="D1654" t="s">
        <v>9</v>
      </c>
      <c r="E1654">
        <v>100</v>
      </c>
      <c r="F1654">
        <v>169</v>
      </c>
      <c r="G1654">
        <v>4.25</v>
      </c>
      <c r="H1654" s="3">
        <f t="shared" si="100"/>
        <v>45839</v>
      </c>
      <c r="I1654">
        <f>MONTH(Table1[[#This Row],[Date]])</f>
        <v>7</v>
      </c>
      <c r="J1654" t="str">
        <f t="shared" si="101"/>
        <v>Q3</v>
      </c>
      <c r="K1654" t="str">
        <f t="shared" si="102"/>
        <v>Jul-2025</v>
      </c>
      <c r="L1654" t="str">
        <f t="shared" si="103"/>
        <v>High</v>
      </c>
    </row>
    <row r="1655" spans="1:12" x14ac:dyDescent="0.3">
      <c r="A1655">
        <v>2025</v>
      </c>
      <c r="B1655" s="2" t="s">
        <v>23</v>
      </c>
      <c r="C1655" t="s">
        <v>17</v>
      </c>
      <c r="D1655" t="s">
        <v>10</v>
      </c>
      <c r="E1655">
        <v>45.86</v>
      </c>
      <c r="F1655">
        <v>171</v>
      </c>
      <c r="G1655">
        <v>4.33</v>
      </c>
      <c r="H1655" s="3">
        <f t="shared" si="100"/>
        <v>45839</v>
      </c>
      <c r="I1655">
        <f>MONTH(Table1[[#This Row],[Date]])</f>
        <v>7</v>
      </c>
      <c r="J1655" t="str">
        <f t="shared" si="101"/>
        <v>Q3</v>
      </c>
      <c r="K1655" t="str">
        <f t="shared" si="102"/>
        <v>Jul-2025</v>
      </c>
      <c r="L1655" t="str">
        <f t="shared" si="103"/>
        <v>High</v>
      </c>
    </row>
    <row r="1656" spans="1:12" x14ac:dyDescent="0.3">
      <c r="A1656">
        <v>2025</v>
      </c>
      <c r="B1656" s="2" t="s">
        <v>23</v>
      </c>
      <c r="C1656" t="s">
        <v>17</v>
      </c>
      <c r="D1656" t="s">
        <v>11</v>
      </c>
      <c r="E1656">
        <v>2.38</v>
      </c>
      <c r="F1656">
        <v>173</v>
      </c>
      <c r="G1656">
        <v>4.41</v>
      </c>
      <c r="H1656" s="3">
        <f t="shared" si="100"/>
        <v>45839</v>
      </c>
      <c r="I1656">
        <f>MONTH(Table1[[#This Row],[Date]])</f>
        <v>7</v>
      </c>
      <c r="J1656" t="str">
        <f t="shared" si="101"/>
        <v>Q3</v>
      </c>
      <c r="K1656" t="str">
        <f t="shared" si="102"/>
        <v>Jul-2025</v>
      </c>
      <c r="L1656" t="str">
        <f t="shared" si="103"/>
        <v>High</v>
      </c>
    </row>
    <row r="1657" spans="1:12" x14ac:dyDescent="0.3">
      <c r="A1657">
        <v>2025</v>
      </c>
      <c r="B1657" s="2" t="s">
        <v>23</v>
      </c>
      <c r="C1657" t="s">
        <v>17</v>
      </c>
      <c r="D1657" t="s">
        <v>12</v>
      </c>
      <c r="E1657">
        <v>6.53</v>
      </c>
      <c r="F1657">
        <v>175</v>
      </c>
      <c r="G1657">
        <v>4.49</v>
      </c>
      <c r="H1657" s="3">
        <f t="shared" si="100"/>
        <v>45839</v>
      </c>
      <c r="I1657">
        <f>MONTH(Table1[[#This Row],[Date]])</f>
        <v>7</v>
      </c>
      <c r="J1657" t="str">
        <f t="shared" si="101"/>
        <v>Q3</v>
      </c>
      <c r="K1657" t="str">
        <f t="shared" si="102"/>
        <v>Jul-2025</v>
      </c>
      <c r="L1657" t="str">
        <f t="shared" si="103"/>
        <v>High</v>
      </c>
    </row>
    <row r="1658" spans="1:12" x14ac:dyDescent="0.3">
      <c r="A1658">
        <v>2025</v>
      </c>
      <c r="B1658" s="2" t="s">
        <v>23</v>
      </c>
      <c r="C1658" t="s">
        <v>17</v>
      </c>
      <c r="D1658" t="s">
        <v>13</v>
      </c>
      <c r="E1658">
        <v>10.07</v>
      </c>
      <c r="F1658">
        <v>177</v>
      </c>
      <c r="G1658">
        <v>4.57</v>
      </c>
      <c r="H1658" s="3">
        <f t="shared" si="100"/>
        <v>45839</v>
      </c>
      <c r="I1658">
        <f>MONTH(Table1[[#This Row],[Date]])</f>
        <v>7</v>
      </c>
      <c r="J1658" t="str">
        <f t="shared" si="101"/>
        <v>Q3</v>
      </c>
      <c r="K1658" t="str">
        <f t="shared" si="102"/>
        <v>Jul-2025</v>
      </c>
      <c r="L1658" t="str">
        <f t="shared" si="103"/>
        <v>High</v>
      </c>
    </row>
    <row r="1659" spans="1:12" x14ac:dyDescent="0.3">
      <c r="A1659">
        <v>2025</v>
      </c>
      <c r="B1659" s="2" t="s">
        <v>23</v>
      </c>
      <c r="C1659" t="s">
        <v>17</v>
      </c>
      <c r="D1659" t="s">
        <v>14</v>
      </c>
      <c r="E1659">
        <v>6.84</v>
      </c>
      <c r="F1659">
        <v>179</v>
      </c>
      <c r="G1659">
        <v>4.6500000000000004</v>
      </c>
      <c r="H1659" s="3">
        <f t="shared" si="100"/>
        <v>45839</v>
      </c>
      <c r="I1659">
        <f>MONTH(Table1[[#This Row],[Date]])</f>
        <v>7</v>
      </c>
      <c r="J1659" t="str">
        <f t="shared" si="101"/>
        <v>Q3</v>
      </c>
      <c r="K1659" t="str">
        <f t="shared" si="102"/>
        <v>Jul-2025</v>
      </c>
      <c r="L1659" t="str">
        <f t="shared" si="103"/>
        <v>High</v>
      </c>
    </row>
    <row r="1660" spans="1:12" x14ac:dyDescent="0.3">
      <c r="A1660">
        <v>2025</v>
      </c>
      <c r="B1660" s="2" t="s">
        <v>23</v>
      </c>
      <c r="C1660" t="s">
        <v>17</v>
      </c>
      <c r="D1660" t="s">
        <v>15</v>
      </c>
      <c r="E1660">
        <v>28.32</v>
      </c>
      <c r="F1660">
        <v>181</v>
      </c>
      <c r="G1660">
        <v>4.7300000000000004</v>
      </c>
      <c r="H1660" s="3">
        <f t="shared" si="100"/>
        <v>45839</v>
      </c>
      <c r="I1660">
        <f>MONTH(Table1[[#This Row],[Date]])</f>
        <v>7</v>
      </c>
      <c r="J1660" t="str">
        <f t="shared" si="101"/>
        <v>Q3</v>
      </c>
      <c r="K1660" t="str">
        <f t="shared" si="102"/>
        <v>Jul-2025</v>
      </c>
      <c r="L1660" t="str">
        <f t="shared" si="103"/>
        <v>High</v>
      </c>
    </row>
    <row r="1661" spans="1:12" x14ac:dyDescent="0.3">
      <c r="A1661">
        <v>2025</v>
      </c>
      <c r="B1661" s="2" t="s">
        <v>24</v>
      </c>
      <c r="C1661" t="s">
        <v>8</v>
      </c>
      <c r="D1661" t="s">
        <v>9</v>
      </c>
      <c r="E1661">
        <v>100</v>
      </c>
      <c r="F1661">
        <v>168.2</v>
      </c>
      <c r="G1661">
        <v>4.4000000000000004</v>
      </c>
      <c r="H1661" s="3">
        <f t="shared" si="100"/>
        <v>45870</v>
      </c>
      <c r="I1661">
        <f>MONTH(Table1[[#This Row],[Date]])</f>
        <v>8</v>
      </c>
      <c r="J1661" t="str">
        <f t="shared" si="101"/>
        <v>Q3</v>
      </c>
      <c r="K1661" t="str">
        <f t="shared" si="102"/>
        <v>Aug-2025</v>
      </c>
      <c r="L1661" t="str">
        <f t="shared" si="103"/>
        <v>High</v>
      </c>
    </row>
    <row r="1662" spans="1:12" x14ac:dyDescent="0.3">
      <c r="A1662">
        <v>2025</v>
      </c>
      <c r="B1662" s="2" t="s">
        <v>24</v>
      </c>
      <c r="C1662" t="s">
        <v>8</v>
      </c>
      <c r="D1662" t="s">
        <v>10</v>
      </c>
      <c r="E1662">
        <v>45.86</v>
      </c>
      <c r="F1662">
        <v>170.2</v>
      </c>
      <c r="G1662">
        <v>4.4800000000000004</v>
      </c>
      <c r="H1662" s="3">
        <f t="shared" si="100"/>
        <v>45870</v>
      </c>
      <c r="I1662">
        <f>MONTH(Table1[[#This Row],[Date]])</f>
        <v>8</v>
      </c>
      <c r="J1662" t="str">
        <f t="shared" si="101"/>
        <v>Q3</v>
      </c>
      <c r="K1662" t="str">
        <f t="shared" si="102"/>
        <v>Aug-2025</v>
      </c>
      <c r="L1662" t="str">
        <f t="shared" si="103"/>
        <v>High</v>
      </c>
    </row>
    <row r="1663" spans="1:12" x14ac:dyDescent="0.3">
      <c r="A1663">
        <v>2025</v>
      </c>
      <c r="B1663" s="2" t="s">
        <v>24</v>
      </c>
      <c r="C1663" t="s">
        <v>8</v>
      </c>
      <c r="D1663" t="s">
        <v>11</v>
      </c>
      <c r="E1663">
        <v>2.38</v>
      </c>
      <c r="F1663">
        <v>172.2</v>
      </c>
      <c r="G1663">
        <v>4.5599999999999996</v>
      </c>
      <c r="H1663" s="3">
        <f t="shared" si="100"/>
        <v>45870</v>
      </c>
      <c r="I1663">
        <f>MONTH(Table1[[#This Row],[Date]])</f>
        <v>8</v>
      </c>
      <c r="J1663" t="str">
        <f t="shared" si="101"/>
        <v>Q3</v>
      </c>
      <c r="K1663" t="str">
        <f t="shared" si="102"/>
        <v>Aug-2025</v>
      </c>
      <c r="L1663" t="str">
        <f t="shared" si="103"/>
        <v>High</v>
      </c>
    </row>
    <row r="1664" spans="1:12" x14ac:dyDescent="0.3">
      <c r="A1664">
        <v>2025</v>
      </c>
      <c r="B1664" s="2" t="s">
        <v>24</v>
      </c>
      <c r="C1664" t="s">
        <v>8</v>
      </c>
      <c r="D1664" t="s">
        <v>12</v>
      </c>
      <c r="E1664">
        <v>6.53</v>
      </c>
      <c r="F1664">
        <v>174.2</v>
      </c>
      <c r="G1664">
        <v>4.6399999999999997</v>
      </c>
      <c r="H1664" s="3">
        <f t="shared" si="100"/>
        <v>45870</v>
      </c>
      <c r="I1664">
        <f>MONTH(Table1[[#This Row],[Date]])</f>
        <v>8</v>
      </c>
      <c r="J1664" t="str">
        <f t="shared" si="101"/>
        <v>Q3</v>
      </c>
      <c r="K1664" t="str">
        <f t="shared" si="102"/>
        <v>Aug-2025</v>
      </c>
      <c r="L1664" t="str">
        <f t="shared" si="103"/>
        <v>High</v>
      </c>
    </row>
    <row r="1665" spans="1:12" x14ac:dyDescent="0.3">
      <c r="A1665">
        <v>2025</v>
      </c>
      <c r="B1665" s="2" t="s">
        <v>24</v>
      </c>
      <c r="C1665" t="s">
        <v>8</v>
      </c>
      <c r="D1665" t="s">
        <v>13</v>
      </c>
      <c r="E1665">
        <v>10.07</v>
      </c>
      <c r="F1665">
        <v>176.2</v>
      </c>
      <c r="G1665">
        <v>4.72</v>
      </c>
      <c r="H1665" s="3">
        <f t="shared" si="100"/>
        <v>45870</v>
      </c>
      <c r="I1665">
        <f>MONTH(Table1[[#This Row],[Date]])</f>
        <v>8</v>
      </c>
      <c r="J1665" t="str">
        <f t="shared" si="101"/>
        <v>Q3</v>
      </c>
      <c r="K1665" t="str">
        <f t="shared" si="102"/>
        <v>Aug-2025</v>
      </c>
      <c r="L1665" t="str">
        <f t="shared" si="103"/>
        <v>High</v>
      </c>
    </row>
    <row r="1666" spans="1:12" x14ac:dyDescent="0.3">
      <c r="A1666">
        <v>2025</v>
      </c>
      <c r="B1666" s="2" t="s">
        <v>24</v>
      </c>
      <c r="C1666" t="s">
        <v>8</v>
      </c>
      <c r="D1666" t="s">
        <v>14</v>
      </c>
      <c r="E1666">
        <v>6.84</v>
      </c>
      <c r="F1666">
        <v>178.2</v>
      </c>
      <c r="G1666">
        <v>4.8</v>
      </c>
      <c r="H1666" s="3">
        <f t="shared" ref="H1666:H1729" si="104">DATE(A1666,MONTH(DATEVALUE(B1666&amp;" 1")),1)</f>
        <v>45870</v>
      </c>
      <c r="I1666">
        <f>MONTH(Table1[[#This Row],[Date]])</f>
        <v>8</v>
      </c>
      <c r="J1666" t="str">
        <f t="shared" ref="J1666:J1729" si="105">"Q"&amp;ROUNDUP(MONTH(H1666)/3,0)</f>
        <v>Q3</v>
      </c>
      <c r="K1666" t="str">
        <f t="shared" ref="K1666:K1729" si="106">TEXT(H1666,"mmm-yyyy")</f>
        <v>Aug-2025</v>
      </c>
      <c r="L1666" t="str">
        <f t="shared" ref="L1666:L1729" si="107">IF(G1666&lt;3,"Low",IF(G1666&lt;4,"Medium","High"))</f>
        <v>High</v>
      </c>
    </row>
    <row r="1667" spans="1:12" x14ac:dyDescent="0.3">
      <c r="A1667">
        <v>2025</v>
      </c>
      <c r="B1667" s="2" t="s">
        <v>24</v>
      </c>
      <c r="C1667" t="s">
        <v>8</v>
      </c>
      <c r="D1667" t="s">
        <v>15</v>
      </c>
      <c r="E1667">
        <v>28.32</v>
      </c>
      <c r="F1667">
        <v>180.2</v>
      </c>
      <c r="G1667">
        <v>4.88</v>
      </c>
      <c r="H1667" s="3">
        <f t="shared" si="104"/>
        <v>45870</v>
      </c>
      <c r="I1667">
        <f>MONTH(Table1[[#This Row],[Date]])</f>
        <v>8</v>
      </c>
      <c r="J1667" t="str">
        <f t="shared" si="105"/>
        <v>Q3</v>
      </c>
      <c r="K1667" t="str">
        <f t="shared" si="106"/>
        <v>Aug-2025</v>
      </c>
      <c r="L1667" t="str">
        <f t="shared" si="107"/>
        <v>High</v>
      </c>
    </row>
    <row r="1668" spans="1:12" x14ac:dyDescent="0.3">
      <c r="A1668">
        <v>2025</v>
      </c>
      <c r="B1668" s="2" t="s">
        <v>24</v>
      </c>
      <c r="C1668" t="s">
        <v>16</v>
      </c>
      <c r="D1668" t="s">
        <v>9</v>
      </c>
      <c r="E1668">
        <v>100</v>
      </c>
      <c r="F1668">
        <v>168.8</v>
      </c>
      <c r="G1668">
        <v>4.4000000000000004</v>
      </c>
      <c r="H1668" s="3">
        <f t="shared" si="104"/>
        <v>45870</v>
      </c>
      <c r="I1668">
        <f>MONTH(Table1[[#This Row],[Date]])</f>
        <v>8</v>
      </c>
      <c r="J1668" t="str">
        <f t="shared" si="105"/>
        <v>Q3</v>
      </c>
      <c r="K1668" t="str">
        <f t="shared" si="106"/>
        <v>Aug-2025</v>
      </c>
      <c r="L1668" t="str">
        <f t="shared" si="107"/>
        <v>High</v>
      </c>
    </row>
    <row r="1669" spans="1:12" x14ac:dyDescent="0.3">
      <c r="A1669">
        <v>2025</v>
      </c>
      <c r="B1669" s="2" t="s">
        <v>24</v>
      </c>
      <c r="C1669" t="s">
        <v>16</v>
      </c>
      <c r="D1669" t="s">
        <v>10</v>
      </c>
      <c r="E1669">
        <v>45.86</v>
      </c>
      <c r="F1669">
        <v>170.8</v>
      </c>
      <c r="G1669">
        <v>4.4800000000000004</v>
      </c>
      <c r="H1669" s="3">
        <f t="shared" si="104"/>
        <v>45870</v>
      </c>
      <c r="I1669">
        <f>MONTH(Table1[[#This Row],[Date]])</f>
        <v>8</v>
      </c>
      <c r="J1669" t="str">
        <f t="shared" si="105"/>
        <v>Q3</v>
      </c>
      <c r="K1669" t="str">
        <f t="shared" si="106"/>
        <v>Aug-2025</v>
      </c>
      <c r="L1669" t="str">
        <f t="shared" si="107"/>
        <v>High</v>
      </c>
    </row>
    <row r="1670" spans="1:12" x14ac:dyDescent="0.3">
      <c r="A1670">
        <v>2025</v>
      </c>
      <c r="B1670" s="2" t="s">
        <v>24</v>
      </c>
      <c r="C1670" t="s">
        <v>16</v>
      </c>
      <c r="D1670" t="s">
        <v>11</v>
      </c>
      <c r="E1670">
        <v>2.38</v>
      </c>
      <c r="F1670">
        <v>172.8</v>
      </c>
      <c r="G1670">
        <v>4.5599999999999996</v>
      </c>
      <c r="H1670" s="3">
        <f t="shared" si="104"/>
        <v>45870</v>
      </c>
      <c r="I1670">
        <f>MONTH(Table1[[#This Row],[Date]])</f>
        <v>8</v>
      </c>
      <c r="J1670" t="str">
        <f t="shared" si="105"/>
        <v>Q3</v>
      </c>
      <c r="K1670" t="str">
        <f t="shared" si="106"/>
        <v>Aug-2025</v>
      </c>
      <c r="L1670" t="str">
        <f t="shared" si="107"/>
        <v>High</v>
      </c>
    </row>
    <row r="1671" spans="1:12" x14ac:dyDescent="0.3">
      <c r="A1671">
        <v>2025</v>
      </c>
      <c r="B1671" s="2" t="s">
        <v>24</v>
      </c>
      <c r="C1671" t="s">
        <v>16</v>
      </c>
      <c r="D1671" t="s">
        <v>12</v>
      </c>
      <c r="E1671">
        <v>6.53</v>
      </c>
      <c r="F1671">
        <v>174.8</v>
      </c>
      <c r="G1671">
        <v>4.6399999999999997</v>
      </c>
      <c r="H1671" s="3">
        <f t="shared" si="104"/>
        <v>45870</v>
      </c>
      <c r="I1671">
        <f>MONTH(Table1[[#This Row],[Date]])</f>
        <v>8</v>
      </c>
      <c r="J1671" t="str">
        <f t="shared" si="105"/>
        <v>Q3</v>
      </c>
      <c r="K1671" t="str">
        <f t="shared" si="106"/>
        <v>Aug-2025</v>
      </c>
      <c r="L1671" t="str">
        <f t="shared" si="107"/>
        <v>High</v>
      </c>
    </row>
    <row r="1672" spans="1:12" x14ac:dyDescent="0.3">
      <c r="A1672">
        <v>2025</v>
      </c>
      <c r="B1672" s="2" t="s">
        <v>24</v>
      </c>
      <c r="C1672" t="s">
        <v>16</v>
      </c>
      <c r="D1672" t="s">
        <v>13</v>
      </c>
      <c r="E1672">
        <v>10.07</v>
      </c>
      <c r="F1672">
        <v>176.8</v>
      </c>
      <c r="G1672">
        <v>4.72</v>
      </c>
      <c r="H1672" s="3">
        <f t="shared" si="104"/>
        <v>45870</v>
      </c>
      <c r="I1672">
        <f>MONTH(Table1[[#This Row],[Date]])</f>
        <v>8</v>
      </c>
      <c r="J1672" t="str">
        <f t="shared" si="105"/>
        <v>Q3</v>
      </c>
      <c r="K1672" t="str">
        <f t="shared" si="106"/>
        <v>Aug-2025</v>
      </c>
      <c r="L1672" t="str">
        <f t="shared" si="107"/>
        <v>High</v>
      </c>
    </row>
    <row r="1673" spans="1:12" x14ac:dyDescent="0.3">
      <c r="A1673">
        <v>2025</v>
      </c>
      <c r="B1673" s="2" t="s">
        <v>24</v>
      </c>
      <c r="C1673" t="s">
        <v>16</v>
      </c>
      <c r="D1673" t="s">
        <v>14</v>
      </c>
      <c r="E1673">
        <v>6.84</v>
      </c>
      <c r="F1673">
        <v>178.8</v>
      </c>
      <c r="G1673">
        <v>4.8</v>
      </c>
      <c r="H1673" s="3">
        <f t="shared" si="104"/>
        <v>45870</v>
      </c>
      <c r="I1673">
        <f>MONTH(Table1[[#This Row],[Date]])</f>
        <v>8</v>
      </c>
      <c r="J1673" t="str">
        <f t="shared" si="105"/>
        <v>Q3</v>
      </c>
      <c r="K1673" t="str">
        <f t="shared" si="106"/>
        <v>Aug-2025</v>
      </c>
      <c r="L1673" t="str">
        <f t="shared" si="107"/>
        <v>High</v>
      </c>
    </row>
    <row r="1674" spans="1:12" x14ac:dyDescent="0.3">
      <c r="A1674">
        <v>2025</v>
      </c>
      <c r="B1674" s="2" t="s">
        <v>24</v>
      </c>
      <c r="C1674" t="s">
        <v>16</v>
      </c>
      <c r="D1674" t="s">
        <v>15</v>
      </c>
      <c r="E1674">
        <v>28.32</v>
      </c>
      <c r="F1674">
        <v>180.8</v>
      </c>
      <c r="G1674">
        <v>4.88</v>
      </c>
      <c r="H1674" s="3">
        <f t="shared" si="104"/>
        <v>45870</v>
      </c>
      <c r="I1674">
        <f>MONTH(Table1[[#This Row],[Date]])</f>
        <v>8</v>
      </c>
      <c r="J1674" t="str">
        <f t="shared" si="105"/>
        <v>Q3</v>
      </c>
      <c r="K1674" t="str">
        <f t="shared" si="106"/>
        <v>Aug-2025</v>
      </c>
      <c r="L1674" t="str">
        <f t="shared" si="107"/>
        <v>High</v>
      </c>
    </row>
    <row r="1675" spans="1:12" x14ac:dyDescent="0.3">
      <c r="A1675">
        <v>2025</v>
      </c>
      <c r="B1675" s="2" t="s">
        <v>24</v>
      </c>
      <c r="C1675" t="s">
        <v>17</v>
      </c>
      <c r="D1675" t="s">
        <v>9</v>
      </c>
      <c r="E1675">
        <v>100</v>
      </c>
      <c r="F1675">
        <v>169.4</v>
      </c>
      <c r="G1675">
        <v>4.4000000000000004</v>
      </c>
      <c r="H1675" s="3">
        <f t="shared" si="104"/>
        <v>45870</v>
      </c>
      <c r="I1675">
        <f>MONTH(Table1[[#This Row],[Date]])</f>
        <v>8</v>
      </c>
      <c r="J1675" t="str">
        <f t="shared" si="105"/>
        <v>Q3</v>
      </c>
      <c r="K1675" t="str">
        <f t="shared" si="106"/>
        <v>Aug-2025</v>
      </c>
      <c r="L1675" t="str">
        <f t="shared" si="107"/>
        <v>High</v>
      </c>
    </row>
    <row r="1676" spans="1:12" x14ac:dyDescent="0.3">
      <c r="A1676">
        <v>2025</v>
      </c>
      <c r="B1676" s="2" t="s">
        <v>24</v>
      </c>
      <c r="C1676" t="s">
        <v>17</v>
      </c>
      <c r="D1676" t="s">
        <v>10</v>
      </c>
      <c r="E1676">
        <v>45.86</v>
      </c>
      <c r="F1676">
        <v>171.4</v>
      </c>
      <c r="G1676">
        <v>4.4800000000000004</v>
      </c>
      <c r="H1676" s="3">
        <f t="shared" si="104"/>
        <v>45870</v>
      </c>
      <c r="I1676">
        <f>MONTH(Table1[[#This Row],[Date]])</f>
        <v>8</v>
      </c>
      <c r="J1676" t="str">
        <f t="shared" si="105"/>
        <v>Q3</v>
      </c>
      <c r="K1676" t="str">
        <f t="shared" si="106"/>
        <v>Aug-2025</v>
      </c>
      <c r="L1676" t="str">
        <f t="shared" si="107"/>
        <v>High</v>
      </c>
    </row>
    <row r="1677" spans="1:12" x14ac:dyDescent="0.3">
      <c r="A1677">
        <v>2025</v>
      </c>
      <c r="B1677" s="2" t="s">
        <v>24</v>
      </c>
      <c r="C1677" t="s">
        <v>17</v>
      </c>
      <c r="D1677" t="s">
        <v>11</v>
      </c>
      <c r="E1677">
        <v>2.38</v>
      </c>
      <c r="F1677">
        <v>173.4</v>
      </c>
      <c r="G1677">
        <v>4.5599999999999996</v>
      </c>
      <c r="H1677" s="3">
        <f t="shared" si="104"/>
        <v>45870</v>
      </c>
      <c r="I1677">
        <f>MONTH(Table1[[#This Row],[Date]])</f>
        <v>8</v>
      </c>
      <c r="J1677" t="str">
        <f t="shared" si="105"/>
        <v>Q3</v>
      </c>
      <c r="K1677" t="str">
        <f t="shared" si="106"/>
        <v>Aug-2025</v>
      </c>
      <c r="L1677" t="str">
        <f t="shared" si="107"/>
        <v>High</v>
      </c>
    </row>
    <row r="1678" spans="1:12" x14ac:dyDescent="0.3">
      <c r="A1678">
        <v>2025</v>
      </c>
      <c r="B1678" s="2" t="s">
        <v>24</v>
      </c>
      <c r="C1678" t="s">
        <v>17</v>
      </c>
      <c r="D1678" t="s">
        <v>12</v>
      </c>
      <c r="E1678">
        <v>6.53</v>
      </c>
      <c r="F1678">
        <v>175.4</v>
      </c>
      <c r="G1678">
        <v>4.6399999999999997</v>
      </c>
      <c r="H1678" s="3">
        <f t="shared" si="104"/>
        <v>45870</v>
      </c>
      <c r="I1678">
        <f>MONTH(Table1[[#This Row],[Date]])</f>
        <v>8</v>
      </c>
      <c r="J1678" t="str">
        <f t="shared" si="105"/>
        <v>Q3</v>
      </c>
      <c r="K1678" t="str">
        <f t="shared" si="106"/>
        <v>Aug-2025</v>
      </c>
      <c r="L1678" t="str">
        <f t="shared" si="107"/>
        <v>High</v>
      </c>
    </row>
    <row r="1679" spans="1:12" x14ac:dyDescent="0.3">
      <c r="A1679">
        <v>2025</v>
      </c>
      <c r="B1679" s="2" t="s">
        <v>24</v>
      </c>
      <c r="C1679" t="s">
        <v>17</v>
      </c>
      <c r="D1679" t="s">
        <v>13</v>
      </c>
      <c r="E1679">
        <v>10.07</v>
      </c>
      <c r="F1679">
        <v>177.4</v>
      </c>
      <c r="G1679">
        <v>4.72</v>
      </c>
      <c r="H1679" s="3">
        <f t="shared" si="104"/>
        <v>45870</v>
      </c>
      <c r="I1679">
        <f>MONTH(Table1[[#This Row],[Date]])</f>
        <v>8</v>
      </c>
      <c r="J1679" t="str">
        <f t="shared" si="105"/>
        <v>Q3</v>
      </c>
      <c r="K1679" t="str">
        <f t="shared" si="106"/>
        <v>Aug-2025</v>
      </c>
      <c r="L1679" t="str">
        <f t="shared" si="107"/>
        <v>High</v>
      </c>
    </row>
    <row r="1680" spans="1:12" x14ac:dyDescent="0.3">
      <c r="A1680">
        <v>2025</v>
      </c>
      <c r="B1680" s="2" t="s">
        <v>24</v>
      </c>
      <c r="C1680" t="s">
        <v>17</v>
      </c>
      <c r="D1680" t="s">
        <v>14</v>
      </c>
      <c r="E1680">
        <v>6.84</v>
      </c>
      <c r="F1680">
        <v>179.4</v>
      </c>
      <c r="G1680">
        <v>4.8</v>
      </c>
      <c r="H1680" s="3">
        <f t="shared" si="104"/>
        <v>45870</v>
      </c>
      <c r="I1680">
        <f>MONTH(Table1[[#This Row],[Date]])</f>
        <v>8</v>
      </c>
      <c r="J1680" t="str">
        <f t="shared" si="105"/>
        <v>Q3</v>
      </c>
      <c r="K1680" t="str">
        <f t="shared" si="106"/>
        <v>Aug-2025</v>
      </c>
      <c r="L1680" t="str">
        <f t="shared" si="107"/>
        <v>High</v>
      </c>
    </row>
    <row r="1681" spans="1:12" x14ac:dyDescent="0.3">
      <c r="A1681">
        <v>2025</v>
      </c>
      <c r="B1681" s="2" t="s">
        <v>24</v>
      </c>
      <c r="C1681" t="s">
        <v>17</v>
      </c>
      <c r="D1681" t="s">
        <v>15</v>
      </c>
      <c r="E1681">
        <v>28.32</v>
      </c>
      <c r="F1681">
        <v>181.4</v>
      </c>
      <c r="G1681">
        <v>4.88</v>
      </c>
      <c r="H1681" s="3">
        <f t="shared" si="104"/>
        <v>45870</v>
      </c>
      <c r="I1681">
        <f>MONTH(Table1[[#This Row],[Date]])</f>
        <v>8</v>
      </c>
      <c r="J1681" t="str">
        <f t="shared" si="105"/>
        <v>Q3</v>
      </c>
      <c r="K1681" t="str">
        <f t="shared" si="106"/>
        <v>Aug-2025</v>
      </c>
      <c r="L1681" t="str">
        <f t="shared" si="107"/>
        <v>High</v>
      </c>
    </row>
    <row r="1682" spans="1:12" x14ac:dyDescent="0.3">
      <c r="A1682">
        <v>2025</v>
      </c>
      <c r="B1682" s="2" t="s">
        <v>25</v>
      </c>
      <c r="C1682" t="s">
        <v>8</v>
      </c>
      <c r="D1682" t="s">
        <v>9</v>
      </c>
      <c r="E1682">
        <v>100</v>
      </c>
      <c r="F1682">
        <v>168.6</v>
      </c>
      <c r="G1682">
        <v>4.55</v>
      </c>
      <c r="H1682" s="3">
        <f t="shared" si="104"/>
        <v>45901</v>
      </c>
      <c r="I1682">
        <f>MONTH(Table1[[#This Row],[Date]])</f>
        <v>9</v>
      </c>
      <c r="J1682" t="str">
        <f t="shared" si="105"/>
        <v>Q3</v>
      </c>
      <c r="K1682" t="str">
        <f t="shared" si="106"/>
        <v>Sept-2025</v>
      </c>
      <c r="L1682" t="str">
        <f t="shared" si="107"/>
        <v>High</v>
      </c>
    </row>
    <row r="1683" spans="1:12" x14ac:dyDescent="0.3">
      <c r="A1683">
        <v>2025</v>
      </c>
      <c r="B1683" s="2" t="s">
        <v>25</v>
      </c>
      <c r="C1683" t="s">
        <v>8</v>
      </c>
      <c r="D1683" t="s">
        <v>10</v>
      </c>
      <c r="E1683">
        <v>45.86</v>
      </c>
      <c r="F1683">
        <v>170.6</v>
      </c>
      <c r="G1683">
        <v>4.63</v>
      </c>
      <c r="H1683" s="3">
        <f t="shared" si="104"/>
        <v>45901</v>
      </c>
      <c r="I1683">
        <f>MONTH(Table1[[#This Row],[Date]])</f>
        <v>9</v>
      </c>
      <c r="J1683" t="str">
        <f t="shared" si="105"/>
        <v>Q3</v>
      </c>
      <c r="K1683" t="str">
        <f t="shared" si="106"/>
        <v>Sept-2025</v>
      </c>
      <c r="L1683" t="str">
        <f t="shared" si="107"/>
        <v>High</v>
      </c>
    </row>
    <row r="1684" spans="1:12" x14ac:dyDescent="0.3">
      <c r="A1684">
        <v>2025</v>
      </c>
      <c r="B1684" s="2" t="s">
        <v>25</v>
      </c>
      <c r="C1684" t="s">
        <v>8</v>
      </c>
      <c r="D1684" t="s">
        <v>11</v>
      </c>
      <c r="E1684">
        <v>2.38</v>
      </c>
      <c r="F1684">
        <v>172.6</v>
      </c>
      <c r="G1684">
        <v>4.71</v>
      </c>
      <c r="H1684" s="3">
        <f t="shared" si="104"/>
        <v>45901</v>
      </c>
      <c r="I1684">
        <f>MONTH(Table1[[#This Row],[Date]])</f>
        <v>9</v>
      </c>
      <c r="J1684" t="str">
        <f t="shared" si="105"/>
        <v>Q3</v>
      </c>
      <c r="K1684" t="str">
        <f t="shared" si="106"/>
        <v>Sept-2025</v>
      </c>
      <c r="L1684" t="str">
        <f t="shared" si="107"/>
        <v>High</v>
      </c>
    </row>
    <row r="1685" spans="1:12" x14ac:dyDescent="0.3">
      <c r="A1685">
        <v>2025</v>
      </c>
      <c r="B1685" s="2" t="s">
        <v>25</v>
      </c>
      <c r="C1685" t="s">
        <v>8</v>
      </c>
      <c r="D1685" t="s">
        <v>12</v>
      </c>
      <c r="E1685">
        <v>6.53</v>
      </c>
      <c r="F1685">
        <v>174.6</v>
      </c>
      <c r="G1685">
        <v>4.79</v>
      </c>
      <c r="H1685" s="3">
        <f t="shared" si="104"/>
        <v>45901</v>
      </c>
      <c r="I1685">
        <f>MONTH(Table1[[#This Row],[Date]])</f>
        <v>9</v>
      </c>
      <c r="J1685" t="str">
        <f t="shared" si="105"/>
        <v>Q3</v>
      </c>
      <c r="K1685" t="str">
        <f t="shared" si="106"/>
        <v>Sept-2025</v>
      </c>
      <c r="L1685" t="str">
        <f t="shared" si="107"/>
        <v>High</v>
      </c>
    </row>
    <row r="1686" spans="1:12" x14ac:dyDescent="0.3">
      <c r="A1686">
        <v>2025</v>
      </c>
      <c r="B1686" s="2" t="s">
        <v>25</v>
      </c>
      <c r="C1686" t="s">
        <v>8</v>
      </c>
      <c r="D1686" t="s">
        <v>13</v>
      </c>
      <c r="E1686">
        <v>10.07</v>
      </c>
      <c r="F1686">
        <v>176.6</v>
      </c>
      <c r="G1686">
        <v>4.87</v>
      </c>
      <c r="H1686" s="3">
        <f t="shared" si="104"/>
        <v>45901</v>
      </c>
      <c r="I1686">
        <f>MONTH(Table1[[#This Row],[Date]])</f>
        <v>9</v>
      </c>
      <c r="J1686" t="str">
        <f t="shared" si="105"/>
        <v>Q3</v>
      </c>
      <c r="K1686" t="str">
        <f t="shared" si="106"/>
        <v>Sept-2025</v>
      </c>
      <c r="L1686" t="str">
        <f t="shared" si="107"/>
        <v>High</v>
      </c>
    </row>
    <row r="1687" spans="1:12" x14ac:dyDescent="0.3">
      <c r="A1687">
        <v>2025</v>
      </c>
      <c r="B1687" s="2" t="s">
        <v>25</v>
      </c>
      <c r="C1687" t="s">
        <v>8</v>
      </c>
      <c r="D1687" t="s">
        <v>14</v>
      </c>
      <c r="E1687">
        <v>6.84</v>
      </c>
      <c r="F1687">
        <v>178.6</v>
      </c>
      <c r="G1687">
        <v>4.95</v>
      </c>
      <c r="H1687" s="3">
        <f t="shared" si="104"/>
        <v>45901</v>
      </c>
      <c r="I1687">
        <f>MONTH(Table1[[#This Row],[Date]])</f>
        <v>9</v>
      </c>
      <c r="J1687" t="str">
        <f t="shared" si="105"/>
        <v>Q3</v>
      </c>
      <c r="K1687" t="str">
        <f t="shared" si="106"/>
        <v>Sept-2025</v>
      </c>
      <c r="L1687" t="str">
        <f t="shared" si="107"/>
        <v>High</v>
      </c>
    </row>
    <row r="1688" spans="1:12" x14ac:dyDescent="0.3">
      <c r="A1688">
        <v>2025</v>
      </c>
      <c r="B1688" s="2" t="s">
        <v>25</v>
      </c>
      <c r="C1688" t="s">
        <v>8</v>
      </c>
      <c r="D1688" t="s">
        <v>15</v>
      </c>
      <c r="E1688">
        <v>28.32</v>
      </c>
      <c r="F1688">
        <v>180.6</v>
      </c>
      <c r="G1688">
        <v>5.03</v>
      </c>
      <c r="H1688" s="3">
        <f t="shared" si="104"/>
        <v>45901</v>
      </c>
      <c r="I1688">
        <f>MONTH(Table1[[#This Row],[Date]])</f>
        <v>9</v>
      </c>
      <c r="J1688" t="str">
        <f t="shared" si="105"/>
        <v>Q3</v>
      </c>
      <c r="K1688" t="str">
        <f t="shared" si="106"/>
        <v>Sept-2025</v>
      </c>
      <c r="L1688" t="str">
        <f t="shared" si="107"/>
        <v>High</v>
      </c>
    </row>
    <row r="1689" spans="1:12" x14ac:dyDescent="0.3">
      <c r="A1689">
        <v>2025</v>
      </c>
      <c r="B1689" s="2" t="s">
        <v>25</v>
      </c>
      <c r="C1689" t="s">
        <v>16</v>
      </c>
      <c r="D1689" t="s">
        <v>9</v>
      </c>
      <c r="E1689">
        <v>100</v>
      </c>
      <c r="F1689">
        <v>169.2</v>
      </c>
      <c r="G1689">
        <v>4.55</v>
      </c>
      <c r="H1689" s="3">
        <f t="shared" si="104"/>
        <v>45901</v>
      </c>
      <c r="I1689">
        <f>MONTH(Table1[[#This Row],[Date]])</f>
        <v>9</v>
      </c>
      <c r="J1689" t="str">
        <f t="shared" si="105"/>
        <v>Q3</v>
      </c>
      <c r="K1689" t="str">
        <f t="shared" si="106"/>
        <v>Sept-2025</v>
      </c>
      <c r="L1689" t="str">
        <f t="shared" si="107"/>
        <v>High</v>
      </c>
    </row>
    <row r="1690" spans="1:12" x14ac:dyDescent="0.3">
      <c r="A1690">
        <v>2025</v>
      </c>
      <c r="B1690" s="2" t="s">
        <v>25</v>
      </c>
      <c r="C1690" t="s">
        <v>16</v>
      </c>
      <c r="D1690" t="s">
        <v>10</v>
      </c>
      <c r="E1690">
        <v>45.86</v>
      </c>
      <c r="F1690">
        <v>171.2</v>
      </c>
      <c r="G1690">
        <v>4.63</v>
      </c>
      <c r="H1690" s="3">
        <f t="shared" si="104"/>
        <v>45901</v>
      </c>
      <c r="I1690">
        <f>MONTH(Table1[[#This Row],[Date]])</f>
        <v>9</v>
      </c>
      <c r="J1690" t="str">
        <f t="shared" si="105"/>
        <v>Q3</v>
      </c>
      <c r="K1690" t="str">
        <f t="shared" si="106"/>
        <v>Sept-2025</v>
      </c>
      <c r="L1690" t="str">
        <f t="shared" si="107"/>
        <v>High</v>
      </c>
    </row>
    <row r="1691" spans="1:12" x14ac:dyDescent="0.3">
      <c r="A1691">
        <v>2025</v>
      </c>
      <c r="B1691" s="2" t="s">
        <v>25</v>
      </c>
      <c r="C1691" t="s">
        <v>16</v>
      </c>
      <c r="D1691" t="s">
        <v>11</v>
      </c>
      <c r="E1691">
        <v>2.38</v>
      </c>
      <c r="F1691">
        <v>173.2</v>
      </c>
      <c r="G1691">
        <v>4.71</v>
      </c>
      <c r="H1691" s="3">
        <f t="shared" si="104"/>
        <v>45901</v>
      </c>
      <c r="I1691">
        <f>MONTH(Table1[[#This Row],[Date]])</f>
        <v>9</v>
      </c>
      <c r="J1691" t="str">
        <f t="shared" si="105"/>
        <v>Q3</v>
      </c>
      <c r="K1691" t="str">
        <f t="shared" si="106"/>
        <v>Sept-2025</v>
      </c>
      <c r="L1691" t="str">
        <f t="shared" si="107"/>
        <v>High</v>
      </c>
    </row>
    <row r="1692" spans="1:12" x14ac:dyDescent="0.3">
      <c r="A1692">
        <v>2025</v>
      </c>
      <c r="B1692" s="2" t="s">
        <v>25</v>
      </c>
      <c r="C1692" t="s">
        <v>16</v>
      </c>
      <c r="D1692" t="s">
        <v>12</v>
      </c>
      <c r="E1692">
        <v>6.53</v>
      </c>
      <c r="F1692">
        <v>175.2</v>
      </c>
      <c r="G1692">
        <v>4.79</v>
      </c>
      <c r="H1692" s="3">
        <f t="shared" si="104"/>
        <v>45901</v>
      </c>
      <c r="I1692">
        <f>MONTH(Table1[[#This Row],[Date]])</f>
        <v>9</v>
      </c>
      <c r="J1692" t="str">
        <f t="shared" si="105"/>
        <v>Q3</v>
      </c>
      <c r="K1692" t="str">
        <f t="shared" si="106"/>
        <v>Sept-2025</v>
      </c>
      <c r="L1692" t="str">
        <f t="shared" si="107"/>
        <v>High</v>
      </c>
    </row>
    <row r="1693" spans="1:12" x14ac:dyDescent="0.3">
      <c r="A1693">
        <v>2025</v>
      </c>
      <c r="B1693" s="2" t="s">
        <v>25</v>
      </c>
      <c r="C1693" t="s">
        <v>16</v>
      </c>
      <c r="D1693" t="s">
        <v>13</v>
      </c>
      <c r="E1693">
        <v>10.07</v>
      </c>
      <c r="F1693">
        <v>177.2</v>
      </c>
      <c r="G1693">
        <v>4.87</v>
      </c>
      <c r="H1693" s="3">
        <f t="shared" si="104"/>
        <v>45901</v>
      </c>
      <c r="I1693">
        <f>MONTH(Table1[[#This Row],[Date]])</f>
        <v>9</v>
      </c>
      <c r="J1693" t="str">
        <f t="shared" si="105"/>
        <v>Q3</v>
      </c>
      <c r="K1693" t="str">
        <f t="shared" si="106"/>
        <v>Sept-2025</v>
      </c>
      <c r="L1693" t="str">
        <f t="shared" si="107"/>
        <v>High</v>
      </c>
    </row>
    <row r="1694" spans="1:12" x14ac:dyDescent="0.3">
      <c r="A1694">
        <v>2025</v>
      </c>
      <c r="B1694" s="2" t="s">
        <v>25</v>
      </c>
      <c r="C1694" t="s">
        <v>16</v>
      </c>
      <c r="D1694" t="s">
        <v>14</v>
      </c>
      <c r="E1694">
        <v>6.84</v>
      </c>
      <c r="F1694">
        <v>179.2</v>
      </c>
      <c r="G1694">
        <v>4.95</v>
      </c>
      <c r="H1694" s="3">
        <f t="shared" si="104"/>
        <v>45901</v>
      </c>
      <c r="I1694">
        <f>MONTH(Table1[[#This Row],[Date]])</f>
        <v>9</v>
      </c>
      <c r="J1694" t="str">
        <f t="shared" si="105"/>
        <v>Q3</v>
      </c>
      <c r="K1694" t="str">
        <f t="shared" si="106"/>
        <v>Sept-2025</v>
      </c>
      <c r="L1694" t="str">
        <f t="shared" si="107"/>
        <v>High</v>
      </c>
    </row>
    <row r="1695" spans="1:12" x14ac:dyDescent="0.3">
      <c r="A1695">
        <v>2025</v>
      </c>
      <c r="B1695" s="2" t="s">
        <v>25</v>
      </c>
      <c r="C1695" t="s">
        <v>16</v>
      </c>
      <c r="D1695" t="s">
        <v>15</v>
      </c>
      <c r="E1695">
        <v>28.32</v>
      </c>
      <c r="F1695">
        <v>181.2</v>
      </c>
      <c r="G1695">
        <v>5.03</v>
      </c>
      <c r="H1695" s="3">
        <f t="shared" si="104"/>
        <v>45901</v>
      </c>
      <c r="I1695">
        <f>MONTH(Table1[[#This Row],[Date]])</f>
        <v>9</v>
      </c>
      <c r="J1695" t="str">
        <f t="shared" si="105"/>
        <v>Q3</v>
      </c>
      <c r="K1695" t="str">
        <f t="shared" si="106"/>
        <v>Sept-2025</v>
      </c>
      <c r="L1695" t="str">
        <f t="shared" si="107"/>
        <v>High</v>
      </c>
    </row>
    <row r="1696" spans="1:12" x14ac:dyDescent="0.3">
      <c r="A1696">
        <v>2025</v>
      </c>
      <c r="B1696" s="2" t="s">
        <v>25</v>
      </c>
      <c r="C1696" t="s">
        <v>17</v>
      </c>
      <c r="D1696" t="s">
        <v>9</v>
      </c>
      <c r="E1696">
        <v>100</v>
      </c>
      <c r="F1696">
        <v>169.8</v>
      </c>
      <c r="G1696">
        <v>4.55</v>
      </c>
      <c r="H1696" s="3">
        <f t="shared" si="104"/>
        <v>45901</v>
      </c>
      <c r="I1696">
        <f>MONTH(Table1[[#This Row],[Date]])</f>
        <v>9</v>
      </c>
      <c r="J1696" t="str">
        <f t="shared" si="105"/>
        <v>Q3</v>
      </c>
      <c r="K1696" t="str">
        <f t="shared" si="106"/>
        <v>Sept-2025</v>
      </c>
      <c r="L1696" t="str">
        <f t="shared" si="107"/>
        <v>High</v>
      </c>
    </row>
    <row r="1697" spans="1:12" x14ac:dyDescent="0.3">
      <c r="A1697">
        <v>2025</v>
      </c>
      <c r="B1697" s="2" t="s">
        <v>25</v>
      </c>
      <c r="C1697" t="s">
        <v>17</v>
      </c>
      <c r="D1697" t="s">
        <v>10</v>
      </c>
      <c r="E1697">
        <v>45.86</v>
      </c>
      <c r="F1697">
        <v>171.8</v>
      </c>
      <c r="G1697">
        <v>4.63</v>
      </c>
      <c r="H1697" s="3">
        <f t="shared" si="104"/>
        <v>45901</v>
      </c>
      <c r="I1697">
        <f>MONTH(Table1[[#This Row],[Date]])</f>
        <v>9</v>
      </c>
      <c r="J1697" t="str">
        <f t="shared" si="105"/>
        <v>Q3</v>
      </c>
      <c r="K1697" t="str">
        <f t="shared" si="106"/>
        <v>Sept-2025</v>
      </c>
      <c r="L1697" t="str">
        <f t="shared" si="107"/>
        <v>High</v>
      </c>
    </row>
    <row r="1698" spans="1:12" x14ac:dyDescent="0.3">
      <c r="A1698">
        <v>2025</v>
      </c>
      <c r="B1698" s="2" t="s">
        <v>25</v>
      </c>
      <c r="C1698" t="s">
        <v>17</v>
      </c>
      <c r="D1698" t="s">
        <v>11</v>
      </c>
      <c r="E1698">
        <v>2.38</v>
      </c>
      <c r="F1698">
        <v>173.8</v>
      </c>
      <c r="G1698">
        <v>4.71</v>
      </c>
      <c r="H1698" s="3">
        <f t="shared" si="104"/>
        <v>45901</v>
      </c>
      <c r="I1698">
        <f>MONTH(Table1[[#This Row],[Date]])</f>
        <v>9</v>
      </c>
      <c r="J1698" t="str">
        <f t="shared" si="105"/>
        <v>Q3</v>
      </c>
      <c r="K1698" t="str">
        <f t="shared" si="106"/>
        <v>Sept-2025</v>
      </c>
      <c r="L1698" t="str">
        <f t="shared" si="107"/>
        <v>High</v>
      </c>
    </row>
    <row r="1699" spans="1:12" x14ac:dyDescent="0.3">
      <c r="A1699">
        <v>2025</v>
      </c>
      <c r="B1699" s="2" t="s">
        <v>25</v>
      </c>
      <c r="C1699" t="s">
        <v>17</v>
      </c>
      <c r="D1699" t="s">
        <v>12</v>
      </c>
      <c r="E1699">
        <v>6.53</v>
      </c>
      <c r="F1699">
        <v>175.8</v>
      </c>
      <c r="G1699">
        <v>4.79</v>
      </c>
      <c r="H1699" s="3">
        <f t="shared" si="104"/>
        <v>45901</v>
      </c>
      <c r="I1699">
        <f>MONTH(Table1[[#This Row],[Date]])</f>
        <v>9</v>
      </c>
      <c r="J1699" t="str">
        <f t="shared" si="105"/>
        <v>Q3</v>
      </c>
      <c r="K1699" t="str">
        <f t="shared" si="106"/>
        <v>Sept-2025</v>
      </c>
      <c r="L1699" t="str">
        <f t="shared" si="107"/>
        <v>High</v>
      </c>
    </row>
    <row r="1700" spans="1:12" x14ac:dyDescent="0.3">
      <c r="A1700">
        <v>2025</v>
      </c>
      <c r="B1700" s="2" t="s">
        <v>25</v>
      </c>
      <c r="C1700" t="s">
        <v>17</v>
      </c>
      <c r="D1700" t="s">
        <v>13</v>
      </c>
      <c r="E1700">
        <v>10.07</v>
      </c>
      <c r="F1700">
        <v>177.8</v>
      </c>
      <c r="G1700">
        <v>4.87</v>
      </c>
      <c r="H1700" s="3">
        <f t="shared" si="104"/>
        <v>45901</v>
      </c>
      <c r="I1700">
        <f>MONTH(Table1[[#This Row],[Date]])</f>
        <v>9</v>
      </c>
      <c r="J1700" t="str">
        <f t="shared" si="105"/>
        <v>Q3</v>
      </c>
      <c r="K1700" t="str">
        <f t="shared" si="106"/>
        <v>Sept-2025</v>
      </c>
      <c r="L1700" t="str">
        <f t="shared" si="107"/>
        <v>High</v>
      </c>
    </row>
    <row r="1701" spans="1:12" x14ac:dyDescent="0.3">
      <c r="A1701">
        <v>2025</v>
      </c>
      <c r="B1701" s="2" t="s">
        <v>25</v>
      </c>
      <c r="C1701" t="s">
        <v>17</v>
      </c>
      <c r="D1701" t="s">
        <v>14</v>
      </c>
      <c r="E1701">
        <v>6.84</v>
      </c>
      <c r="F1701">
        <v>179.8</v>
      </c>
      <c r="G1701">
        <v>4.95</v>
      </c>
      <c r="H1701" s="3">
        <f t="shared" si="104"/>
        <v>45901</v>
      </c>
      <c r="I1701">
        <f>MONTH(Table1[[#This Row],[Date]])</f>
        <v>9</v>
      </c>
      <c r="J1701" t="str">
        <f t="shared" si="105"/>
        <v>Q3</v>
      </c>
      <c r="K1701" t="str">
        <f t="shared" si="106"/>
        <v>Sept-2025</v>
      </c>
      <c r="L1701" t="str">
        <f t="shared" si="107"/>
        <v>High</v>
      </c>
    </row>
    <row r="1702" spans="1:12" x14ac:dyDescent="0.3">
      <c r="A1702">
        <v>2025</v>
      </c>
      <c r="B1702" s="2" t="s">
        <v>25</v>
      </c>
      <c r="C1702" t="s">
        <v>17</v>
      </c>
      <c r="D1702" t="s">
        <v>15</v>
      </c>
      <c r="E1702">
        <v>28.32</v>
      </c>
      <c r="F1702">
        <v>181.8</v>
      </c>
      <c r="G1702">
        <v>5.03</v>
      </c>
      <c r="H1702" s="3">
        <f t="shared" si="104"/>
        <v>45901</v>
      </c>
      <c r="I1702">
        <f>MONTH(Table1[[#This Row],[Date]])</f>
        <v>9</v>
      </c>
      <c r="J1702" t="str">
        <f t="shared" si="105"/>
        <v>Q3</v>
      </c>
      <c r="K1702" t="str">
        <f t="shared" si="106"/>
        <v>Sept-2025</v>
      </c>
      <c r="L1702" t="str">
        <f t="shared" si="107"/>
        <v>High</v>
      </c>
    </row>
    <row r="1703" spans="1:12" x14ac:dyDescent="0.3">
      <c r="A1703">
        <v>2025</v>
      </c>
      <c r="B1703" s="2" t="s">
        <v>26</v>
      </c>
      <c r="C1703" t="s">
        <v>8</v>
      </c>
      <c r="D1703" t="s">
        <v>9</v>
      </c>
      <c r="E1703">
        <v>100</v>
      </c>
      <c r="F1703">
        <v>169</v>
      </c>
      <c r="G1703">
        <v>4.7</v>
      </c>
      <c r="H1703" s="3">
        <f t="shared" si="104"/>
        <v>45931</v>
      </c>
      <c r="I1703">
        <f>MONTH(Table1[[#This Row],[Date]])</f>
        <v>10</v>
      </c>
      <c r="J1703" t="str">
        <f t="shared" si="105"/>
        <v>Q4</v>
      </c>
      <c r="K1703" t="str">
        <f t="shared" si="106"/>
        <v>Oct-2025</v>
      </c>
      <c r="L1703" t="str">
        <f t="shared" si="107"/>
        <v>High</v>
      </c>
    </row>
    <row r="1704" spans="1:12" x14ac:dyDescent="0.3">
      <c r="A1704">
        <v>2025</v>
      </c>
      <c r="B1704" s="2" t="s">
        <v>26</v>
      </c>
      <c r="C1704" t="s">
        <v>8</v>
      </c>
      <c r="D1704" t="s">
        <v>10</v>
      </c>
      <c r="E1704">
        <v>45.86</v>
      </c>
      <c r="F1704">
        <v>171</v>
      </c>
      <c r="G1704">
        <v>4.78</v>
      </c>
      <c r="H1704" s="3">
        <f t="shared" si="104"/>
        <v>45931</v>
      </c>
      <c r="I1704">
        <f>MONTH(Table1[[#This Row],[Date]])</f>
        <v>10</v>
      </c>
      <c r="J1704" t="str">
        <f t="shared" si="105"/>
        <v>Q4</v>
      </c>
      <c r="K1704" t="str">
        <f t="shared" si="106"/>
        <v>Oct-2025</v>
      </c>
      <c r="L1704" t="str">
        <f t="shared" si="107"/>
        <v>High</v>
      </c>
    </row>
    <row r="1705" spans="1:12" x14ac:dyDescent="0.3">
      <c r="A1705">
        <v>2025</v>
      </c>
      <c r="B1705" s="2" t="s">
        <v>26</v>
      </c>
      <c r="C1705" t="s">
        <v>8</v>
      </c>
      <c r="D1705" t="s">
        <v>11</v>
      </c>
      <c r="E1705">
        <v>2.38</v>
      </c>
      <c r="F1705">
        <v>173</v>
      </c>
      <c r="G1705">
        <v>4.8600000000000003</v>
      </c>
      <c r="H1705" s="3">
        <f t="shared" si="104"/>
        <v>45931</v>
      </c>
      <c r="I1705">
        <f>MONTH(Table1[[#This Row],[Date]])</f>
        <v>10</v>
      </c>
      <c r="J1705" t="str">
        <f t="shared" si="105"/>
        <v>Q4</v>
      </c>
      <c r="K1705" t="str">
        <f t="shared" si="106"/>
        <v>Oct-2025</v>
      </c>
      <c r="L1705" t="str">
        <f t="shared" si="107"/>
        <v>High</v>
      </c>
    </row>
    <row r="1706" spans="1:12" x14ac:dyDescent="0.3">
      <c r="A1706">
        <v>2025</v>
      </c>
      <c r="B1706" s="2" t="s">
        <v>26</v>
      </c>
      <c r="C1706" t="s">
        <v>8</v>
      </c>
      <c r="D1706" t="s">
        <v>12</v>
      </c>
      <c r="E1706">
        <v>6.53</v>
      </c>
      <c r="F1706">
        <v>175</v>
      </c>
      <c r="G1706">
        <v>4.9400000000000004</v>
      </c>
      <c r="H1706" s="3">
        <f t="shared" si="104"/>
        <v>45931</v>
      </c>
      <c r="I1706">
        <f>MONTH(Table1[[#This Row],[Date]])</f>
        <v>10</v>
      </c>
      <c r="J1706" t="str">
        <f t="shared" si="105"/>
        <v>Q4</v>
      </c>
      <c r="K1706" t="str">
        <f t="shared" si="106"/>
        <v>Oct-2025</v>
      </c>
      <c r="L1706" t="str">
        <f t="shared" si="107"/>
        <v>High</v>
      </c>
    </row>
    <row r="1707" spans="1:12" x14ac:dyDescent="0.3">
      <c r="A1707">
        <v>2025</v>
      </c>
      <c r="B1707" s="2" t="s">
        <v>26</v>
      </c>
      <c r="C1707" t="s">
        <v>8</v>
      </c>
      <c r="D1707" t="s">
        <v>13</v>
      </c>
      <c r="E1707">
        <v>10.07</v>
      </c>
      <c r="F1707">
        <v>177</v>
      </c>
      <c r="G1707">
        <v>5.0199999999999996</v>
      </c>
      <c r="H1707" s="3">
        <f t="shared" si="104"/>
        <v>45931</v>
      </c>
      <c r="I1707">
        <f>MONTH(Table1[[#This Row],[Date]])</f>
        <v>10</v>
      </c>
      <c r="J1707" t="str">
        <f t="shared" si="105"/>
        <v>Q4</v>
      </c>
      <c r="K1707" t="str">
        <f t="shared" si="106"/>
        <v>Oct-2025</v>
      </c>
      <c r="L1707" t="str">
        <f t="shared" si="107"/>
        <v>High</v>
      </c>
    </row>
    <row r="1708" spans="1:12" x14ac:dyDescent="0.3">
      <c r="A1708">
        <v>2025</v>
      </c>
      <c r="B1708" s="2" t="s">
        <v>26</v>
      </c>
      <c r="C1708" t="s">
        <v>8</v>
      </c>
      <c r="D1708" t="s">
        <v>14</v>
      </c>
      <c r="E1708">
        <v>6.84</v>
      </c>
      <c r="F1708">
        <v>179</v>
      </c>
      <c r="G1708">
        <v>5.0999999999999996</v>
      </c>
      <c r="H1708" s="3">
        <f t="shared" si="104"/>
        <v>45931</v>
      </c>
      <c r="I1708">
        <f>MONTH(Table1[[#This Row],[Date]])</f>
        <v>10</v>
      </c>
      <c r="J1708" t="str">
        <f t="shared" si="105"/>
        <v>Q4</v>
      </c>
      <c r="K1708" t="str">
        <f t="shared" si="106"/>
        <v>Oct-2025</v>
      </c>
      <c r="L1708" t="str">
        <f t="shared" si="107"/>
        <v>High</v>
      </c>
    </row>
    <row r="1709" spans="1:12" x14ac:dyDescent="0.3">
      <c r="A1709">
        <v>2025</v>
      </c>
      <c r="B1709" s="2" t="s">
        <v>26</v>
      </c>
      <c r="C1709" t="s">
        <v>8</v>
      </c>
      <c r="D1709" t="s">
        <v>15</v>
      </c>
      <c r="E1709">
        <v>28.32</v>
      </c>
      <c r="F1709">
        <v>181</v>
      </c>
      <c r="G1709">
        <v>5.18</v>
      </c>
      <c r="H1709" s="3">
        <f t="shared" si="104"/>
        <v>45931</v>
      </c>
      <c r="I1709">
        <f>MONTH(Table1[[#This Row],[Date]])</f>
        <v>10</v>
      </c>
      <c r="J1709" t="str">
        <f t="shared" si="105"/>
        <v>Q4</v>
      </c>
      <c r="K1709" t="str">
        <f t="shared" si="106"/>
        <v>Oct-2025</v>
      </c>
      <c r="L1709" t="str">
        <f t="shared" si="107"/>
        <v>High</v>
      </c>
    </row>
    <row r="1710" spans="1:12" x14ac:dyDescent="0.3">
      <c r="A1710">
        <v>2025</v>
      </c>
      <c r="B1710" s="2" t="s">
        <v>26</v>
      </c>
      <c r="C1710" t="s">
        <v>16</v>
      </c>
      <c r="D1710" t="s">
        <v>9</v>
      </c>
      <c r="E1710">
        <v>100</v>
      </c>
      <c r="F1710">
        <v>169.6</v>
      </c>
      <c r="G1710">
        <v>4.7</v>
      </c>
      <c r="H1710" s="3">
        <f t="shared" si="104"/>
        <v>45931</v>
      </c>
      <c r="I1710">
        <f>MONTH(Table1[[#This Row],[Date]])</f>
        <v>10</v>
      </c>
      <c r="J1710" t="str">
        <f t="shared" si="105"/>
        <v>Q4</v>
      </c>
      <c r="K1710" t="str">
        <f t="shared" si="106"/>
        <v>Oct-2025</v>
      </c>
      <c r="L1710" t="str">
        <f t="shared" si="107"/>
        <v>High</v>
      </c>
    </row>
    <row r="1711" spans="1:12" x14ac:dyDescent="0.3">
      <c r="A1711">
        <v>2025</v>
      </c>
      <c r="B1711" s="2" t="s">
        <v>26</v>
      </c>
      <c r="C1711" t="s">
        <v>16</v>
      </c>
      <c r="D1711" t="s">
        <v>10</v>
      </c>
      <c r="E1711">
        <v>45.86</v>
      </c>
      <c r="F1711">
        <v>171.6</v>
      </c>
      <c r="G1711">
        <v>4.78</v>
      </c>
      <c r="H1711" s="3">
        <f t="shared" si="104"/>
        <v>45931</v>
      </c>
      <c r="I1711">
        <f>MONTH(Table1[[#This Row],[Date]])</f>
        <v>10</v>
      </c>
      <c r="J1711" t="str">
        <f t="shared" si="105"/>
        <v>Q4</v>
      </c>
      <c r="K1711" t="str">
        <f t="shared" si="106"/>
        <v>Oct-2025</v>
      </c>
      <c r="L1711" t="str">
        <f t="shared" si="107"/>
        <v>High</v>
      </c>
    </row>
    <row r="1712" spans="1:12" x14ac:dyDescent="0.3">
      <c r="A1712">
        <v>2025</v>
      </c>
      <c r="B1712" s="2" t="s">
        <v>26</v>
      </c>
      <c r="C1712" t="s">
        <v>16</v>
      </c>
      <c r="D1712" t="s">
        <v>11</v>
      </c>
      <c r="E1712">
        <v>2.38</v>
      </c>
      <c r="F1712">
        <v>173.6</v>
      </c>
      <c r="G1712">
        <v>4.8600000000000003</v>
      </c>
      <c r="H1712" s="3">
        <f t="shared" si="104"/>
        <v>45931</v>
      </c>
      <c r="I1712">
        <f>MONTH(Table1[[#This Row],[Date]])</f>
        <v>10</v>
      </c>
      <c r="J1712" t="str">
        <f t="shared" si="105"/>
        <v>Q4</v>
      </c>
      <c r="K1712" t="str">
        <f t="shared" si="106"/>
        <v>Oct-2025</v>
      </c>
      <c r="L1712" t="str">
        <f t="shared" si="107"/>
        <v>High</v>
      </c>
    </row>
    <row r="1713" spans="1:12" x14ac:dyDescent="0.3">
      <c r="A1713">
        <v>2025</v>
      </c>
      <c r="B1713" s="2" t="s">
        <v>26</v>
      </c>
      <c r="C1713" t="s">
        <v>16</v>
      </c>
      <c r="D1713" t="s">
        <v>12</v>
      </c>
      <c r="E1713">
        <v>6.53</v>
      </c>
      <c r="F1713">
        <v>175.6</v>
      </c>
      <c r="G1713">
        <v>4.9400000000000004</v>
      </c>
      <c r="H1713" s="3">
        <f t="shared" si="104"/>
        <v>45931</v>
      </c>
      <c r="I1713">
        <f>MONTH(Table1[[#This Row],[Date]])</f>
        <v>10</v>
      </c>
      <c r="J1713" t="str">
        <f t="shared" si="105"/>
        <v>Q4</v>
      </c>
      <c r="K1713" t="str">
        <f t="shared" si="106"/>
        <v>Oct-2025</v>
      </c>
      <c r="L1713" t="str">
        <f t="shared" si="107"/>
        <v>High</v>
      </c>
    </row>
    <row r="1714" spans="1:12" x14ac:dyDescent="0.3">
      <c r="A1714">
        <v>2025</v>
      </c>
      <c r="B1714" s="2" t="s">
        <v>26</v>
      </c>
      <c r="C1714" t="s">
        <v>16</v>
      </c>
      <c r="D1714" t="s">
        <v>13</v>
      </c>
      <c r="E1714">
        <v>10.07</v>
      </c>
      <c r="F1714">
        <v>177.6</v>
      </c>
      <c r="G1714">
        <v>5.0199999999999996</v>
      </c>
      <c r="H1714" s="3">
        <f t="shared" si="104"/>
        <v>45931</v>
      </c>
      <c r="I1714">
        <f>MONTH(Table1[[#This Row],[Date]])</f>
        <v>10</v>
      </c>
      <c r="J1714" t="str">
        <f t="shared" si="105"/>
        <v>Q4</v>
      </c>
      <c r="K1714" t="str">
        <f t="shared" si="106"/>
        <v>Oct-2025</v>
      </c>
      <c r="L1714" t="str">
        <f t="shared" si="107"/>
        <v>High</v>
      </c>
    </row>
    <row r="1715" spans="1:12" x14ac:dyDescent="0.3">
      <c r="A1715">
        <v>2025</v>
      </c>
      <c r="B1715" s="2" t="s">
        <v>26</v>
      </c>
      <c r="C1715" t="s">
        <v>16</v>
      </c>
      <c r="D1715" t="s">
        <v>14</v>
      </c>
      <c r="E1715">
        <v>6.84</v>
      </c>
      <c r="F1715">
        <v>179.6</v>
      </c>
      <c r="G1715">
        <v>5.0999999999999996</v>
      </c>
      <c r="H1715" s="3">
        <f t="shared" si="104"/>
        <v>45931</v>
      </c>
      <c r="I1715">
        <f>MONTH(Table1[[#This Row],[Date]])</f>
        <v>10</v>
      </c>
      <c r="J1715" t="str">
        <f t="shared" si="105"/>
        <v>Q4</v>
      </c>
      <c r="K1715" t="str">
        <f t="shared" si="106"/>
        <v>Oct-2025</v>
      </c>
      <c r="L1715" t="str">
        <f t="shared" si="107"/>
        <v>High</v>
      </c>
    </row>
    <row r="1716" spans="1:12" x14ac:dyDescent="0.3">
      <c r="A1716">
        <v>2025</v>
      </c>
      <c r="B1716" s="2" t="s">
        <v>26</v>
      </c>
      <c r="C1716" t="s">
        <v>16</v>
      </c>
      <c r="D1716" t="s">
        <v>15</v>
      </c>
      <c r="E1716">
        <v>28.32</v>
      </c>
      <c r="F1716">
        <v>181.6</v>
      </c>
      <c r="G1716">
        <v>5.18</v>
      </c>
      <c r="H1716" s="3">
        <f t="shared" si="104"/>
        <v>45931</v>
      </c>
      <c r="I1716">
        <f>MONTH(Table1[[#This Row],[Date]])</f>
        <v>10</v>
      </c>
      <c r="J1716" t="str">
        <f t="shared" si="105"/>
        <v>Q4</v>
      </c>
      <c r="K1716" t="str">
        <f t="shared" si="106"/>
        <v>Oct-2025</v>
      </c>
      <c r="L1716" t="str">
        <f t="shared" si="107"/>
        <v>High</v>
      </c>
    </row>
    <row r="1717" spans="1:12" x14ac:dyDescent="0.3">
      <c r="A1717">
        <v>2025</v>
      </c>
      <c r="B1717" s="2" t="s">
        <v>26</v>
      </c>
      <c r="C1717" t="s">
        <v>17</v>
      </c>
      <c r="D1717" t="s">
        <v>9</v>
      </c>
      <c r="E1717">
        <v>100</v>
      </c>
      <c r="F1717">
        <v>170.2</v>
      </c>
      <c r="G1717">
        <v>4.7</v>
      </c>
      <c r="H1717" s="3">
        <f t="shared" si="104"/>
        <v>45931</v>
      </c>
      <c r="I1717">
        <f>MONTH(Table1[[#This Row],[Date]])</f>
        <v>10</v>
      </c>
      <c r="J1717" t="str">
        <f t="shared" si="105"/>
        <v>Q4</v>
      </c>
      <c r="K1717" t="str">
        <f t="shared" si="106"/>
        <v>Oct-2025</v>
      </c>
      <c r="L1717" t="str">
        <f t="shared" si="107"/>
        <v>High</v>
      </c>
    </row>
    <row r="1718" spans="1:12" x14ac:dyDescent="0.3">
      <c r="A1718">
        <v>2025</v>
      </c>
      <c r="B1718" s="2" t="s">
        <v>26</v>
      </c>
      <c r="C1718" t="s">
        <v>17</v>
      </c>
      <c r="D1718" t="s">
        <v>10</v>
      </c>
      <c r="E1718">
        <v>45.86</v>
      </c>
      <c r="F1718">
        <v>172.2</v>
      </c>
      <c r="G1718">
        <v>4.78</v>
      </c>
      <c r="H1718" s="3">
        <f t="shared" si="104"/>
        <v>45931</v>
      </c>
      <c r="I1718">
        <f>MONTH(Table1[[#This Row],[Date]])</f>
        <v>10</v>
      </c>
      <c r="J1718" t="str">
        <f t="shared" si="105"/>
        <v>Q4</v>
      </c>
      <c r="K1718" t="str">
        <f t="shared" si="106"/>
        <v>Oct-2025</v>
      </c>
      <c r="L1718" t="str">
        <f t="shared" si="107"/>
        <v>High</v>
      </c>
    </row>
    <row r="1719" spans="1:12" x14ac:dyDescent="0.3">
      <c r="A1719">
        <v>2025</v>
      </c>
      <c r="B1719" s="2" t="s">
        <v>26</v>
      </c>
      <c r="C1719" t="s">
        <v>17</v>
      </c>
      <c r="D1719" t="s">
        <v>11</v>
      </c>
      <c r="E1719">
        <v>2.38</v>
      </c>
      <c r="F1719">
        <v>174.2</v>
      </c>
      <c r="G1719">
        <v>4.8600000000000003</v>
      </c>
      <c r="H1719" s="3">
        <f t="shared" si="104"/>
        <v>45931</v>
      </c>
      <c r="I1719">
        <f>MONTH(Table1[[#This Row],[Date]])</f>
        <v>10</v>
      </c>
      <c r="J1719" t="str">
        <f t="shared" si="105"/>
        <v>Q4</v>
      </c>
      <c r="K1719" t="str">
        <f t="shared" si="106"/>
        <v>Oct-2025</v>
      </c>
      <c r="L1719" t="str">
        <f t="shared" si="107"/>
        <v>High</v>
      </c>
    </row>
    <row r="1720" spans="1:12" x14ac:dyDescent="0.3">
      <c r="A1720">
        <v>2025</v>
      </c>
      <c r="B1720" s="2" t="s">
        <v>26</v>
      </c>
      <c r="C1720" t="s">
        <v>17</v>
      </c>
      <c r="D1720" t="s">
        <v>12</v>
      </c>
      <c r="E1720">
        <v>6.53</v>
      </c>
      <c r="F1720">
        <v>176.2</v>
      </c>
      <c r="G1720">
        <v>4.9400000000000004</v>
      </c>
      <c r="H1720" s="3">
        <f t="shared" si="104"/>
        <v>45931</v>
      </c>
      <c r="I1720">
        <f>MONTH(Table1[[#This Row],[Date]])</f>
        <v>10</v>
      </c>
      <c r="J1720" t="str">
        <f t="shared" si="105"/>
        <v>Q4</v>
      </c>
      <c r="K1720" t="str">
        <f t="shared" si="106"/>
        <v>Oct-2025</v>
      </c>
      <c r="L1720" t="str">
        <f t="shared" si="107"/>
        <v>High</v>
      </c>
    </row>
    <row r="1721" spans="1:12" x14ac:dyDescent="0.3">
      <c r="A1721">
        <v>2025</v>
      </c>
      <c r="B1721" s="2" t="s">
        <v>26</v>
      </c>
      <c r="C1721" t="s">
        <v>17</v>
      </c>
      <c r="D1721" t="s">
        <v>13</v>
      </c>
      <c r="E1721">
        <v>10.07</v>
      </c>
      <c r="F1721">
        <v>178.2</v>
      </c>
      <c r="G1721">
        <v>5.0199999999999996</v>
      </c>
      <c r="H1721" s="3">
        <f t="shared" si="104"/>
        <v>45931</v>
      </c>
      <c r="I1721">
        <f>MONTH(Table1[[#This Row],[Date]])</f>
        <v>10</v>
      </c>
      <c r="J1721" t="str">
        <f t="shared" si="105"/>
        <v>Q4</v>
      </c>
      <c r="K1721" t="str">
        <f t="shared" si="106"/>
        <v>Oct-2025</v>
      </c>
      <c r="L1721" t="str">
        <f t="shared" si="107"/>
        <v>High</v>
      </c>
    </row>
    <row r="1722" spans="1:12" x14ac:dyDescent="0.3">
      <c r="A1722">
        <v>2025</v>
      </c>
      <c r="B1722" s="2" t="s">
        <v>26</v>
      </c>
      <c r="C1722" t="s">
        <v>17</v>
      </c>
      <c r="D1722" t="s">
        <v>14</v>
      </c>
      <c r="E1722">
        <v>6.84</v>
      </c>
      <c r="F1722">
        <v>180.2</v>
      </c>
      <c r="G1722">
        <v>5.0999999999999996</v>
      </c>
      <c r="H1722" s="3">
        <f t="shared" si="104"/>
        <v>45931</v>
      </c>
      <c r="I1722">
        <f>MONTH(Table1[[#This Row],[Date]])</f>
        <v>10</v>
      </c>
      <c r="J1722" t="str">
        <f t="shared" si="105"/>
        <v>Q4</v>
      </c>
      <c r="K1722" t="str">
        <f t="shared" si="106"/>
        <v>Oct-2025</v>
      </c>
      <c r="L1722" t="str">
        <f t="shared" si="107"/>
        <v>High</v>
      </c>
    </row>
    <row r="1723" spans="1:12" x14ac:dyDescent="0.3">
      <c r="A1723">
        <v>2025</v>
      </c>
      <c r="B1723" s="2" t="s">
        <v>26</v>
      </c>
      <c r="C1723" t="s">
        <v>17</v>
      </c>
      <c r="D1723" t="s">
        <v>15</v>
      </c>
      <c r="E1723">
        <v>28.32</v>
      </c>
      <c r="F1723">
        <v>182.2</v>
      </c>
      <c r="G1723">
        <v>5.18</v>
      </c>
      <c r="H1723" s="3">
        <f t="shared" si="104"/>
        <v>45931</v>
      </c>
      <c r="I1723">
        <f>MONTH(Table1[[#This Row],[Date]])</f>
        <v>10</v>
      </c>
      <c r="J1723" t="str">
        <f t="shared" si="105"/>
        <v>Q4</v>
      </c>
      <c r="K1723" t="str">
        <f t="shared" si="106"/>
        <v>Oct-2025</v>
      </c>
      <c r="L1723" t="str">
        <f t="shared" si="107"/>
        <v>High</v>
      </c>
    </row>
    <row r="1724" spans="1:12" x14ac:dyDescent="0.3">
      <c r="A1724">
        <v>2025</v>
      </c>
      <c r="B1724" s="2" t="s">
        <v>27</v>
      </c>
      <c r="C1724" t="s">
        <v>8</v>
      </c>
      <c r="D1724" t="s">
        <v>9</v>
      </c>
      <c r="E1724">
        <v>100</v>
      </c>
      <c r="F1724">
        <v>169.4</v>
      </c>
      <c r="G1724">
        <v>4.8499999999999996</v>
      </c>
      <c r="H1724" s="3">
        <f t="shared" si="104"/>
        <v>45962</v>
      </c>
      <c r="I1724">
        <f>MONTH(Table1[[#This Row],[Date]])</f>
        <v>11</v>
      </c>
      <c r="J1724" t="str">
        <f t="shared" si="105"/>
        <v>Q4</v>
      </c>
      <c r="K1724" t="str">
        <f t="shared" si="106"/>
        <v>Nov-2025</v>
      </c>
      <c r="L1724" t="str">
        <f t="shared" si="107"/>
        <v>High</v>
      </c>
    </row>
    <row r="1725" spans="1:12" x14ac:dyDescent="0.3">
      <c r="A1725">
        <v>2025</v>
      </c>
      <c r="B1725" s="2" t="s">
        <v>27</v>
      </c>
      <c r="C1725" t="s">
        <v>8</v>
      </c>
      <c r="D1725" t="s">
        <v>10</v>
      </c>
      <c r="E1725">
        <v>45.86</v>
      </c>
      <c r="F1725">
        <v>171.4</v>
      </c>
      <c r="G1725">
        <v>4.93</v>
      </c>
      <c r="H1725" s="3">
        <f t="shared" si="104"/>
        <v>45962</v>
      </c>
      <c r="I1725">
        <f>MONTH(Table1[[#This Row],[Date]])</f>
        <v>11</v>
      </c>
      <c r="J1725" t="str">
        <f t="shared" si="105"/>
        <v>Q4</v>
      </c>
      <c r="K1725" t="str">
        <f t="shared" si="106"/>
        <v>Nov-2025</v>
      </c>
      <c r="L1725" t="str">
        <f t="shared" si="107"/>
        <v>High</v>
      </c>
    </row>
    <row r="1726" spans="1:12" x14ac:dyDescent="0.3">
      <c r="A1726">
        <v>2025</v>
      </c>
      <c r="B1726" s="2" t="s">
        <v>27</v>
      </c>
      <c r="C1726" t="s">
        <v>8</v>
      </c>
      <c r="D1726" t="s">
        <v>11</v>
      </c>
      <c r="E1726">
        <v>2.38</v>
      </c>
      <c r="F1726">
        <v>173.4</v>
      </c>
      <c r="G1726">
        <v>5.01</v>
      </c>
      <c r="H1726" s="3">
        <f t="shared" si="104"/>
        <v>45962</v>
      </c>
      <c r="I1726">
        <f>MONTH(Table1[[#This Row],[Date]])</f>
        <v>11</v>
      </c>
      <c r="J1726" t="str">
        <f t="shared" si="105"/>
        <v>Q4</v>
      </c>
      <c r="K1726" t="str">
        <f t="shared" si="106"/>
        <v>Nov-2025</v>
      </c>
      <c r="L1726" t="str">
        <f t="shared" si="107"/>
        <v>High</v>
      </c>
    </row>
    <row r="1727" spans="1:12" x14ac:dyDescent="0.3">
      <c r="A1727">
        <v>2025</v>
      </c>
      <c r="B1727" s="2" t="s">
        <v>27</v>
      </c>
      <c r="C1727" t="s">
        <v>8</v>
      </c>
      <c r="D1727" t="s">
        <v>12</v>
      </c>
      <c r="E1727">
        <v>6.53</v>
      </c>
      <c r="F1727">
        <v>175.4</v>
      </c>
      <c r="G1727">
        <v>5.09</v>
      </c>
      <c r="H1727" s="3">
        <f t="shared" si="104"/>
        <v>45962</v>
      </c>
      <c r="I1727">
        <f>MONTH(Table1[[#This Row],[Date]])</f>
        <v>11</v>
      </c>
      <c r="J1727" t="str">
        <f t="shared" si="105"/>
        <v>Q4</v>
      </c>
      <c r="K1727" t="str">
        <f t="shared" si="106"/>
        <v>Nov-2025</v>
      </c>
      <c r="L1727" t="str">
        <f t="shared" si="107"/>
        <v>High</v>
      </c>
    </row>
    <row r="1728" spans="1:12" x14ac:dyDescent="0.3">
      <c r="A1728">
        <v>2025</v>
      </c>
      <c r="B1728" s="2" t="s">
        <v>27</v>
      </c>
      <c r="C1728" t="s">
        <v>8</v>
      </c>
      <c r="D1728" t="s">
        <v>13</v>
      </c>
      <c r="E1728">
        <v>10.07</v>
      </c>
      <c r="F1728">
        <v>177.4</v>
      </c>
      <c r="G1728">
        <v>5.17</v>
      </c>
      <c r="H1728" s="3">
        <f t="shared" si="104"/>
        <v>45962</v>
      </c>
      <c r="I1728">
        <f>MONTH(Table1[[#This Row],[Date]])</f>
        <v>11</v>
      </c>
      <c r="J1728" t="str">
        <f t="shared" si="105"/>
        <v>Q4</v>
      </c>
      <c r="K1728" t="str">
        <f t="shared" si="106"/>
        <v>Nov-2025</v>
      </c>
      <c r="L1728" t="str">
        <f t="shared" si="107"/>
        <v>High</v>
      </c>
    </row>
    <row r="1729" spans="1:12" x14ac:dyDescent="0.3">
      <c r="A1729">
        <v>2025</v>
      </c>
      <c r="B1729" s="2" t="s">
        <v>27</v>
      </c>
      <c r="C1729" t="s">
        <v>8</v>
      </c>
      <c r="D1729" t="s">
        <v>14</v>
      </c>
      <c r="E1729">
        <v>6.84</v>
      </c>
      <c r="F1729">
        <v>179.4</v>
      </c>
      <c r="G1729">
        <v>5.25</v>
      </c>
      <c r="H1729" s="3">
        <f t="shared" si="104"/>
        <v>45962</v>
      </c>
      <c r="I1729">
        <f>MONTH(Table1[[#This Row],[Date]])</f>
        <v>11</v>
      </c>
      <c r="J1729" t="str">
        <f t="shared" si="105"/>
        <v>Q4</v>
      </c>
      <c r="K1729" t="str">
        <f t="shared" si="106"/>
        <v>Nov-2025</v>
      </c>
      <c r="L1729" t="str">
        <f t="shared" si="107"/>
        <v>High</v>
      </c>
    </row>
    <row r="1730" spans="1:12" x14ac:dyDescent="0.3">
      <c r="A1730">
        <v>2025</v>
      </c>
      <c r="B1730" s="2" t="s">
        <v>27</v>
      </c>
      <c r="C1730" t="s">
        <v>8</v>
      </c>
      <c r="D1730" t="s">
        <v>15</v>
      </c>
      <c r="E1730">
        <v>28.32</v>
      </c>
      <c r="F1730">
        <v>181.4</v>
      </c>
      <c r="G1730">
        <v>5.33</v>
      </c>
      <c r="H1730" s="3">
        <f t="shared" ref="H1730:H1765" si="108">DATE(A1730,MONTH(DATEVALUE(B1730&amp;" 1")),1)</f>
        <v>45962</v>
      </c>
      <c r="I1730">
        <f>MONTH(Table1[[#This Row],[Date]])</f>
        <v>11</v>
      </c>
      <c r="J1730" t="str">
        <f t="shared" ref="J1730:J1765" si="109">"Q"&amp;ROUNDUP(MONTH(H1730)/3,0)</f>
        <v>Q4</v>
      </c>
      <c r="K1730" t="str">
        <f t="shared" ref="K1730:K1765" si="110">TEXT(H1730,"mmm-yyyy")</f>
        <v>Nov-2025</v>
      </c>
      <c r="L1730" t="str">
        <f t="shared" ref="L1730:L1765" si="111">IF(G1730&lt;3,"Low",IF(G1730&lt;4,"Medium","High"))</f>
        <v>High</v>
      </c>
    </row>
    <row r="1731" spans="1:12" x14ac:dyDescent="0.3">
      <c r="A1731">
        <v>2025</v>
      </c>
      <c r="B1731" s="2" t="s">
        <v>27</v>
      </c>
      <c r="C1731" t="s">
        <v>16</v>
      </c>
      <c r="D1731" t="s">
        <v>9</v>
      </c>
      <c r="E1731">
        <v>100</v>
      </c>
      <c r="F1731">
        <v>170</v>
      </c>
      <c r="G1731">
        <v>4.8499999999999996</v>
      </c>
      <c r="H1731" s="3">
        <f t="shared" si="108"/>
        <v>45962</v>
      </c>
      <c r="I1731">
        <f>MONTH(Table1[[#This Row],[Date]])</f>
        <v>11</v>
      </c>
      <c r="J1731" t="str">
        <f t="shared" si="109"/>
        <v>Q4</v>
      </c>
      <c r="K1731" t="str">
        <f t="shared" si="110"/>
        <v>Nov-2025</v>
      </c>
      <c r="L1731" t="str">
        <f t="shared" si="111"/>
        <v>High</v>
      </c>
    </row>
    <row r="1732" spans="1:12" x14ac:dyDescent="0.3">
      <c r="A1732">
        <v>2025</v>
      </c>
      <c r="B1732" s="2" t="s">
        <v>27</v>
      </c>
      <c r="C1732" t="s">
        <v>16</v>
      </c>
      <c r="D1732" t="s">
        <v>10</v>
      </c>
      <c r="E1732">
        <v>45.86</v>
      </c>
      <c r="F1732">
        <v>172</v>
      </c>
      <c r="G1732">
        <v>4.93</v>
      </c>
      <c r="H1732" s="3">
        <f t="shared" si="108"/>
        <v>45962</v>
      </c>
      <c r="I1732">
        <f>MONTH(Table1[[#This Row],[Date]])</f>
        <v>11</v>
      </c>
      <c r="J1732" t="str">
        <f t="shared" si="109"/>
        <v>Q4</v>
      </c>
      <c r="K1732" t="str">
        <f t="shared" si="110"/>
        <v>Nov-2025</v>
      </c>
      <c r="L1732" t="str">
        <f t="shared" si="111"/>
        <v>High</v>
      </c>
    </row>
    <row r="1733" spans="1:12" x14ac:dyDescent="0.3">
      <c r="A1733">
        <v>2025</v>
      </c>
      <c r="B1733" s="2" t="s">
        <v>27</v>
      </c>
      <c r="C1733" t="s">
        <v>16</v>
      </c>
      <c r="D1733" t="s">
        <v>11</v>
      </c>
      <c r="E1733">
        <v>2.38</v>
      </c>
      <c r="F1733">
        <v>174</v>
      </c>
      <c r="G1733">
        <v>5.01</v>
      </c>
      <c r="H1733" s="3">
        <f t="shared" si="108"/>
        <v>45962</v>
      </c>
      <c r="I1733">
        <f>MONTH(Table1[[#This Row],[Date]])</f>
        <v>11</v>
      </c>
      <c r="J1733" t="str">
        <f t="shared" si="109"/>
        <v>Q4</v>
      </c>
      <c r="K1733" t="str">
        <f t="shared" si="110"/>
        <v>Nov-2025</v>
      </c>
      <c r="L1733" t="str">
        <f t="shared" si="111"/>
        <v>High</v>
      </c>
    </row>
    <row r="1734" spans="1:12" x14ac:dyDescent="0.3">
      <c r="A1734">
        <v>2025</v>
      </c>
      <c r="B1734" s="2" t="s">
        <v>27</v>
      </c>
      <c r="C1734" t="s">
        <v>16</v>
      </c>
      <c r="D1734" t="s">
        <v>12</v>
      </c>
      <c r="E1734">
        <v>6.53</v>
      </c>
      <c r="F1734">
        <v>176</v>
      </c>
      <c r="G1734">
        <v>5.09</v>
      </c>
      <c r="H1734" s="3">
        <f t="shared" si="108"/>
        <v>45962</v>
      </c>
      <c r="I1734">
        <f>MONTH(Table1[[#This Row],[Date]])</f>
        <v>11</v>
      </c>
      <c r="J1734" t="str">
        <f t="shared" si="109"/>
        <v>Q4</v>
      </c>
      <c r="K1734" t="str">
        <f t="shared" si="110"/>
        <v>Nov-2025</v>
      </c>
      <c r="L1734" t="str">
        <f t="shared" si="111"/>
        <v>High</v>
      </c>
    </row>
    <row r="1735" spans="1:12" x14ac:dyDescent="0.3">
      <c r="A1735">
        <v>2025</v>
      </c>
      <c r="B1735" s="2" t="s">
        <v>27</v>
      </c>
      <c r="C1735" t="s">
        <v>16</v>
      </c>
      <c r="D1735" t="s">
        <v>13</v>
      </c>
      <c r="E1735">
        <v>10.07</v>
      </c>
      <c r="F1735">
        <v>178</v>
      </c>
      <c r="G1735">
        <v>5.17</v>
      </c>
      <c r="H1735" s="3">
        <f t="shared" si="108"/>
        <v>45962</v>
      </c>
      <c r="I1735">
        <f>MONTH(Table1[[#This Row],[Date]])</f>
        <v>11</v>
      </c>
      <c r="J1735" t="str">
        <f t="shared" si="109"/>
        <v>Q4</v>
      </c>
      <c r="K1735" t="str">
        <f t="shared" si="110"/>
        <v>Nov-2025</v>
      </c>
      <c r="L1735" t="str">
        <f t="shared" si="111"/>
        <v>High</v>
      </c>
    </row>
    <row r="1736" spans="1:12" x14ac:dyDescent="0.3">
      <c r="A1736">
        <v>2025</v>
      </c>
      <c r="B1736" s="2" t="s">
        <v>27</v>
      </c>
      <c r="C1736" t="s">
        <v>16</v>
      </c>
      <c r="D1736" t="s">
        <v>14</v>
      </c>
      <c r="E1736">
        <v>6.84</v>
      </c>
      <c r="F1736">
        <v>180</v>
      </c>
      <c r="G1736">
        <v>5.25</v>
      </c>
      <c r="H1736" s="3">
        <f t="shared" si="108"/>
        <v>45962</v>
      </c>
      <c r="I1736">
        <f>MONTH(Table1[[#This Row],[Date]])</f>
        <v>11</v>
      </c>
      <c r="J1736" t="str">
        <f t="shared" si="109"/>
        <v>Q4</v>
      </c>
      <c r="K1736" t="str">
        <f t="shared" si="110"/>
        <v>Nov-2025</v>
      </c>
      <c r="L1736" t="str">
        <f t="shared" si="111"/>
        <v>High</v>
      </c>
    </row>
    <row r="1737" spans="1:12" x14ac:dyDescent="0.3">
      <c r="A1737">
        <v>2025</v>
      </c>
      <c r="B1737" s="2" t="s">
        <v>27</v>
      </c>
      <c r="C1737" t="s">
        <v>16</v>
      </c>
      <c r="D1737" t="s">
        <v>15</v>
      </c>
      <c r="E1737">
        <v>28.32</v>
      </c>
      <c r="F1737">
        <v>182</v>
      </c>
      <c r="G1737">
        <v>5.33</v>
      </c>
      <c r="H1737" s="3">
        <f t="shared" si="108"/>
        <v>45962</v>
      </c>
      <c r="I1737">
        <f>MONTH(Table1[[#This Row],[Date]])</f>
        <v>11</v>
      </c>
      <c r="J1737" t="str">
        <f t="shared" si="109"/>
        <v>Q4</v>
      </c>
      <c r="K1737" t="str">
        <f t="shared" si="110"/>
        <v>Nov-2025</v>
      </c>
      <c r="L1737" t="str">
        <f t="shared" si="111"/>
        <v>High</v>
      </c>
    </row>
    <row r="1738" spans="1:12" x14ac:dyDescent="0.3">
      <c r="A1738">
        <v>2025</v>
      </c>
      <c r="B1738" s="2" t="s">
        <v>27</v>
      </c>
      <c r="C1738" t="s">
        <v>17</v>
      </c>
      <c r="D1738" t="s">
        <v>9</v>
      </c>
      <c r="E1738">
        <v>100</v>
      </c>
      <c r="F1738">
        <v>170.6</v>
      </c>
      <c r="G1738">
        <v>4.8499999999999996</v>
      </c>
      <c r="H1738" s="3">
        <f t="shared" si="108"/>
        <v>45962</v>
      </c>
      <c r="I1738">
        <f>MONTH(Table1[[#This Row],[Date]])</f>
        <v>11</v>
      </c>
      <c r="J1738" t="str">
        <f t="shared" si="109"/>
        <v>Q4</v>
      </c>
      <c r="K1738" t="str">
        <f t="shared" si="110"/>
        <v>Nov-2025</v>
      </c>
      <c r="L1738" t="str">
        <f t="shared" si="111"/>
        <v>High</v>
      </c>
    </row>
    <row r="1739" spans="1:12" x14ac:dyDescent="0.3">
      <c r="A1739">
        <v>2025</v>
      </c>
      <c r="B1739" s="2" t="s">
        <v>27</v>
      </c>
      <c r="C1739" t="s">
        <v>17</v>
      </c>
      <c r="D1739" t="s">
        <v>10</v>
      </c>
      <c r="E1739">
        <v>45.86</v>
      </c>
      <c r="F1739">
        <v>172.6</v>
      </c>
      <c r="G1739">
        <v>4.93</v>
      </c>
      <c r="H1739" s="3">
        <f t="shared" si="108"/>
        <v>45962</v>
      </c>
      <c r="I1739">
        <f>MONTH(Table1[[#This Row],[Date]])</f>
        <v>11</v>
      </c>
      <c r="J1739" t="str">
        <f t="shared" si="109"/>
        <v>Q4</v>
      </c>
      <c r="K1739" t="str">
        <f t="shared" si="110"/>
        <v>Nov-2025</v>
      </c>
      <c r="L1739" t="str">
        <f t="shared" si="111"/>
        <v>High</v>
      </c>
    </row>
    <row r="1740" spans="1:12" x14ac:dyDescent="0.3">
      <c r="A1740">
        <v>2025</v>
      </c>
      <c r="B1740" s="2" t="s">
        <v>27</v>
      </c>
      <c r="C1740" t="s">
        <v>17</v>
      </c>
      <c r="D1740" t="s">
        <v>11</v>
      </c>
      <c r="E1740">
        <v>2.38</v>
      </c>
      <c r="F1740">
        <v>174.6</v>
      </c>
      <c r="G1740">
        <v>5.01</v>
      </c>
      <c r="H1740" s="3">
        <f t="shared" si="108"/>
        <v>45962</v>
      </c>
      <c r="I1740">
        <f>MONTH(Table1[[#This Row],[Date]])</f>
        <v>11</v>
      </c>
      <c r="J1740" t="str">
        <f t="shared" si="109"/>
        <v>Q4</v>
      </c>
      <c r="K1740" t="str">
        <f t="shared" si="110"/>
        <v>Nov-2025</v>
      </c>
      <c r="L1740" t="str">
        <f t="shared" si="111"/>
        <v>High</v>
      </c>
    </row>
    <row r="1741" spans="1:12" x14ac:dyDescent="0.3">
      <c r="A1741">
        <v>2025</v>
      </c>
      <c r="B1741" s="2" t="s">
        <v>27</v>
      </c>
      <c r="C1741" t="s">
        <v>17</v>
      </c>
      <c r="D1741" t="s">
        <v>12</v>
      </c>
      <c r="E1741">
        <v>6.53</v>
      </c>
      <c r="F1741">
        <v>176.6</v>
      </c>
      <c r="G1741">
        <v>5.09</v>
      </c>
      <c r="H1741" s="3">
        <f t="shared" si="108"/>
        <v>45962</v>
      </c>
      <c r="I1741">
        <f>MONTH(Table1[[#This Row],[Date]])</f>
        <v>11</v>
      </c>
      <c r="J1741" t="str">
        <f t="shared" si="109"/>
        <v>Q4</v>
      </c>
      <c r="K1741" t="str">
        <f t="shared" si="110"/>
        <v>Nov-2025</v>
      </c>
      <c r="L1741" t="str">
        <f t="shared" si="111"/>
        <v>High</v>
      </c>
    </row>
    <row r="1742" spans="1:12" x14ac:dyDescent="0.3">
      <c r="A1742">
        <v>2025</v>
      </c>
      <c r="B1742" s="2" t="s">
        <v>27</v>
      </c>
      <c r="C1742" t="s">
        <v>17</v>
      </c>
      <c r="D1742" t="s">
        <v>13</v>
      </c>
      <c r="E1742">
        <v>10.07</v>
      </c>
      <c r="F1742">
        <v>178.6</v>
      </c>
      <c r="G1742">
        <v>5.17</v>
      </c>
      <c r="H1742" s="3">
        <f t="shared" si="108"/>
        <v>45962</v>
      </c>
      <c r="I1742">
        <f>MONTH(Table1[[#This Row],[Date]])</f>
        <v>11</v>
      </c>
      <c r="J1742" t="str">
        <f t="shared" si="109"/>
        <v>Q4</v>
      </c>
      <c r="K1742" t="str">
        <f t="shared" si="110"/>
        <v>Nov-2025</v>
      </c>
      <c r="L1742" t="str">
        <f t="shared" si="111"/>
        <v>High</v>
      </c>
    </row>
    <row r="1743" spans="1:12" x14ac:dyDescent="0.3">
      <c r="A1743">
        <v>2025</v>
      </c>
      <c r="B1743" s="2" t="s">
        <v>27</v>
      </c>
      <c r="C1743" t="s">
        <v>17</v>
      </c>
      <c r="D1743" t="s">
        <v>14</v>
      </c>
      <c r="E1743">
        <v>6.84</v>
      </c>
      <c r="F1743">
        <v>180.6</v>
      </c>
      <c r="G1743">
        <v>5.25</v>
      </c>
      <c r="H1743" s="3">
        <f t="shared" si="108"/>
        <v>45962</v>
      </c>
      <c r="I1743">
        <f>MONTH(Table1[[#This Row],[Date]])</f>
        <v>11</v>
      </c>
      <c r="J1743" t="str">
        <f t="shared" si="109"/>
        <v>Q4</v>
      </c>
      <c r="K1743" t="str">
        <f t="shared" si="110"/>
        <v>Nov-2025</v>
      </c>
      <c r="L1743" t="str">
        <f t="shared" si="111"/>
        <v>High</v>
      </c>
    </row>
    <row r="1744" spans="1:12" x14ac:dyDescent="0.3">
      <c r="A1744">
        <v>2025</v>
      </c>
      <c r="B1744" s="2" t="s">
        <v>27</v>
      </c>
      <c r="C1744" t="s">
        <v>17</v>
      </c>
      <c r="D1744" t="s">
        <v>15</v>
      </c>
      <c r="E1744">
        <v>28.32</v>
      </c>
      <c r="F1744">
        <v>182.6</v>
      </c>
      <c r="G1744">
        <v>5.33</v>
      </c>
      <c r="H1744" s="3">
        <f t="shared" si="108"/>
        <v>45962</v>
      </c>
      <c r="I1744">
        <f>MONTH(Table1[[#This Row],[Date]])</f>
        <v>11</v>
      </c>
      <c r="J1744" t="str">
        <f t="shared" si="109"/>
        <v>Q4</v>
      </c>
      <c r="K1744" t="str">
        <f t="shared" si="110"/>
        <v>Nov-2025</v>
      </c>
      <c r="L1744" t="str">
        <f t="shared" si="111"/>
        <v>High</v>
      </c>
    </row>
    <row r="1745" spans="1:12" x14ac:dyDescent="0.3">
      <c r="A1745">
        <v>2025</v>
      </c>
      <c r="B1745" s="2" t="s">
        <v>28</v>
      </c>
      <c r="C1745" t="s">
        <v>8</v>
      </c>
      <c r="D1745" t="s">
        <v>9</v>
      </c>
      <c r="E1745">
        <v>100</v>
      </c>
      <c r="F1745">
        <v>169.8</v>
      </c>
      <c r="G1745">
        <v>4.0999999999999996</v>
      </c>
      <c r="H1745" s="3">
        <f t="shared" si="108"/>
        <v>45992</v>
      </c>
      <c r="I1745">
        <f>MONTH(Table1[[#This Row],[Date]])</f>
        <v>12</v>
      </c>
      <c r="J1745" t="str">
        <f t="shared" si="109"/>
        <v>Q4</v>
      </c>
      <c r="K1745" t="str">
        <f t="shared" si="110"/>
        <v>Dec-2025</v>
      </c>
      <c r="L1745" t="str">
        <f t="shared" si="111"/>
        <v>High</v>
      </c>
    </row>
    <row r="1746" spans="1:12" x14ac:dyDescent="0.3">
      <c r="A1746">
        <v>2025</v>
      </c>
      <c r="B1746" s="2" t="s">
        <v>28</v>
      </c>
      <c r="C1746" t="s">
        <v>8</v>
      </c>
      <c r="D1746" t="s">
        <v>10</v>
      </c>
      <c r="E1746">
        <v>45.86</v>
      </c>
      <c r="F1746">
        <v>171.8</v>
      </c>
      <c r="G1746">
        <v>4.18</v>
      </c>
      <c r="H1746" s="3">
        <f t="shared" si="108"/>
        <v>45992</v>
      </c>
      <c r="I1746">
        <f>MONTH(Table1[[#This Row],[Date]])</f>
        <v>12</v>
      </c>
      <c r="J1746" t="str">
        <f t="shared" si="109"/>
        <v>Q4</v>
      </c>
      <c r="K1746" t="str">
        <f t="shared" si="110"/>
        <v>Dec-2025</v>
      </c>
      <c r="L1746" t="str">
        <f t="shared" si="111"/>
        <v>High</v>
      </c>
    </row>
    <row r="1747" spans="1:12" x14ac:dyDescent="0.3">
      <c r="A1747">
        <v>2025</v>
      </c>
      <c r="B1747" s="2" t="s">
        <v>28</v>
      </c>
      <c r="C1747" t="s">
        <v>8</v>
      </c>
      <c r="D1747" t="s">
        <v>11</v>
      </c>
      <c r="E1747">
        <v>2.38</v>
      </c>
      <c r="F1747">
        <v>173.8</v>
      </c>
      <c r="G1747">
        <v>4.26</v>
      </c>
      <c r="H1747" s="3">
        <f t="shared" si="108"/>
        <v>45992</v>
      </c>
      <c r="I1747">
        <f>MONTH(Table1[[#This Row],[Date]])</f>
        <v>12</v>
      </c>
      <c r="J1747" t="str">
        <f t="shared" si="109"/>
        <v>Q4</v>
      </c>
      <c r="K1747" t="str">
        <f t="shared" si="110"/>
        <v>Dec-2025</v>
      </c>
      <c r="L1747" t="str">
        <f t="shared" si="111"/>
        <v>High</v>
      </c>
    </row>
    <row r="1748" spans="1:12" x14ac:dyDescent="0.3">
      <c r="A1748">
        <v>2025</v>
      </c>
      <c r="B1748" s="2" t="s">
        <v>28</v>
      </c>
      <c r="C1748" t="s">
        <v>8</v>
      </c>
      <c r="D1748" t="s">
        <v>12</v>
      </c>
      <c r="E1748">
        <v>6.53</v>
      </c>
      <c r="F1748">
        <v>175.8</v>
      </c>
      <c r="G1748">
        <v>4.34</v>
      </c>
      <c r="H1748" s="3">
        <f t="shared" si="108"/>
        <v>45992</v>
      </c>
      <c r="I1748">
        <f>MONTH(Table1[[#This Row],[Date]])</f>
        <v>12</v>
      </c>
      <c r="J1748" t="str">
        <f t="shared" si="109"/>
        <v>Q4</v>
      </c>
      <c r="K1748" t="str">
        <f t="shared" si="110"/>
        <v>Dec-2025</v>
      </c>
      <c r="L1748" t="str">
        <f t="shared" si="111"/>
        <v>High</v>
      </c>
    </row>
    <row r="1749" spans="1:12" x14ac:dyDescent="0.3">
      <c r="A1749">
        <v>2025</v>
      </c>
      <c r="B1749" s="2" t="s">
        <v>28</v>
      </c>
      <c r="C1749" t="s">
        <v>8</v>
      </c>
      <c r="D1749" t="s">
        <v>13</v>
      </c>
      <c r="E1749">
        <v>10.07</v>
      </c>
      <c r="F1749">
        <v>177.8</v>
      </c>
      <c r="G1749">
        <v>4.42</v>
      </c>
      <c r="H1749" s="3">
        <f t="shared" si="108"/>
        <v>45992</v>
      </c>
      <c r="I1749">
        <f>MONTH(Table1[[#This Row],[Date]])</f>
        <v>12</v>
      </c>
      <c r="J1749" t="str">
        <f t="shared" si="109"/>
        <v>Q4</v>
      </c>
      <c r="K1749" t="str">
        <f t="shared" si="110"/>
        <v>Dec-2025</v>
      </c>
      <c r="L1749" t="str">
        <f t="shared" si="111"/>
        <v>High</v>
      </c>
    </row>
    <row r="1750" spans="1:12" x14ac:dyDescent="0.3">
      <c r="A1750">
        <v>2025</v>
      </c>
      <c r="B1750" s="2" t="s">
        <v>28</v>
      </c>
      <c r="C1750" t="s">
        <v>8</v>
      </c>
      <c r="D1750" t="s">
        <v>14</v>
      </c>
      <c r="E1750">
        <v>6.84</v>
      </c>
      <c r="F1750">
        <v>179.8</v>
      </c>
      <c r="G1750">
        <v>4.5</v>
      </c>
      <c r="H1750" s="3">
        <f t="shared" si="108"/>
        <v>45992</v>
      </c>
      <c r="I1750">
        <f>MONTH(Table1[[#This Row],[Date]])</f>
        <v>12</v>
      </c>
      <c r="J1750" t="str">
        <f t="shared" si="109"/>
        <v>Q4</v>
      </c>
      <c r="K1750" t="str">
        <f t="shared" si="110"/>
        <v>Dec-2025</v>
      </c>
      <c r="L1750" t="str">
        <f t="shared" si="111"/>
        <v>High</v>
      </c>
    </row>
    <row r="1751" spans="1:12" x14ac:dyDescent="0.3">
      <c r="A1751">
        <v>2025</v>
      </c>
      <c r="B1751" s="2" t="s">
        <v>28</v>
      </c>
      <c r="C1751" t="s">
        <v>8</v>
      </c>
      <c r="D1751" t="s">
        <v>15</v>
      </c>
      <c r="E1751">
        <v>28.32</v>
      </c>
      <c r="F1751">
        <v>181.8</v>
      </c>
      <c r="G1751">
        <v>4.58</v>
      </c>
      <c r="H1751" s="3">
        <f t="shared" si="108"/>
        <v>45992</v>
      </c>
      <c r="I1751">
        <f>MONTH(Table1[[#This Row],[Date]])</f>
        <v>12</v>
      </c>
      <c r="J1751" t="str">
        <f t="shared" si="109"/>
        <v>Q4</v>
      </c>
      <c r="K1751" t="str">
        <f t="shared" si="110"/>
        <v>Dec-2025</v>
      </c>
      <c r="L1751" t="str">
        <f t="shared" si="111"/>
        <v>High</v>
      </c>
    </row>
    <row r="1752" spans="1:12" x14ac:dyDescent="0.3">
      <c r="A1752">
        <v>2025</v>
      </c>
      <c r="B1752" s="2" t="s">
        <v>28</v>
      </c>
      <c r="C1752" t="s">
        <v>16</v>
      </c>
      <c r="D1752" t="s">
        <v>9</v>
      </c>
      <c r="E1752">
        <v>100</v>
      </c>
      <c r="F1752">
        <v>170.4</v>
      </c>
      <c r="G1752">
        <v>4.0999999999999996</v>
      </c>
      <c r="H1752" s="3">
        <f t="shared" si="108"/>
        <v>45992</v>
      </c>
      <c r="I1752">
        <f>MONTH(Table1[[#This Row],[Date]])</f>
        <v>12</v>
      </c>
      <c r="J1752" t="str">
        <f t="shared" si="109"/>
        <v>Q4</v>
      </c>
      <c r="K1752" t="str">
        <f t="shared" si="110"/>
        <v>Dec-2025</v>
      </c>
      <c r="L1752" t="str">
        <f t="shared" si="111"/>
        <v>High</v>
      </c>
    </row>
    <row r="1753" spans="1:12" x14ac:dyDescent="0.3">
      <c r="A1753">
        <v>2025</v>
      </c>
      <c r="B1753" s="2" t="s">
        <v>28</v>
      </c>
      <c r="C1753" t="s">
        <v>16</v>
      </c>
      <c r="D1753" t="s">
        <v>10</v>
      </c>
      <c r="E1753">
        <v>45.86</v>
      </c>
      <c r="F1753">
        <v>172.4</v>
      </c>
      <c r="G1753">
        <v>4.18</v>
      </c>
      <c r="H1753" s="3">
        <f t="shared" si="108"/>
        <v>45992</v>
      </c>
      <c r="I1753">
        <f>MONTH(Table1[[#This Row],[Date]])</f>
        <v>12</v>
      </c>
      <c r="J1753" t="str">
        <f t="shared" si="109"/>
        <v>Q4</v>
      </c>
      <c r="K1753" t="str">
        <f t="shared" si="110"/>
        <v>Dec-2025</v>
      </c>
      <c r="L1753" t="str">
        <f t="shared" si="111"/>
        <v>High</v>
      </c>
    </row>
    <row r="1754" spans="1:12" x14ac:dyDescent="0.3">
      <c r="A1754">
        <v>2025</v>
      </c>
      <c r="B1754" s="2" t="s">
        <v>28</v>
      </c>
      <c r="C1754" t="s">
        <v>16</v>
      </c>
      <c r="D1754" t="s">
        <v>11</v>
      </c>
      <c r="E1754">
        <v>2.38</v>
      </c>
      <c r="F1754">
        <v>174.4</v>
      </c>
      <c r="G1754">
        <v>4.26</v>
      </c>
      <c r="H1754" s="3">
        <f t="shared" si="108"/>
        <v>45992</v>
      </c>
      <c r="I1754">
        <f>MONTH(Table1[[#This Row],[Date]])</f>
        <v>12</v>
      </c>
      <c r="J1754" t="str">
        <f t="shared" si="109"/>
        <v>Q4</v>
      </c>
      <c r="K1754" t="str">
        <f t="shared" si="110"/>
        <v>Dec-2025</v>
      </c>
      <c r="L1754" t="str">
        <f t="shared" si="111"/>
        <v>High</v>
      </c>
    </row>
    <row r="1755" spans="1:12" x14ac:dyDescent="0.3">
      <c r="A1755">
        <v>2025</v>
      </c>
      <c r="B1755" s="2" t="s">
        <v>28</v>
      </c>
      <c r="C1755" t="s">
        <v>16</v>
      </c>
      <c r="D1755" t="s">
        <v>12</v>
      </c>
      <c r="E1755">
        <v>6.53</v>
      </c>
      <c r="F1755">
        <v>176.4</v>
      </c>
      <c r="G1755">
        <v>4.34</v>
      </c>
      <c r="H1755" s="3">
        <f t="shared" si="108"/>
        <v>45992</v>
      </c>
      <c r="I1755">
        <f>MONTH(Table1[[#This Row],[Date]])</f>
        <v>12</v>
      </c>
      <c r="J1755" t="str">
        <f t="shared" si="109"/>
        <v>Q4</v>
      </c>
      <c r="K1755" t="str">
        <f t="shared" si="110"/>
        <v>Dec-2025</v>
      </c>
      <c r="L1755" t="str">
        <f t="shared" si="111"/>
        <v>High</v>
      </c>
    </row>
    <row r="1756" spans="1:12" x14ac:dyDescent="0.3">
      <c r="A1756">
        <v>2025</v>
      </c>
      <c r="B1756" s="2" t="s">
        <v>28</v>
      </c>
      <c r="C1756" t="s">
        <v>16</v>
      </c>
      <c r="D1756" t="s">
        <v>13</v>
      </c>
      <c r="E1756">
        <v>10.07</v>
      </c>
      <c r="F1756">
        <v>178.4</v>
      </c>
      <c r="G1756">
        <v>4.42</v>
      </c>
      <c r="H1756" s="3">
        <f t="shared" si="108"/>
        <v>45992</v>
      </c>
      <c r="I1756">
        <f>MONTH(Table1[[#This Row],[Date]])</f>
        <v>12</v>
      </c>
      <c r="J1756" t="str">
        <f t="shared" si="109"/>
        <v>Q4</v>
      </c>
      <c r="K1756" t="str">
        <f t="shared" si="110"/>
        <v>Dec-2025</v>
      </c>
      <c r="L1756" t="str">
        <f t="shared" si="111"/>
        <v>High</v>
      </c>
    </row>
    <row r="1757" spans="1:12" x14ac:dyDescent="0.3">
      <c r="A1757">
        <v>2025</v>
      </c>
      <c r="B1757" s="2" t="s">
        <v>28</v>
      </c>
      <c r="C1757" t="s">
        <v>16</v>
      </c>
      <c r="D1757" t="s">
        <v>14</v>
      </c>
      <c r="E1757">
        <v>6.84</v>
      </c>
      <c r="F1757">
        <v>180.4</v>
      </c>
      <c r="G1757">
        <v>4.5</v>
      </c>
      <c r="H1757" s="3">
        <f t="shared" si="108"/>
        <v>45992</v>
      </c>
      <c r="I1757">
        <f>MONTH(Table1[[#This Row],[Date]])</f>
        <v>12</v>
      </c>
      <c r="J1757" t="str">
        <f t="shared" si="109"/>
        <v>Q4</v>
      </c>
      <c r="K1757" t="str">
        <f t="shared" si="110"/>
        <v>Dec-2025</v>
      </c>
      <c r="L1757" t="str">
        <f t="shared" si="111"/>
        <v>High</v>
      </c>
    </row>
    <row r="1758" spans="1:12" x14ac:dyDescent="0.3">
      <c r="A1758">
        <v>2025</v>
      </c>
      <c r="B1758" s="2" t="s">
        <v>28</v>
      </c>
      <c r="C1758" t="s">
        <v>16</v>
      </c>
      <c r="D1758" t="s">
        <v>15</v>
      </c>
      <c r="E1758">
        <v>28.32</v>
      </c>
      <c r="F1758">
        <v>182.4</v>
      </c>
      <c r="G1758">
        <v>4.58</v>
      </c>
      <c r="H1758" s="3">
        <f t="shared" si="108"/>
        <v>45992</v>
      </c>
      <c r="I1758">
        <f>MONTH(Table1[[#This Row],[Date]])</f>
        <v>12</v>
      </c>
      <c r="J1758" t="str">
        <f t="shared" si="109"/>
        <v>Q4</v>
      </c>
      <c r="K1758" t="str">
        <f t="shared" si="110"/>
        <v>Dec-2025</v>
      </c>
      <c r="L1758" t="str">
        <f t="shared" si="111"/>
        <v>High</v>
      </c>
    </row>
    <row r="1759" spans="1:12" x14ac:dyDescent="0.3">
      <c r="A1759">
        <v>2025</v>
      </c>
      <c r="B1759" s="2" t="s">
        <v>28</v>
      </c>
      <c r="C1759" t="s">
        <v>17</v>
      </c>
      <c r="D1759" t="s">
        <v>9</v>
      </c>
      <c r="E1759">
        <v>100</v>
      </c>
      <c r="F1759">
        <v>171</v>
      </c>
      <c r="G1759">
        <v>4.0999999999999996</v>
      </c>
      <c r="H1759" s="3">
        <f t="shared" si="108"/>
        <v>45992</v>
      </c>
      <c r="I1759">
        <f>MONTH(Table1[[#This Row],[Date]])</f>
        <v>12</v>
      </c>
      <c r="J1759" t="str">
        <f t="shared" si="109"/>
        <v>Q4</v>
      </c>
      <c r="K1759" t="str">
        <f t="shared" si="110"/>
        <v>Dec-2025</v>
      </c>
      <c r="L1759" t="str">
        <f t="shared" si="111"/>
        <v>High</v>
      </c>
    </row>
    <row r="1760" spans="1:12" x14ac:dyDescent="0.3">
      <c r="A1760">
        <v>2025</v>
      </c>
      <c r="B1760" s="2" t="s">
        <v>28</v>
      </c>
      <c r="C1760" t="s">
        <v>17</v>
      </c>
      <c r="D1760" t="s">
        <v>10</v>
      </c>
      <c r="E1760">
        <v>45.86</v>
      </c>
      <c r="F1760">
        <v>173</v>
      </c>
      <c r="G1760">
        <v>4.18</v>
      </c>
      <c r="H1760" s="3">
        <f t="shared" si="108"/>
        <v>45992</v>
      </c>
      <c r="I1760">
        <f>MONTH(Table1[[#This Row],[Date]])</f>
        <v>12</v>
      </c>
      <c r="J1760" t="str">
        <f t="shared" si="109"/>
        <v>Q4</v>
      </c>
      <c r="K1760" t="str">
        <f t="shared" si="110"/>
        <v>Dec-2025</v>
      </c>
      <c r="L1760" t="str">
        <f t="shared" si="111"/>
        <v>High</v>
      </c>
    </row>
    <row r="1761" spans="1:12" x14ac:dyDescent="0.3">
      <c r="A1761">
        <v>2025</v>
      </c>
      <c r="B1761" s="2" t="s">
        <v>28</v>
      </c>
      <c r="C1761" t="s">
        <v>17</v>
      </c>
      <c r="D1761" t="s">
        <v>11</v>
      </c>
      <c r="E1761">
        <v>2.38</v>
      </c>
      <c r="F1761">
        <v>175</v>
      </c>
      <c r="G1761">
        <v>4.26</v>
      </c>
      <c r="H1761" s="3">
        <f t="shared" si="108"/>
        <v>45992</v>
      </c>
      <c r="I1761">
        <f>MONTH(Table1[[#This Row],[Date]])</f>
        <v>12</v>
      </c>
      <c r="J1761" t="str">
        <f t="shared" si="109"/>
        <v>Q4</v>
      </c>
      <c r="K1761" t="str">
        <f t="shared" si="110"/>
        <v>Dec-2025</v>
      </c>
      <c r="L1761" t="str">
        <f t="shared" si="111"/>
        <v>High</v>
      </c>
    </row>
    <row r="1762" spans="1:12" x14ac:dyDescent="0.3">
      <c r="A1762">
        <v>2025</v>
      </c>
      <c r="B1762" s="2" t="s">
        <v>28</v>
      </c>
      <c r="C1762" t="s">
        <v>17</v>
      </c>
      <c r="D1762" t="s">
        <v>12</v>
      </c>
      <c r="E1762">
        <v>6.53</v>
      </c>
      <c r="F1762">
        <v>177</v>
      </c>
      <c r="G1762">
        <v>4.34</v>
      </c>
      <c r="H1762" s="3">
        <f t="shared" si="108"/>
        <v>45992</v>
      </c>
      <c r="I1762">
        <f>MONTH(Table1[[#This Row],[Date]])</f>
        <v>12</v>
      </c>
      <c r="J1762" t="str">
        <f t="shared" si="109"/>
        <v>Q4</v>
      </c>
      <c r="K1762" t="str">
        <f t="shared" si="110"/>
        <v>Dec-2025</v>
      </c>
      <c r="L1762" t="str">
        <f t="shared" si="111"/>
        <v>High</v>
      </c>
    </row>
    <row r="1763" spans="1:12" x14ac:dyDescent="0.3">
      <c r="A1763">
        <v>2025</v>
      </c>
      <c r="B1763" s="2" t="s">
        <v>28</v>
      </c>
      <c r="C1763" t="s">
        <v>17</v>
      </c>
      <c r="D1763" t="s">
        <v>13</v>
      </c>
      <c r="E1763">
        <v>10.07</v>
      </c>
      <c r="F1763">
        <v>179</v>
      </c>
      <c r="G1763">
        <v>4.42</v>
      </c>
      <c r="H1763" s="3">
        <f t="shared" si="108"/>
        <v>45992</v>
      </c>
      <c r="I1763">
        <f>MONTH(Table1[[#This Row],[Date]])</f>
        <v>12</v>
      </c>
      <c r="J1763" t="str">
        <f t="shared" si="109"/>
        <v>Q4</v>
      </c>
      <c r="K1763" t="str">
        <f t="shared" si="110"/>
        <v>Dec-2025</v>
      </c>
      <c r="L1763" t="str">
        <f t="shared" si="111"/>
        <v>High</v>
      </c>
    </row>
    <row r="1764" spans="1:12" x14ac:dyDescent="0.3">
      <c r="A1764">
        <v>2025</v>
      </c>
      <c r="B1764" s="2" t="s">
        <v>28</v>
      </c>
      <c r="C1764" t="s">
        <v>17</v>
      </c>
      <c r="D1764" t="s">
        <v>14</v>
      </c>
      <c r="E1764">
        <v>6.84</v>
      </c>
      <c r="F1764">
        <v>181</v>
      </c>
      <c r="G1764">
        <v>4.5</v>
      </c>
      <c r="H1764" s="3">
        <f t="shared" si="108"/>
        <v>45992</v>
      </c>
      <c r="I1764">
        <f>MONTH(Table1[[#This Row],[Date]])</f>
        <v>12</v>
      </c>
      <c r="J1764" t="str">
        <f t="shared" si="109"/>
        <v>Q4</v>
      </c>
      <c r="K1764" t="str">
        <f t="shared" si="110"/>
        <v>Dec-2025</v>
      </c>
      <c r="L1764" t="str">
        <f t="shared" si="111"/>
        <v>High</v>
      </c>
    </row>
    <row r="1765" spans="1:12" x14ac:dyDescent="0.3">
      <c r="A1765">
        <v>2025</v>
      </c>
      <c r="B1765" s="2" t="s">
        <v>28</v>
      </c>
      <c r="C1765" t="s">
        <v>17</v>
      </c>
      <c r="D1765" t="s">
        <v>15</v>
      </c>
      <c r="E1765">
        <v>28.32</v>
      </c>
      <c r="F1765">
        <v>183</v>
      </c>
      <c r="G1765">
        <v>4.58</v>
      </c>
      <c r="H1765" s="3">
        <f t="shared" si="108"/>
        <v>45992</v>
      </c>
      <c r="I1765">
        <f>MONTH(Table1[[#This Row],[Date]])</f>
        <v>12</v>
      </c>
      <c r="J1765" t="str">
        <f t="shared" si="109"/>
        <v>Q4</v>
      </c>
      <c r="K1765" t="str">
        <f t="shared" si="110"/>
        <v>Dec-2025</v>
      </c>
      <c r="L1765" t="str">
        <f t="shared" si="111"/>
        <v>High</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88"/>
  <sheetViews>
    <sheetView zoomScale="58" workbookViewId="0">
      <selection activeCell="D17" sqref="D17:D23"/>
      <pivotSelection pane="bottomRight" showHeader="1" activeRow="16" activeCol="3" click="1" r:id="rId6">
        <pivotArea dataOnly="0" labelOnly="1" fieldPosition="0">
          <references count="1">
            <reference field="3" count="0"/>
          </references>
        </pivotArea>
      </pivotSelection>
    </sheetView>
  </sheetViews>
  <sheetFormatPr defaultRowHeight="14.4" x14ac:dyDescent="0.3"/>
  <cols>
    <col min="1" max="1" width="19.5546875" bestFit="1" customWidth="1"/>
    <col min="2" max="2" width="36.6640625" bestFit="1" customWidth="1"/>
    <col min="4" max="4" width="29" bestFit="1" customWidth="1"/>
    <col min="5" max="5" width="23.88671875" bestFit="1" customWidth="1"/>
    <col min="6" max="6" width="36.109375" bestFit="1" customWidth="1"/>
    <col min="7" max="7" width="18.88671875" bestFit="1" customWidth="1"/>
    <col min="8" max="8" width="31.109375" bestFit="1" customWidth="1"/>
    <col min="9" max="9" width="20" bestFit="1" customWidth="1"/>
    <col min="10" max="10" width="19.5546875" bestFit="1" customWidth="1"/>
    <col min="11" max="11" width="36.6640625" bestFit="1" customWidth="1"/>
  </cols>
  <sheetData>
    <row r="3" spans="1:8" x14ac:dyDescent="0.3">
      <c r="A3" s="4" t="s">
        <v>34</v>
      </c>
      <c r="B3" t="s">
        <v>120</v>
      </c>
      <c r="D3" s="4" t="s">
        <v>34</v>
      </c>
      <c r="E3" t="s">
        <v>121</v>
      </c>
      <c r="G3" s="4" t="s">
        <v>34</v>
      </c>
      <c r="H3" t="s">
        <v>121</v>
      </c>
    </row>
    <row r="4" spans="1:8" x14ac:dyDescent="0.3">
      <c r="A4" s="5" t="s">
        <v>35</v>
      </c>
      <c r="B4">
        <v>2.8399999999999994</v>
      </c>
      <c r="D4" s="5">
        <v>2019</v>
      </c>
      <c r="E4">
        <v>144.2000000000001</v>
      </c>
      <c r="G4" s="5" t="s">
        <v>12</v>
      </c>
      <c r="H4">
        <v>159.20000000000005</v>
      </c>
    </row>
    <row r="5" spans="1:8" x14ac:dyDescent="0.3">
      <c r="A5" s="5" t="s">
        <v>36</v>
      </c>
      <c r="B5">
        <v>3.1900000000000004</v>
      </c>
      <c r="D5" s="5">
        <v>2020</v>
      </c>
      <c r="E5">
        <v>149.2000000000001</v>
      </c>
      <c r="G5" s="5" t="s">
        <v>10</v>
      </c>
      <c r="H5">
        <v>155.20000000000002</v>
      </c>
    </row>
    <row r="6" spans="1:8" x14ac:dyDescent="0.3">
      <c r="A6" s="5" t="s">
        <v>37</v>
      </c>
      <c r="B6">
        <v>3.54</v>
      </c>
      <c r="D6" s="5">
        <v>2021</v>
      </c>
      <c r="E6">
        <v>154.20000000000013</v>
      </c>
      <c r="G6" s="5" t="s">
        <v>14</v>
      </c>
      <c r="H6">
        <v>163.20000000000005</v>
      </c>
    </row>
    <row r="7" spans="1:8" x14ac:dyDescent="0.3">
      <c r="A7" s="5" t="s">
        <v>38</v>
      </c>
      <c r="B7">
        <v>3.8899999999999992</v>
      </c>
      <c r="D7" s="5">
        <v>2022</v>
      </c>
      <c r="E7">
        <v>159.20000000000007</v>
      </c>
      <c r="G7" s="5" t="s">
        <v>9</v>
      </c>
      <c r="H7">
        <v>153.20000000000002</v>
      </c>
    </row>
    <row r="8" spans="1:8" x14ac:dyDescent="0.3">
      <c r="A8" s="5" t="s">
        <v>39</v>
      </c>
      <c r="B8">
        <v>4.24</v>
      </c>
      <c r="D8" s="5">
        <v>2023</v>
      </c>
      <c r="E8">
        <v>164.20000000000005</v>
      </c>
      <c r="G8" s="5" t="s">
        <v>13</v>
      </c>
      <c r="H8">
        <v>161.20000000000002</v>
      </c>
    </row>
    <row r="9" spans="1:8" x14ac:dyDescent="0.3">
      <c r="A9" s="5" t="s">
        <v>40</v>
      </c>
      <c r="B9">
        <v>4.59</v>
      </c>
      <c r="D9" s="5">
        <v>2024</v>
      </c>
      <c r="E9">
        <v>169.20000000000005</v>
      </c>
      <c r="G9" s="5" t="s">
        <v>15</v>
      </c>
      <c r="H9">
        <v>165.20000000000005</v>
      </c>
    </row>
    <row r="10" spans="1:8" x14ac:dyDescent="0.3">
      <c r="A10" s="5" t="s">
        <v>41</v>
      </c>
      <c r="B10">
        <v>4.9399999999999995</v>
      </c>
      <c r="D10" s="5">
        <v>2025</v>
      </c>
      <c r="E10">
        <v>174.20000000000002</v>
      </c>
      <c r="G10" s="5" t="s">
        <v>11</v>
      </c>
      <c r="H10">
        <v>157.20000000000005</v>
      </c>
    </row>
    <row r="11" spans="1:8" x14ac:dyDescent="0.3">
      <c r="A11" s="5" t="s">
        <v>42</v>
      </c>
      <c r="B11">
        <v>2.54</v>
      </c>
      <c r="D11" s="5" t="s">
        <v>119</v>
      </c>
      <c r="E11">
        <v>159.19999999999976</v>
      </c>
      <c r="G11" s="5" t="s">
        <v>119</v>
      </c>
      <c r="H11">
        <v>159.19999999999979</v>
      </c>
    </row>
    <row r="12" spans="1:8" x14ac:dyDescent="0.3">
      <c r="A12" s="5" t="s">
        <v>43</v>
      </c>
      <c r="B12">
        <v>2.8899999999999997</v>
      </c>
    </row>
    <row r="13" spans="1:8" x14ac:dyDescent="0.3">
      <c r="A13" s="5" t="s">
        <v>44</v>
      </c>
      <c r="B13">
        <v>3.24</v>
      </c>
    </row>
    <row r="14" spans="1:8" x14ac:dyDescent="0.3">
      <c r="A14" s="5" t="s">
        <v>45</v>
      </c>
      <c r="B14">
        <v>3.5899999999999994</v>
      </c>
    </row>
    <row r="15" spans="1:8" x14ac:dyDescent="0.3">
      <c r="A15" s="5" t="s">
        <v>46</v>
      </c>
      <c r="B15">
        <v>3.9399999999999991</v>
      </c>
    </row>
    <row r="16" spans="1:8" x14ac:dyDescent="0.3">
      <c r="A16" s="5" t="s">
        <v>47</v>
      </c>
      <c r="B16">
        <v>4.29</v>
      </c>
      <c r="D16" s="4" t="s">
        <v>34</v>
      </c>
      <c r="E16" t="s">
        <v>122</v>
      </c>
      <c r="G16" s="4" t="s">
        <v>34</v>
      </c>
      <c r="H16" t="s">
        <v>123</v>
      </c>
    </row>
    <row r="17" spans="1:8" x14ac:dyDescent="0.3">
      <c r="A17" s="5" t="s">
        <v>48</v>
      </c>
      <c r="B17">
        <v>4.6399999999999997</v>
      </c>
      <c r="D17" s="5" t="s">
        <v>12</v>
      </c>
      <c r="E17" s="6">
        <v>6.5299999999999772</v>
      </c>
      <c r="G17" s="5">
        <v>2019</v>
      </c>
      <c r="H17" s="6">
        <v>3.23</v>
      </c>
    </row>
    <row r="18" spans="1:8" x14ac:dyDescent="0.3">
      <c r="A18" s="5" t="s">
        <v>49</v>
      </c>
      <c r="B18">
        <v>2.2399999999999998</v>
      </c>
      <c r="D18" s="5" t="s">
        <v>10</v>
      </c>
      <c r="E18" s="6">
        <v>45.86000000000007</v>
      </c>
      <c r="G18" s="5">
        <v>2020</v>
      </c>
      <c r="H18" s="6">
        <v>3.58</v>
      </c>
    </row>
    <row r="19" spans="1:8" x14ac:dyDescent="0.3">
      <c r="A19" s="5" t="s">
        <v>50</v>
      </c>
      <c r="B19">
        <v>2.59</v>
      </c>
      <c r="D19" s="5" t="s">
        <v>14</v>
      </c>
      <c r="E19" s="6">
        <v>6.8399999999999732</v>
      </c>
      <c r="G19" s="5">
        <v>2021</v>
      </c>
      <c r="H19" s="6">
        <v>3.93</v>
      </c>
    </row>
    <row r="20" spans="1:8" x14ac:dyDescent="0.3">
      <c r="A20" s="5" t="s">
        <v>51</v>
      </c>
      <c r="B20">
        <v>2.9400000000000004</v>
      </c>
      <c r="D20" s="5" t="s">
        <v>9</v>
      </c>
      <c r="E20" s="6">
        <v>100</v>
      </c>
      <c r="G20" s="5">
        <v>2022</v>
      </c>
      <c r="H20" s="6">
        <v>4.28</v>
      </c>
    </row>
    <row r="21" spans="1:8" x14ac:dyDescent="0.3">
      <c r="A21" s="5" t="s">
        <v>52</v>
      </c>
      <c r="B21">
        <v>3.29</v>
      </c>
      <c r="D21" s="5" t="s">
        <v>13</v>
      </c>
      <c r="E21" s="6">
        <v>10.070000000000014</v>
      </c>
      <c r="G21" s="5">
        <v>2023</v>
      </c>
      <c r="H21" s="6">
        <v>4.63</v>
      </c>
    </row>
    <row r="22" spans="1:8" x14ac:dyDescent="0.3">
      <c r="A22" s="5" t="s">
        <v>53</v>
      </c>
      <c r="B22">
        <v>3.6399999999999992</v>
      </c>
      <c r="D22" s="5" t="s">
        <v>15</v>
      </c>
      <c r="E22" s="6">
        <v>28.319999999999919</v>
      </c>
      <c r="G22" s="5">
        <v>2024</v>
      </c>
      <c r="H22" s="6">
        <v>4.9800000000000004</v>
      </c>
    </row>
    <row r="23" spans="1:8" x14ac:dyDescent="0.3">
      <c r="A23" s="5" t="s">
        <v>54</v>
      </c>
      <c r="B23">
        <v>3.99</v>
      </c>
      <c r="D23" s="5" t="s">
        <v>11</v>
      </c>
      <c r="E23" s="6">
        <v>2.3799999999999963</v>
      </c>
      <c r="G23" s="5">
        <v>2025</v>
      </c>
      <c r="H23" s="6">
        <v>5.33</v>
      </c>
    </row>
    <row r="24" spans="1:8" x14ac:dyDescent="0.3">
      <c r="A24" s="5" t="s">
        <v>55</v>
      </c>
      <c r="B24">
        <v>4.34</v>
      </c>
      <c r="D24" s="5" t="s">
        <v>119</v>
      </c>
      <c r="E24" s="6">
        <v>28.571428571428154</v>
      </c>
      <c r="G24" s="5" t="s">
        <v>119</v>
      </c>
      <c r="H24" s="6">
        <v>5.33</v>
      </c>
    </row>
    <row r="25" spans="1:8" x14ac:dyDescent="0.3">
      <c r="A25" s="5" t="s">
        <v>56</v>
      </c>
      <c r="B25">
        <v>2.54</v>
      </c>
    </row>
    <row r="26" spans="1:8" x14ac:dyDescent="0.3">
      <c r="A26" s="5" t="s">
        <v>57</v>
      </c>
      <c r="B26">
        <v>2.8899999999999997</v>
      </c>
    </row>
    <row r="27" spans="1:8" x14ac:dyDescent="0.3">
      <c r="A27" s="5" t="s">
        <v>58</v>
      </c>
      <c r="B27">
        <v>3.24</v>
      </c>
      <c r="D27" s="4" t="s">
        <v>34</v>
      </c>
      <c r="E27" t="s">
        <v>121</v>
      </c>
    </row>
    <row r="28" spans="1:8" x14ac:dyDescent="0.3">
      <c r="A28" s="5" t="s">
        <v>59</v>
      </c>
      <c r="B28">
        <v>3.5899999999999994</v>
      </c>
      <c r="D28" s="5" t="s">
        <v>17</v>
      </c>
      <c r="E28" s="6">
        <v>159.80000000000004</v>
      </c>
    </row>
    <row r="29" spans="1:8" x14ac:dyDescent="0.3">
      <c r="A29" s="5" t="s">
        <v>60</v>
      </c>
      <c r="B29">
        <v>3.9399999999999991</v>
      </c>
      <c r="D29" s="5" t="s">
        <v>8</v>
      </c>
      <c r="E29" s="6">
        <v>158.60000000000016</v>
      </c>
    </row>
    <row r="30" spans="1:8" x14ac:dyDescent="0.3">
      <c r="A30" s="5" t="s">
        <v>61</v>
      </c>
      <c r="B30">
        <v>4.29</v>
      </c>
      <c r="D30" s="5" t="s">
        <v>16</v>
      </c>
      <c r="E30" s="6">
        <v>159.19999999999987</v>
      </c>
    </row>
    <row r="31" spans="1:8" x14ac:dyDescent="0.3">
      <c r="A31" s="5" t="s">
        <v>62</v>
      </c>
      <c r="B31">
        <v>4.6399999999999997</v>
      </c>
      <c r="D31" s="5" t="s">
        <v>119</v>
      </c>
      <c r="E31" s="6">
        <v>159.19999999999962</v>
      </c>
    </row>
    <row r="32" spans="1:8" x14ac:dyDescent="0.3">
      <c r="A32" s="5" t="s">
        <v>63</v>
      </c>
      <c r="B32">
        <v>2.3899999999999997</v>
      </c>
    </row>
    <row r="33" spans="1:2" x14ac:dyDescent="0.3">
      <c r="A33" s="5" t="s">
        <v>64</v>
      </c>
      <c r="B33">
        <v>2.7399999999999998</v>
      </c>
    </row>
    <row r="34" spans="1:2" x14ac:dyDescent="0.3">
      <c r="A34" s="5" t="s">
        <v>65</v>
      </c>
      <c r="B34">
        <v>3.0899999999999994</v>
      </c>
    </row>
    <row r="35" spans="1:2" x14ac:dyDescent="0.3">
      <c r="A35" s="5" t="s">
        <v>66</v>
      </c>
      <c r="B35">
        <v>3.4400000000000004</v>
      </c>
    </row>
    <row r="36" spans="1:2" x14ac:dyDescent="0.3">
      <c r="A36" s="5" t="s">
        <v>67</v>
      </c>
      <c r="B36">
        <v>3.7900000000000009</v>
      </c>
    </row>
    <row r="37" spans="1:2" x14ac:dyDescent="0.3">
      <c r="A37" s="5" t="s">
        <v>68</v>
      </c>
      <c r="B37">
        <v>4.1399999999999988</v>
      </c>
    </row>
    <row r="38" spans="1:2" x14ac:dyDescent="0.3">
      <c r="A38" s="5" t="s">
        <v>69</v>
      </c>
      <c r="B38">
        <v>4.49</v>
      </c>
    </row>
    <row r="39" spans="1:2" x14ac:dyDescent="0.3">
      <c r="A39" s="5" t="s">
        <v>70</v>
      </c>
      <c r="B39">
        <v>2.3899999999999997</v>
      </c>
    </row>
    <row r="40" spans="1:2" x14ac:dyDescent="0.3">
      <c r="A40" s="5" t="s">
        <v>71</v>
      </c>
      <c r="B40">
        <v>2.7399999999999998</v>
      </c>
    </row>
    <row r="41" spans="1:2" x14ac:dyDescent="0.3">
      <c r="A41" s="5" t="s">
        <v>72</v>
      </c>
      <c r="B41">
        <v>3.0899999999999994</v>
      </c>
    </row>
    <row r="42" spans="1:2" x14ac:dyDescent="0.3">
      <c r="A42" s="5" t="s">
        <v>73</v>
      </c>
      <c r="B42">
        <v>3.4400000000000004</v>
      </c>
    </row>
    <row r="43" spans="1:2" x14ac:dyDescent="0.3">
      <c r="A43" s="5" t="s">
        <v>74</v>
      </c>
      <c r="B43">
        <v>3.7900000000000009</v>
      </c>
    </row>
    <row r="44" spans="1:2" x14ac:dyDescent="0.3">
      <c r="A44" s="5" t="s">
        <v>75</v>
      </c>
      <c r="B44">
        <v>4.1399999999999988</v>
      </c>
    </row>
    <row r="45" spans="1:2" x14ac:dyDescent="0.3">
      <c r="A45" s="5" t="s">
        <v>76</v>
      </c>
      <c r="B45">
        <v>4.49</v>
      </c>
    </row>
    <row r="46" spans="1:2" x14ac:dyDescent="0.3">
      <c r="A46" s="5" t="s">
        <v>77</v>
      </c>
      <c r="B46">
        <v>2.2399999999999998</v>
      </c>
    </row>
    <row r="47" spans="1:2" x14ac:dyDescent="0.3">
      <c r="A47" s="5" t="s">
        <v>78</v>
      </c>
      <c r="B47">
        <v>2.59</v>
      </c>
    </row>
    <row r="48" spans="1:2" x14ac:dyDescent="0.3">
      <c r="A48" s="5" t="s">
        <v>79</v>
      </c>
      <c r="B48">
        <v>2.9400000000000004</v>
      </c>
    </row>
    <row r="49" spans="1:2" x14ac:dyDescent="0.3">
      <c r="A49" s="5" t="s">
        <v>80</v>
      </c>
      <c r="B49">
        <v>3.29</v>
      </c>
    </row>
    <row r="50" spans="1:2" x14ac:dyDescent="0.3">
      <c r="A50" s="5" t="s">
        <v>81</v>
      </c>
      <c r="B50">
        <v>3.6399999999999992</v>
      </c>
    </row>
    <row r="51" spans="1:2" x14ac:dyDescent="0.3">
      <c r="A51" s="5" t="s">
        <v>82</v>
      </c>
      <c r="B51">
        <v>3.99</v>
      </c>
    </row>
    <row r="52" spans="1:2" x14ac:dyDescent="0.3">
      <c r="A52" s="5" t="s">
        <v>83</v>
      </c>
      <c r="B52">
        <v>4.34</v>
      </c>
    </row>
    <row r="53" spans="1:2" x14ac:dyDescent="0.3">
      <c r="A53" s="5" t="s">
        <v>84</v>
      </c>
      <c r="B53">
        <v>2.69</v>
      </c>
    </row>
    <row r="54" spans="1:2" x14ac:dyDescent="0.3">
      <c r="A54" s="5" t="s">
        <v>85</v>
      </c>
      <c r="B54">
        <v>3.04</v>
      </c>
    </row>
    <row r="55" spans="1:2" x14ac:dyDescent="0.3">
      <c r="A55" s="5" t="s">
        <v>86</v>
      </c>
      <c r="B55">
        <v>3.3899999999999997</v>
      </c>
    </row>
    <row r="56" spans="1:2" x14ac:dyDescent="0.3">
      <c r="A56" s="5" t="s">
        <v>87</v>
      </c>
      <c r="B56">
        <v>3.7399999999999998</v>
      </c>
    </row>
    <row r="57" spans="1:2" x14ac:dyDescent="0.3">
      <c r="A57" s="5" t="s">
        <v>88</v>
      </c>
      <c r="B57">
        <v>4.09</v>
      </c>
    </row>
    <row r="58" spans="1:2" x14ac:dyDescent="0.3">
      <c r="A58" s="5" t="s">
        <v>89</v>
      </c>
      <c r="B58">
        <v>4.4399999999999995</v>
      </c>
    </row>
    <row r="59" spans="1:2" x14ac:dyDescent="0.3">
      <c r="A59" s="5" t="s">
        <v>90</v>
      </c>
      <c r="B59">
        <v>4.79</v>
      </c>
    </row>
    <row r="60" spans="1:2" x14ac:dyDescent="0.3">
      <c r="A60" s="5" t="s">
        <v>91</v>
      </c>
      <c r="B60">
        <v>2.9899999999999998</v>
      </c>
    </row>
    <row r="61" spans="1:2" x14ac:dyDescent="0.3">
      <c r="A61" s="5" t="s">
        <v>92</v>
      </c>
      <c r="B61">
        <v>3.3399999999999994</v>
      </c>
    </row>
    <row r="62" spans="1:2" x14ac:dyDescent="0.3">
      <c r="A62" s="5" t="s">
        <v>93</v>
      </c>
      <c r="B62">
        <v>3.6900000000000004</v>
      </c>
    </row>
    <row r="63" spans="1:2" x14ac:dyDescent="0.3">
      <c r="A63" s="5" t="s">
        <v>94</v>
      </c>
      <c r="B63">
        <v>4.04</v>
      </c>
    </row>
    <row r="64" spans="1:2" x14ac:dyDescent="0.3">
      <c r="A64" s="5" t="s">
        <v>95</v>
      </c>
      <c r="B64">
        <v>4.3899999999999997</v>
      </c>
    </row>
    <row r="65" spans="1:2" x14ac:dyDescent="0.3">
      <c r="A65" s="5" t="s">
        <v>96</v>
      </c>
      <c r="B65">
        <v>4.74</v>
      </c>
    </row>
    <row r="66" spans="1:2" x14ac:dyDescent="0.3">
      <c r="A66" s="5" t="s">
        <v>97</v>
      </c>
      <c r="B66">
        <v>5.09</v>
      </c>
    </row>
    <row r="67" spans="1:2" x14ac:dyDescent="0.3">
      <c r="A67" s="5" t="s">
        <v>98</v>
      </c>
      <c r="B67">
        <v>2.9899999999999998</v>
      </c>
    </row>
    <row r="68" spans="1:2" x14ac:dyDescent="0.3">
      <c r="A68" s="5" t="s">
        <v>99</v>
      </c>
      <c r="B68">
        <v>3.3399999999999994</v>
      </c>
    </row>
    <row r="69" spans="1:2" x14ac:dyDescent="0.3">
      <c r="A69" s="5" t="s">
        <v>100</v>
      </c>
      <c r="B69">
        <v>3.6900000000000004</v>
      </c>
    </row>
    <row r="70" spans="1:2" x14ac:dyDescent="0.3">
      <c r="A70" s="5" t="s">
        <v>101</v>
      </c>
      <c r="B70">
        <v>4.04</v>
      </c>
    </row>
    <row r="71" spans="1:2" x14ac:dyDescent="0.3">
      <c r="A71" s="5" t="s">
        <v>102</v>
      </c>
      <c r="B71">
        <v>4.3899999999999997</v>
      </c>
    </row>
    <row r="72" spans="1:2" x14ac:dyDescent="0.3">
      <c r="A72" s="5" t="s">
        <v>103</v>
      </c>
      <c r="B72">
        <v>4.74</v>
      </c>
    </row>
    <row r="73" spans="1:2" x14ac:dyDescent="0.3">
      <c r="A73" s="5" t="s">
        <v>104</v>
      </c>
      <c r="B73">
        <v>5.09</v>
      </c>
    </row>
    <row r="74" spans="1:2" x14ac:dyDescent="0.3">
      <c r="A74" s="5" t="s">
        <v>105</v>
      </c>
      <c r="B74">
        <v>2.8399999999999994</v>
      </c>
    </row>
    <row r="75" spans="1:2" x14ac:dyDescent="0.3">
      <c r="A75" s="5" t="s">
        <v>106</v>
      </c>
      <c r="B75">
        <v>3.1900000000000004</v>
      </c>
    </row>
    <row r="76" spans="1:2" x14ac:dyDescent="0.3">
      <c r="A76" s="5" t="s">
        <v>107</v>
      </c>
      <c r="B76">
        <v>3.54</v>
      </c>
    </row>
    <row r="77" spans="1:2" x14ac:dyDescent="0.3">
      <c r="A77" s="5" t="s">
        <v>108</v>
      </c>
      <c r="B77">
        <v>3.8899999999999992</v>
      </c>
    </row>
    <row r="78" spans="1:2" x14ac:dyDescent="0.3">
      <c r="A78" s="5" t="s">
        <v>109</v>
      </c>
      <c r="B78">
        <v>4.24</v>
      </c>
    </row>
    <row r="79" spans="1:2" x14ac:dyDescent="0.3">
      <c r="A79" s="5" t="s">
        <v>110</v>
      </c>
      <c r="B79">
        <v>4.59</v>
      </c>
    </row>
    <row r="80" spans="1:2" x14ac:dyDescent="0.3">
      <c r="A80" s="5" t="s">
        <v>111</v>
      </c>
      <c r="B80">
        <v>4.9399999999999995</v>
      </c>
    </row>
    <row r="81" spans="1:2" x14ac:dyDescent="0.3">
      <c r="A81" s="5" t="s">
        <v>112</v>
      </c>
      <c r="B81">
        <v>2.69</v>
      </c>
    </row>
    <row r="82" spans="1:2" x14ac:dyDescent="0.3">
      <c r="A82" s="5" t="s">
        <v>113</v>
      </c>
      <c r="B82">
        <v>3.04</v>
      </c>
    </row>
    <row r="83" spans="1:2" x14ac:dyDescent="0.3">
      <c r="A83" s="5" t="s">
        <v>114</v>
      </c>
      <c r="B83">
        <v>3.3899999999999997</v>
      </c>
    </row>
    <row r="84" spans="1:2" x14ac:dyDescent="0.3">
      <c r="A84" s="5" t="s">
        <v>115</v>
      </c>
      <c r="B84">
        <v>3.7399999999999998</v>
      </c>
    </row>
    <row r="85" spans="1:2" x14ac:dyDescent="0.3">
      <c r="A85" s="5" t="s">
        <v>116</v>
      </c>
      <c r="B85">
        <v>4.09</v>
      </c>
    </row>
    <row r="86" spans="1:2" x14ac:dyDescent="0.3">
      <c r="A86" s="5" t="s">
        <v>117</v>
      </c>
      <c r="B86">
        <v>4.4399999999999995</v>
      </c>
    </row>
    <row r="87" spans="1:2" x14ac:dyDescent="0.3">
      <c r="A87" s="5" t="s">
        <v>118</v>
      </c>
      <c r="B87">
        <v>4.79</v>
      </c>
    </row>
    <row r="88" spans="1:2" x14ac:dyDescent="0.3">
      <c r="A88" s="5" t="s">
        <v>119</v>
      </c>
      <c r="B88">
        <v>3.6649999999999969</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19" zoomScale="61" zoomScaleNormal="85" workbookViewId="0">
      <selection activeCell="Q46" sqref="Q4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D6FF2-1E6C-4411-9CEE-B3495064DC9E}">
  <dimension ref="P4"/>
  <sheetViews>
    <sheetView tabSelected="1" zoomScale="76" workbookViewId="0">
      <selection activeCell="R4" sqref="R4"/>
    </sheetView>
  </sheetViews>
  <sheetFormatPr defaultRowHeight="14.4" x14ac:dyDescent="0.3"/>
  <sheetData>
    <row r="4" spans="16:16" x14ac:dyDescent="0.3">
      <c r="P4" t="s">
        <v>124</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Pivot_table</vt:lpstr>
      <vt:lpstr>Dashboard</vt:lpstr>
      <vt:lpstr>Business insight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radhika gupta</cp:lastModifiedBy>
  <cp:lastPrinted>2026-07-07T09:00:07Z</cp:lastPrinted>
  <dcterms:created xsi:type="dcterms:W3CDTF">2026-07-06T11:04:42Z</dcterms:created>
  <dcterms:modified xsi:type="dcterms:W3CDTF">2026-07-07T09:01:42Z</dcterms:modified>
</cp:coreProperties>
</file>